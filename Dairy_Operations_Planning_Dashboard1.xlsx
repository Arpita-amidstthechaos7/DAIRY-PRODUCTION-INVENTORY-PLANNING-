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CPL_Dairy_Operations_Case_Study\"/>
    </mc:Choice>
  </mc:AlternateContent>
  <xr:revisionPtr revIDLastSave="0" documentId="8_{CDA7B3BB-8C07-4ED5-84D5-8362D7F794CB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Start Here" sheetId="1" r:id="rId1"/>
    <sheet name="SKU-Day Data" sheetId="2" r:id="rId2"/>
    <sheet name="Operations Dashboard" sheetId="3" r:id="rId3"/>
    <sheet name="Root Cause &amp; A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I2" i="2" s="1"/>
  <c r="S2" i="2"/>
  <c r="U2" i="2"/>
  <c r="AG2" i="2" s="1"/>
  <c r="W2" i="2"/>
  <c r="Y2" i="2" s="1"/>
  <c r="X2" i="2"/>
  <c r="AE2" i="2" s="1"/>
  <c r="AC2" i="2"/>
  <c r="B19" i="3"/>
  <c r="B18" i="3"/>
  <c r="B17" i="3"/>
  <c r="B16" i="3"/>
  <c r="B15" i="3"/>
  <c r="D12" i="3"/>
  <c r="B12" i="3"/>
  <c r="D5" i="3"/>
  <c r="B5" i="3"/>
  <c r="AC421" i="2"/>
  <c r="G421" i="2"/>
  <c r="I421" i="2" s="1"/>
  <c r="AC420" i="2"/>
  <c r="G420" i="2"/>
  <c r="I420" i="2" s="1"/>
  <c r="AC419" i="2"/>
  <c r="G419" i="2"/>
  <c r="I419" i="2" s="1"/>
  <c r="AF418" i="2"/>
  <c r="AC418" i="2"/>
  <c r="G418" i="2"/>
  <c r="I418" i="2" s="1"/>
  <c r="AF417" i="2"/>
  <c r="AC417" i="2"/>
  <c r="G417" i="2"/>
  <c r="I417" i="2" s="1"/>
  <c r="AF416" i="2"/>
  <c r="AC416" i="2"/>
  <c r="I416" i="2"/>
  <c r="G416" i="2"/>
  <c r="AC415" i="2"/>
  <c r="I415" i="2"/>
  <c r="G415" i="2"/>
  <c r="AF414" i="2"/>
  <c r="AC414" i="2"/>
  <c r="G414" i="2"/>
  <c r="I414" i="2" s="1"/>
  <c r="AC413" i="2"/>
  <c r="G413" i="2"/>
  <c r="I413" i="2" s="1"/>
  <c r="AC412" i="2"/>
  <c r="I412" i="2"/>
  <c r="G412" i="2"/>
  <c r="AF411" i="2"/>
  <c r="AC411" i="2"/>
  <c r="G411" i="2"/>
  <c r="I411" i="2" s="1"/>
  <c r="AC410" i="2"/>
  <c r="I410" i="2"/>
  <c r="AF410" i="2" s="1"/>
  <c r="G410" i="2"/>
  <c r="AC409" i="2"/>
  <c r="I409" i="2"/>
  <c r="AF409" i="2" s="1"/>
  <c r="G409" i="2"/>
  <c r="AF408" i="2"/>
  <c r="AC408" i="2"/>
  <c r="G408" i="2"/>
  <c r="I408" i="2" s="1"/>
  <c r="AC407" i="2"/>
  <c r="G407" i="2"/>
  <c r="I407" i="2" s="1"/>
  <c r="AF406" i="2"/>
  <c r="AC406" i="2"/>
  <c r="G406" i="2"/>
  <c r="I406" i="2" s="1"/>
  <c r="AC405" i="2"/>
  <c r="G405" i="2"/>
  <c r="I405" i="2" s="1"/>
  <c r="AF404" i="2"/>
  <c r="AC404" i="2"/>
  <c r="G404" i="2"/>
  <c r="I404" i="2" s="1"/>
  <c r="AC403" i="2"/>
  <c r="I403" i="2"/>
  <c r="G403" i="2"/>
  <c r="AF402" i="2"/>
  <c r="AC402" i="2"/>
  <c r="G402" i="2"/>
  <c r="I402" i="2" s="1"/>
  <c r="AC401" i="2"/>
  <c r="G401" i="2"/>
  <c r="I401" i="2" s="1"/>
  <c r="AC400" i="2"/>
  <c r="I400" i="2"/>
  <c r="AF400" i="2" s="1"/>
  <c r="G400" i="2"/>
  <c r="AC399" i="2"/>
  <c r="G399" i="2"/>
  <c r="I399" i="2" s="1"/>
  <c r="AF399" i="2" s="1"/>
  <c r="AC398" i="2"/>
  <c r="I398" i="2"/>
  <c r="AF398" i="2" s="1"/>
  <c r="G398" i="2"/>
  <c r="AC397" i="2"/>
  <c r="G397" i="2"/>
  <c r="I397" i="2" s="1"/>
  <c r="AC396" i="2"/>
  <c r="I396" i="2"/>
  <c r="G396" i="2"/>
  <c r="AC395" i="2"/>
  <c r="G395" i="2"/>
  <c r="I395" i="2" s="1"/>
  <c r="AC394" i="2"/>
  <c r="I394" i="2"/>
  <c r="G394" i="2"/>
  <c r="AF393" i="2"/>
  <c r="AC393" i="2"/>
  <c r="G393" i="2"/>
  <c r="I393" i="2" s="1"/>
  <c r="AF392" i="2"/>
  <c r="AC392" i="2"/>
  <c r="I392" i="2"/>
  <c r="G392" i="2"/>
  <c r="AC391" i="2"/>
  <c r="I391" i="2"/>
  <c r="G391" i="2"/>
  <c r="AF390" i="2"/>
  <c r="AC390" i="2"/>
  <c r="G390" i="2"/>
  <c r="I390" i="2" s="1"/>
  <c r="AC389" i="2"/>
  <c r="G389" i="2"/>
  <c r="I389" i="2" s="1"/>
  <c r="AC388" i="2"/>
  <c r="I388" i="2"/>
  <c r="AF388" i="2" s="1"/>
  <c r="G388" i="2"/>
  <c r="AC387" i="2"/>
  <c r="G387" i="2"/>
  <c r="I387" i="2" s="1"/>
  <c r="AC386" i="2"/>
  <c r="I386" i="2"/>
  <c r="AF386" i="2" s="1"/>
  <c r="G386" i="2"/>
  <c r="AC385" i="2"/>
  <c r="G385" i="2"/>
  <c r="I385" i="2" s="1"/>
  <c r="AC384" i="2"/>
  <c r="I384" i="2"/>
  <c r="AF384" i="2" s="1"/>
  <c r="G384" i="2"/>
  <c r="AC383" i="2"/>
  <c r="G383" i="2"/>
  <c r="I383" i="2" s="1"/>
  <c r="AC382" i="2"/>
  <c r="I382" i="2"/>
  <c r="AF382" i="2" s="1"/>
  <c r="G382" i="2"/>
  <c r="AC381" i="2"/>
  <c r="G381" i="2"/>
  <c r="I381" i="2" s="1"/>
  <c r="AF380" i="2"/>
  <c r="AC380" i="2"/>
  <c r="I380" i="2"/>
  <c r="G380" i="2"/>
  <c r="AF379" i="2"/>
  <c r="AC379" i="2"/>
  <c r="I379" i="2"/>
  <c r="G379" i="2"/>
  <c r="AC378" i="2"/>
  <c r="G378" i="2"/>
  <c r="I378" i="2" s="1"/>
  <c r="AC377" i="2"/>
  <c r="G377" i="2"/>
  <c r="I377" i="2" s="1"/>
  <c r="AC376" i="2"/>
  <c r="G376" i="2"/>
  <c r="I376" i="2" s="1"/>
  <c r="AF376" i="2" s="1"/>
  <c r="AF375" i="2"/>
  <c r="AC375" i="2"/>
  <c r="I375" i="2"/>
  <c r="G375" i="2"/>
  <c r="AC374" i="2"/>
  <c r="G374" i="2"/>
  <c r="I374" i="2" s="1"/>
  <c r="AF374" i="2" s="1"/>
  <c r="AF373" i="2"/>
  <c r="AC373" i="2"/>
  <c r="I373" i="2"/>
  <c r="G373" i="2"/>
  <c r="AC372" i="2"/>
  <c r="I372" i="2"/>
  <c r="G372" i="2"/>
  <c r="AC371" i="2"/>
  <c r="G371" i="2"/>
  <c r="I371" i="2" s="1"/>
  <c r="AC370" i="2"/>
  <c r="G370" i="2"/>
  <c r="I370" i="2" s="1"/>
  <c r="AF370" i="2" s="1"/>
  <c r="AC369" i="2"/>
  <c r="I369" i="2"/>
  <c r="AF369" i="2" s="1"/>
  <c r="G369" i="2"/>
  <c r="AC368" i="2"/>
  <c r="G368" i="2"/>
  <c r="I368" i="2" s="1"/>
  <c r="AC367" i="2"/>
  <c r="G367" i="2"/>
  <c r="I367" i="2" s="1"/>
  <c r="AC366" i="2"/>
  <c r="I366" i="2"/>
  <c r="G366" i="2"/>
  <c r="AF365" i="2"/>
  <c r="AC365" i="2"/>
  <c r="G365" i="2"/>
  <c r="I365" i="2" s="1"/>
  <c r="AC364" i="2"/>
  <c r="G364" i="2"/>
  <c r="I364" i="2" s="1"/>
  <c r="AC363" i="2"/>
  <c r="I363" i="2"/>
  <c r="G363" i="2"/>
  <c r="AC362" i="2"/>
  <c r="G362" i="2"/>
  <c r="I362" i="2" s="1"/>
  <c r="AF362" i="2" s="1"/>
  <c r="AC361" i="2"/>
  <c r="I361" i="2"/>
  <c r="G361" i="2"/>
  <c r="AC360" i="2"/>
  <c r="G360" i="2"/>
  <c r="I360" i="2" s="1"/>
  <c r="AF359" i="2"/>
  <c r="AC359" i="2"/>
  <c r="G359" i="2"/>
  <c r="I359" i="2" s="1"/>
  <c r="AC358" i="2"/>
  <c r="G358" i="2"/>
  <c r="I358" i="2" s="1"/>
  <c r="AF358" i="2" s="1"/>
  <c r="AC357" i="2"/>
  <c r="I357" i="2"/>
  <c r="G357" i="2"/>
  <c r="AC356" i="2"/>
  <c r="G356" i="2"/>
  <c r="I356" i="2" s="1"/>
  <c r="AC355" i="2"/>
  <c r="I355" i="2"/>
  <c r="G355" i="2"/>
  <c r="AC354" i="2"/>
  <c r="G354" i="2"/>
  <c r="I354" i="2" s="1"/>
  <c r="AF353" i="2"/>
  <c r="AC353" i="2"/>
  <c r="G353" i="2"/>
  <c r="I353" i="2" s="1"/>
  <c r="AC352" i="2"/>
  <c r="G352" i="2"/>
  <c r="I352" i="2" s="1"/>
  <c r="AC351" i="2"/>
  <c r="G351" i="2"/>
  <c r="I351" i="2" s="1"/>
  <c r="AC350" i="2"/>
  <c r="G350" i="2"/>
  <c r="I350" i="2" s="1"/>
  <c r="AF350" i="2" s="1"/>
  <c r="AF349" i="2"/>
  <c r="AC349" i="2"/>
  <c r="I349" i="2"/>
  <c r="G349" i="2"/>
  <c r="AC348" i="2"/>
  <c r="G348" i="2"/>
  <c r="I348" i="2" s="1"/>
  <c r="AF347" i="2"/>
  <c r="AC347" i="2"/>
  <c r="G347" i="2"/>
  <c r="I347" i="2" s="1"/>
  <c r="AC346" i="2"/>
  <c r="G346" i="2"/>
  <c r="I346" i="2" s="1"/>
  <c r="AC345" i="2"/>
  <c r="G345" i="2"/>
  <c r="I345" i="2" s="1"/>
  <c r="AF344" i="2"/>
  <c r="AC344" i="2"/>
  <c r="I344" i="2"/>
  <c r="G344" i="2"/>
  <c r="AC343" i="2"/>
  <c r="G343" i="2"/>
  <c r="I343" i="2" s="1"/>
  <c r="AF343" i="2" s="1"/>
  <c r="AC342" i="2"/>
  <c r="G342" i="2"/>
  <c r="I342" i="2" s="1"/>
  <c r="AC341" i="2"/>
  <c r="I341" i="2"/>
  <c r="AF341" i="2" s="1"/>
  <c r="G341" i="2"/>
  <c r="AC340" i="2"/>
  <c r="I340" i="2"/>
  <c r="AF340" i="2" s="1"/>
  <c r="G340" i="2"/>
  <c r="AC339" i="2"/>
  <c r="G339" i="2"/>
  <c r="I339" i="2" s="1"/>
  <c r="AC338" i="2"/>
  <c r="I338" i="2"/>
  <c r="AF338" i="2" s="1"/>
  <c r="G338" i="2"/>
  <c r="AC337" i="2"/>
  <c r="G337" i="2"/>
  <c r="I337" i="2" s="1"/>
  <c r="AC336" i="2"/>
  <c r="I336" i="2"/>
  <c r="G336" i="2"/>
  <c r="AF335" i="2"/>
  <c r="AC335" i="2"/>
  <c r="G335" i="2"/>
  <c r="I335" i="2" s="1"/>
  <c r="AF334" i="2"/>
  <c r="AC334" i="2"/>
  <c r="G334" i="2"/>
  <c r="I334" i="2" s="1"/>
  <c r="AC333" i="2"/>
  <c r="G333" i="2"/>
  <c r="I333" i="2" s="1"/>
  <c r="AC332" i="2"/>
  <c r="G332" i="2"/>
  <c r="I332" i="2" s="1"/>
  <c r="AC331" i="2"/>
  <c r="G331" i="2"/>
  <c r="I331" i="2" s="1"/>
  <c r="AF331" i="2" s="1"/>
  <c r="AC330" i="2"/>
  <c r="I330" i="2"/>
  <c r="AF330" i="2" s="1"/>
  <c r="G330" i="2"/>
  <c r="AC329" i="2"/>
  <c r="G329" i="2"/>
  <c r="I329" i="2" s="1"/>
  <c r="AC328" i="2"/>
  <c r="G328" i="2"/>
  <c r="I328" i="2" s="1"/>
  <c r="AC327" i="2"/>
  <c r="G327" i="2"/>
  <c r="I327" i="2" s="1"/>
  <c r="AF327" i="2" s="1"/>
  <c r="AF326" i="2"/>
  <c r="AC326" i="2"/>
  <c r="I326" i="2"/>
  <c r="G326" i="2"/>
  <c r="AC325" i="2"/>
  <c r="G325" i="2"/>
  <c r="I325" i="2" s="1"/>
  <c r="AF325" i="2" s="1"/>
  <c r="AC324" i="2"/>
  <c r="G324" i="2"/>
  <c r="I324" i="2" s="1"/>
  <c r="AC323" i="2"/>
  <c r="I323" i="2"/>
  <c r="AF323" i="2" s="1"/>
  <c r="G323" i="2"/>
  <c r="AF322" i="2"/>
  <c r="AC322" i="2"/>
  <c r="G322" i="2"/>
  <c r="I322" i="2" s="1"/>
  <c r="AF321" i="2"/>
  <c r="AC321" i="2"/>
  <c r="I321" i="2"/>
  <c r="G321" i="2"/>
  <c r="AC320" i="2"/>
  <c r="G320" i="2"/>
  <c r="I320" i="2" s="1"/>
  <c r="AF320" i="2" s="1"/>
  <c r="AF319" i="2"/>
  <c r="AC319" i="2"/>
  <c r="G319" i="2"/>
  <c r="I319" i="2" s="1"/>
  <c r="AC318" i="2"/>
  <c r="I318" i="2"/>
  <c r="AF318" i="2" s="1"/>
  <c r="G318" i="2"/>
  <c r="AC317" i="2"/>
  <c r="I317" i="2"/>
  <c r="G317" i="2"/>
  <c r="AC316" i="2"/>
  <c r="I316" i="2"/>
  <c r="AF316" i="2" s="1"/>
  <c r="G316" i="2"/>
  <c r="AC315" i="2"/>
  <c r="I315" i="2"/>
  <c r="AF315" i="2" s="1"/>
  <c r="G315" i="2"/>
  <c r="AC314" i="2"/>
  <c r="I314" i="2"/>
  <c r="G314" i="2"/>
  <c r="AC313" i="2"/>
  <c r="G313" i="2"/>
  <c r="I313" i="2" s="1"/>
  <c r="AC312" i="2"/>
  <c r="G312" i="2"/>
  <c r="I312" i="2" s="1"/>
  <c r="AC311" i="2"/>
  <c r="I311" i="2"/>
  <c r="AF311" i="2" s="1"/>
  <c r="G311" i="2"/>
  <c r="AC310" i="2"/>
  <c r="G310" i="2"/>
  <c r="I310" i="2" s="1"/>
  <c r="AF310" i="2" s="1"/>
  <c r="AF309" i="2"/>
  <c r="AC309" i="2"/>
  <c r="I309" i="2"/>
  <c r="G309" i="2"/>
  <c r="AF308" i="2"/>
  <c r="AC308" i="2"/>
  <c r="I308" i="2"/>
  <c r="G308" i="2"/>
  <c r="AC307" i="2"/>
  <c r="I307" i="2"/>
  <c r="AF307" i="2" s="1"/>
  <c r="G307" i="2"/>
  <c r="AC306" i="2"/>
  <c r="I306" i="2"/>
  <c r="AF306" i="2" s="1"/>
  <c r="G306" i="2"/>
  <c r="AC305" i="2"/>
  <c r="G305" i="2"/>
  <c r="I305" i="2" s="1"/>
  <c r="AC304" i="2"/>
  <c r="I304" i="2"/>
  <c r="G304" i="2"/>
  <c r="AC303" i="2"/>
  <c r="I303" i="2"/>
  <c r="AF303" i="2" s="1"/>
  <c r="G303" i="2"/>
  <c r="AF302" i="2"/>
  <c r="AC302" i="2"/>
  <c r="G302" i="2"/>
  <c r="I302" i="2" s="1"/>
  <c r="AF301" i="2"/>
  <c r="AC301" i="2"/>
  <c r="I301" i="2"/>
  <c r="G301" i="2"/>
  <c r="AF300" i="2"/>
  <c r="AC300" i="2"/>
  <c r="G300" i="2"/>
  <c r="I300" i="2" s="1"/>
  <c r="AF299" i="2"/>
  <c r="AC299" i="2"/>
  <c r="G299" i="2"/>
  <c r="I299" i="2" s="1"/>
  <c r="AC298" i="2"/>
  <c r="I298" i="2"/>
  <c r="G298" i="2"/>
  <c r="AF297" i="2"/>
  <c r="AC297" i="2"/>
  <c r="G297" i="2"/>
  <c r="I297" i="2" s="1"/>
  <c r="AC296" i="2"/>
  <c r="G296" i="2"/>
  <c r="I296" i="2" s="1"/>
  <c r="AF296" i="2" s="1"/>
  <c r="AC295" i="2"/>
  <c r="I295" i="2"/>
  <c r="AF295" i="2" s="1"/>
  <c r="G295" i="2"/>
  <c r="AC294" i="2"/>
  <c r="I294" i="2"/>
  <c r="AF294" i="2" s="1"/>
  <c r="G294" i="2"/>
  <c r="AC293" i="2"/>
  <c r="I293" i="2"/>
  <c r="AF293" i="2" s="1"/>
  <c r="G293" i="2"/>
  <c r="AC292" i="2"/>
  <c r="I292" i="2"/>
  <c r="G292" i="2"/>
  <c r="AF291" i="2"/>
  <c r="AC291" i="2"/>
  <c r="I291" i="2"/>
  <c r="G291" i="2"/>
  <c r="AF290" i="2"/>
  <c r="AC290" i="2"/>
  <c r="G290" i="2"/>
  <c r="I290" i="2" s="1"/>
  <c r="AF289" i="2"/>
  <c r="AC289" i="2"/>
  <c r="I289" i="2"/>
  <c r="G289" i="2"/>
  <c r="AF288" i="2"/>
  <c r="AC288" i="2"/>
  <c r="G288" i="2"/>
  <c r="I288" i="2" s="1"/>
  <c r="AF287" i="2"/>
  <c r="AC287" i="2"/>
  <c r="G287" i="2"/>
  <c r="I287" i="2" s="1"/>
  <c r="AC286" i="2"/>
  <c r="I286" i="2"/>
  <c r="G286" i="2"/>
  <c r="AF285" i="2"/>
  <c r="AC285" i="2"/>
  <c r="G285" i="2"/>
  <c r="I285" i="2" s="1"/>
  <c r="AC284" i="2"/>
  <c r="G284" i="2"/>
  <c r="I284" i="2" s="1"/>
  <c r="AC283" i="2"/>
  <c r="I283" i="2"/>
  <c r="AF283" i="2" s="1"/>
  <c r="G283" i="2"/>
  <c r="AC282" i="2"/>
  <c r="I282" i="2"/>
  <c r="AF282" i="2" s="1"/>
  <c r="G282" i="2"/>
  <c r="AC281" i="2"/>
  <c r="G281" i="2"/>
  <c r="I281" i="2" s="1"/>
  <c r="AC280" i="2"/>
  <c r="G280" i="2"/>
  <c r="I280" i="2" s="1"/>
  <c r="AC279" i="2"/>
  <c r="G279" i="2"/>
  <c r="I279" i="2" s="1"/>
  <c r="AC278" i="2"/>
  <c r="G278" i="2"/>
  <c r="I278" i="2" s="1"/>
  <c r="AC277" i="2"/>
  <c r="G277" i="2"/>
  <c r="I277" i="2" s="1"/>
  <c r="AC276" i="2"/>
  <c r="G276" i="2"/>
  <c r="I276" i="2" s="1"/>
  <c r="AF275" i="2"/>
  <c r="AC275" i="2"/>
  <c r="G275" i="2"/>
  <c r="I275" i="2" s="1"/>
  <c r="AF274" i="2"/>
  <c r="AC274" i="2"/>
  <c r="I274" i="2"/>
  <c r="G274" i="2"/>
  <c r="AC273" i="2"/>
  <c r="G273" i="2"/>
  <c r="I273" i="2" s="1"/>
  <c r="AC272" i="2"/>
  <c r="G272" i="2"/>
  <c r="I272" i="2" s="1"/>
  <c r="AF272" i="2" s="1"/>
  <c r="AC271" i="2"/>
  <c r="G271" i="2"/>
  <c r="I271" i="2" s="1"/>
  <c r="AF271" i="2" s="1"/>
  <c r="AC270" i="2"/>
  <c r="I270" i="2"/>
  <c r="AF270" i="2" s="1"/>
  <c r="G270" i="2"/>
  <c r="AC269" i="2"/>
  <c r="G269" i="2"/>
  <c r="I269" i="2" s="1"/>
  <c r="AC268" i="2"/>
  <c r="G268" i="2"/>
  <c r="I268" i="2" s="1"/>
  <c r="AC267" i="2"/>
  <c r="G267" i="2"/>
  <c r="I267" i="2" s="1"/>
  <c r="AC266" i="2"/>
  <c r="G266" i="2"/>
  <c r="I266" i="2" s="1"/>
  <c r="AC265" i="2"/>
  <c r="G265" i="2"/>
  <c r="I265" i="2" s="1"/>
  <c r="AC264" i="2"/>
  <c r="G264" i="2"/>
  <c r="I264" i="2" s="1"/>
  <c r="AF264" i="2" s="1"/>
  <c r="AF263" i="2"/>
  <c r="AC263" i="2"/>
  <c r="G263" i="2"/>
  <c r="I263" i="2" s="1"/>
  <c r="AC262" i="2"/>
  <c r="I262" i="2"/>
  <c r="G262" i="2"/>
  <c r="AC261" i="2"/>
  <c r="G261" i="2"/>
  <c r="I261" i="2" s="1"/>
  <c r="AF261" i="2" s="1"/>
  <c r="AC260" i="2"/>
  <c r="G260" i="2"/>
  <c r="I260" i="2" s="1"/>
  <c r="AC259" i="2"/>
  <c r="I259" i="2"/>
  <c r="AF259" i="2" s="1"/>
  <c r="G259" i="2"/>
  <c r="AC258" i="2"/>
  <c r="I258" i="2"/>
  <c r="AF258" i="2" s="1"/>
  <c r="G258" i="2"/>
  <c r="AC257" i="2"/>
  <c r="I257" i="2"/>
  <c r="G257" i="2"/>
  <c r="AC256" i="2"/>
  <c r="I256" i="2"/>
  <c r="AF256" i="2" s="1"/>
  <c r="G256" i="2"/>
  <c r="AC255" i="2"/>
  <c r="G255" i="2"/>
  <c r="I255" i="2" s="1"/>
  <c r="AC254" i="2"/>
  <c r="G254" i="2"/>
  <c r="I254" i="2" s="1"/>
  <c r="AC253" i="2"/>
  <c r="G253" i="2"/>
  <c r="I253" i="2" s="1"/>
  <c r="AF252" i="2"/>
  <c r="AC252" i="2"/>
  <c r="G252" i="2"/>
  <c r="I252" i="2" s="1"/>
  <c r="AC251" i="2"/>
  <c r="G251" i="2"/>
  <c r="I251" i="2" s="1"/>
  <c r="AC250" i="2"/>
  <c r="I250" i="2"/>
  <c r="AF250" i="2" s="1"/>
  <c r="G250" i="2"/>
  <c r="AC249" i="2"/>
  <c r="G249" i="2"/>
  <c r="I249" i="2" s="1"/>
  <c r="AF248" i="2"/>
  <c r="AC248" i="2"/>
  <c r="G248" i="2"/>
  <c r="I248" i="2" s="1"/>
  <c r="AF247" i="2"/>
  <c r="AC247" i="2"/>
  <c r="I247" i="2"/>
  <c r="G247" i="2"/>
  <c r="AC246" i="2"/>
  <c r="G246" i="2"/>
  <c r="I246" i="2" s="1"/>
  <c r="AF246" i="2" s="1"/>
  <c r="AC245" i="2"/>
  <c r="G245" i="2"/>
  <c r="I245" i="2" s="1"/>
  <c r="AC244" i="2"/>
  <c r="I244" i="2"/>
  <c r="G244" i="2"/>
  <c r="AC243" i="2"/>
  <c r="I243" i="2"/>
  <c r="G243" i="2"/>
  <c r="AC242" i="2"/>
  <c r="G242" i="2"/>
  <c r="I242" i="2" s="1"/>
  <c r="AF242" i="2" s="1"/>
  <c r="AC241" i="2"/>
  <c r="I241" i="2"/>
  <c r="G241" i="2"/>
  <c r="AC240" i="2"/>
  <c r="I240" i="2"/>
  <c r="AF240" i="2" s="1"/>
  <c r="G240" i="2"/>
  <c r="AC239" i="2"/>
  <c r="G239" i="2"/>
  <c r="I239" i="2" s="1"/>
  <c r="AF239" i="2" s="1"/>
  <c r="AC238" i="2"/>
  <c r="I238" i="2"/>
  <c r="AF238" i="2" s="1"/>
  <c r="G238" i="2"/>
  <c r="AF237" i="2"/>
  <c r="AC237" i="2"/>
  <c r="G237" i="2"/>
  <c r="I237" i="2" s="1"/>
  <c r="AC236" i="2"/>
  <c r="G236" i="2"/>
  <c r="I236" i="2" s="1"/>
  <c r="AF236" i="2" s="1"/>
  <c r="AF235" i="2"/>
  <c r="AC235" i="2"/>
  <c r="I235" i="2"/>
  <c r="G235" i="2"/>
  <c r="AC234" i="2"/>
  <c r="G234" i="2"/>
  <c r="I234" i="2" s="1"/>
  <c r="AF234" i="2" s="1"/>
  <c r="AC233" i="2"/>
  <c r="G233" i="2"/>
  <c r="I233" i="2" s="1"/>
  <c r="AF233" i="2" s="1"/>
  <c r="AC232" i="2"/>
  <c r="I232" i="2"/>
  <c r="G232" i="2"/>
  <c r="AC231" i="2"/>
  <c r="G231" i="2"/>
  <c r="I231" i="2" s="1"/>
  <c r="AF231" i="2" s="1"/>
  <c r="AC230" i="2"/>
  <c r="G230" i="2"/>
  <c r="I230" i="2" s="1"/>
  <c r="AF230" i="2" s="1"/>
  <c r="AC229" i="2"/>
  <c r="G229" i="2"/>
  <c r="I229" i="2" s="1"/>
  <c r="AC228" i="2"/>
  <c r="I228" i="2"/>
  <c r="G228" i="2"/>
  <c r="AF227" i="2"/>
  <c r="AC227" i="2"/>
  <c r="G227" i="2"/>
  <c r="I227" i="2" s="1"/>
  <c r="AC226" i="2"/>
  <c r="G226" i="2"/>
  <c r="I226" i="2" s="1"/>
  <c r="AC225" i="2"/>
  <c r="G225" i="2"/>
  <c r="I225" i="2" s="1"/>
  <c r="AF224" i="2"/>
  <c r="AC224" i="2"/>
  <c r="G224" i="2"/>
  <c r="I224" i="2" s="1"/>
  <c r="AF223" i="2"/>
  <c r="AC223" i="2"/>
  <c r="I223" i="2"/>
  <c r="G223" i="2"/>
  <c r="AF222" i="2"/>
  <c r="AC222" i="2"/>
  <c r="G222" i="2"/>
  <c r="I222" i="2" s="1"/>
  <c r="AC221" i="2"/>
  <c r="I221" i="2"/>
  <c r="G221" i="2"/>
  <c r="AC220" i="2"/>
  <c r="G220" i="2"/>
  <c r="I220" i="2" s="1"/>
  <c r="AF219" i="2"/>
  <c r="AC219" i="2"/>
  <c r="I219" i="2"/>
  <c r="G219" i="2"/>
  <c r="AF218" i="2"/>
  <c r="AC218" i="2"/>
  <c r="G218" i="2"/>
  <c r="I218" i="2" s="1"/>
  <c r="AC217" i="2"/>
  <c r="G217" i="2"/>
  <c r="I217" i="2" s="1"/>
  <c r="AF216" i="2"/>
  <c r="AC216" i="2"/>
  <c r="I216" i="2"/>
  <c r="G216" i="2"/>
  <c r="AC215" i="2"/>
  <c r="G215" i="2"/>
  <c r="I215" i="2" s="1"/>
  <c r="AF215" i="2" s="1"/>
  <c r="AC214" i="2"/>
  <c r="I214" i="2"/>
  <c r="AF214" i="2" s="1"/>
  <c r="G214" i="2"/>
  <c r="AC213" i="2"/>
  <c r="I213" i="2"/>
  <c r="G213" i="2"/>
  <c r="AC212" i="2"/>
  <c r="G212" i="2"/>
  <c r="I212" i="2" s="1"/>
  <c r="AF212" i="2" s="1"/>
  <c r="AC211" i="2"/>
  <c r="G211" i="2"/>
  <c r="I211" i="2" s="1"/>
  <c r="AC210" i="2"/>
  <c r="G210" i="2"/>
  <c r="I210" i="2" s="1"/>
  <c r="AF209" i="2"/>
  <c r="AC209" i="2"/>
  <c r="G209" i="2"/>
  <c r="I209" i="2" s="1"/>
  <c r="AF208" i="2"/>
  <c r="AC208" i="2"/>
  <c r="G208" i="2"/>
  <c r="I208" i="2" s="1"/>
  <c r="AF207" i="2"/>
  <c r="AC207" i="2"/>
  <c r="I207" i="2"/>
  <c r="G207" i="2"/>
  <c r="AF206" i="2"/>
  <c r="AC206" i="2"/>
  <c r="G206" i="2"/>
  <c r="I206" i="2" s="1"/>
  <c r="AC205" i="2"/>
  <c r="G205" i="2"/>
  <c r="I205" i="2" s="1"/>
  <c r="AF204" i="2"/>
  <c r="AC204" i="2"/>
  <c r="I204" i="2"/>
  <c r="G204" i="2"/>
  <c r="AC203" i="2"/>
  <c r="G203" i="2"/>
  <c r="I203" i="2" s="1"/>
  <c r="AF203" i="2" s="1"/>
  <c r="AC202" i="2"/>
  <c r="I202" i="2"/>
  <c r="AF202" i="2" s="1"/>
  <c r="G202" i="2"/>
  <c r="AC201" i="2"/>
  <c r="I201" i="2"/>
  <c r="G201" i="2"/>
  <c r="AC200" i="2"/>
  <c r="G200" i="2"/>
  <c r="I200" i="2" s="1"/>
  <c r="AC199" i="2"/>
  <c r="G199" i="2"/>
  <c r="I199" i="2" s="1"/>
  <c r="AC198" i="2"/>
  <c r="G198" i="2"/>
  <c r="I198" i="2" s="1"/>
  <c r="AC197" i="2"/>
  <c r="G197" i="2"/>
  <c r="I197" i="2" s="1"/>
  <c r="AF197" i="2" s="1"/>
  <c r="AC196" i="2"/>
  <c r="G196" i="2"/>
  <c r="I196" i="2" s="1"/>
  <c r="AC195" i="2"/>
  <c r="I195" i="2"/>
  <c r="AF195" i="2" s="1"/>
  <c r="G195" i="2"/>
  <c r="AC194" i="2"/>
  <c r="G194" i="2"/>
  <c r="I194" i="2" s="1"/>
  <c r="AC193" i="2"/>
  <c r="G193" i="2"/>
  <c r="I193" i="2" s="1"/>
  <c r="AF192" i="2"/>
  <c r="AC192" i="2"/>
  <c r="I192" i="2"/>
  <c r="G192" i="2"/>
  <c r="AC191" i="2"/>
  <c r="G191" i="2"/>
  <c r="I191" i="2" s="1"/>
  <c r="AC190" i="2"/>
  <c r="I190" i="2"/>
  <c r="AF190" i="2" s="1"/>
  <c r="G190" i="2"/>
  <c r="AC189" i="2"/>
  <c r="G189" i="2"/>
  <c r="I189" i="2" s="1"/>
  <c r="AC188" i="2"/>
  <c r="G188" i="2"/>
  <c r="I188" i="2" s="1"/>
  <c r="AF188" i="2" s="1"/>
  <c r="AC187" i="2"/>
  <c r="G187" i="2"/>
  <c r="I187" i="2" s="1"/>
  <c r="AC186" i="2"/>
  <c r="G186" i="2"/>
  <c r="I186" i="2" s="1"/>
  <c r="AC185" i="2"/>
  <c r="G185" i="2"/>
  <c r="I185" i="2" s="1"/>
  <c r="AF184" i="2"/>
  <c r="AC184" i="2"/>
  <c r="G184" i="2"/>
  <c r="I184" i="2" s="1"/>
  <c r="AC183" i="2"/>
  <c r="G183" i="2"/>
  <c r="I183" i="2" s="1"/>
  <c r="AC182" i="2"/>
  <c r="G182" i="2"/>
  <c r="I182" i="2" s="1"/>
  <c r="AF181" i="2"/>
  <c r="AC181" i="2"/>
  <c r="I181" i="2"/>
  <c r="G181" i="2"/>
  <c r="AC180" i="2"/>
  <c r="G180" i="2"/>
  <c r="I180" i="2" s="1"/>
  <c r="AF179" i="2"/>
  <c r="AC179" i="2"/>
  <c r="I179" i="2"/>
  <c r="G179" i="2"/>
  <c r="AC178" i="2"/>
  <c r="G178" i="2"/>
  <c r="I178" i="2" s="1"/>
  <c r="AF178" i="2" s="1"/>
  <c r="AC177" i="2"/>
  <c r="I177" i="2"/>
  <c r="G177" i="2"/>
  <c r="AC176" i="2"/>
  <c r="G176" i="2"/>
  <c r="I176" i="2" s="1"/>
  <c r="AC175" i="2"/>
  <c r="G175" i="2"/>
  <c r="I175" i="2" s="1"/>
  <c r="AF175" i="2" s="1"/>
  <c r="AC174" i="2"/>
  <c r="I174" i="2"/>
  <c r="G174" i="2"/>
  <c r="AC173" i="2"/>
  <c r="G173" i="2"/>
  <c r="I173" i="2" s="1"/>
  <c r="AC172" i="2"/>
  <c r="G172" i="2"/>
  <c r="I172" i="2" s="1"/>
  <c r="AC171" i="2"/>
  <c r="G171" i="2"/>
  <c r="I171" i="2" s="1"/>
  <c r="AC170" i="2"/>
  <c r="G170" i="2"/>
  <c r="I170" i="2" s="1"/>
  <c r="AF169" i="2"/>
  <c r="AC169" i="2"/>
  <c r="I169" i="2"/>
  <c r="G169" i="2"/>
  <c r="AC168" i="2"/>
  <c r="G168" i="2"/>
  <c r="I168" i="2" s="1"/>
  <c r="AF167" i="2"/>
  <c r="AC167" i="2"/>
  <c r="I167" i="2"/>
  <c r="G167" i="2"/>
  <c r="AC166" i="2"/>
  <c r="G166" i="2"/>
  <c r="I166" i="2" s="1"/>
  <c r="AF166" i="2" s="1"/>
  <c r="AF165" i="2"/>
  <c r="AC165" i="2"/>
  <c r="I165" i="2"/>
  <c r="G165" i="2"/>
  <c r="AC164" i="2"/>
  <c r="G164" i="2"/>
  <c r="I164" i="2" s="1"/>
  <c r="AC163" i="2"/>
  <c r="I163" i="2"/>
  <c r="G163" i="2"/>
  <c r="AC162" i="2"/>
  <c r="I162" i="2"/>
  <c r="AF162" i="2" s="1"/>
  <c r="G162" i="2"/>
  <c r="AC161" i="2"/>
  <c r="G161" i="2"/>
  <c r="I161" i="2" s="1"/>
  <c r="AC160" i="2"/>
  <c r="I160" i="2"/>
  <c r="G160" i="2"/>
  <c r="AC159" i="2"/>
  <c r="I159" i="2"/>
  <c r="AF159" i="2" s="1"/>
  <c r="G159" i="2"/>
  <c r="AC158" i="2"/>
  <c r="G158" i="2"/>
  <c r="I158" i="2" s="1"/>
  <c r="AC157" i="2"/>
  <c r="I157" i="2"/>
  <c r="G157" i="2"/>
  <c r="AF156" i="2"/>
  <c r="AC156" i="2"/>
  <c r="G156" i="2"/>
  <c r="I156" i="2" s="1"/>
  <c r="AC155" i="2"/>
  <c r="G155" i="2"/>
  <c r="I155" i="2" s="1"/>
  <c r="AF155" i="2" s="1"/>
  <c r="AC154" i="2"/>
  <c r="G154" i="2"/>
  <c r="I154" i="2" s="1"/>
  <c r="AF154" i="2" s="1"/>
  <c r="AF153" i="2"/>
  <c r="AC153" i="2"/>
  <c r="I153" i="2"/>
  <c r="G153" i="2"/>
  <c r="AC152" i="2"/>
  <c r="G152" i="2"/>
  <c r="I152" i="2" s="1"/>
  <c r="AC151" i="2"/>
  <c r="I151" i="2"/>
  <c r="G151" i="2"/>
  <c r="AC150" i="2"/>
  <c r="I150" i="2"/>
  <c r="G150" i="2"/>
  <c r="AC149" i="2"/>
  <c r="G149" i="2"/>
  <c r="I149" i="2" s="1"/>
  <c r="AC148" i="2"/>
  <c r="G148" i="2"/>
  <c r="I148" i="2" s="1"/>
  <c r="AC147" i="2"/>
  <c r="G147" i="2"/>
  <c r="I147" i="2" s="1"/>
  <c r="AF146" i="2"/>
  <c r="AC146" i="2"/>
  <c r="G146" i="2"/>
  <c r="I146" i="2" s="1"/>
  <c r="AF145" i="2"/>
  <c r="AC145" i="2"/>
  <c r="G145" i="2"/>
  <c r="I145" i="2" s="1"/>
  <c r="AF144" i="2"/>
  <c r="AC144" i="2"/>
  <c r="G144" i="2"/>
  <c r="I144" i="2" s="1"/>
  <c r="AC143" i="2"/>
  <c r="G143" i="2"/>
  <c r="I143" i="2" s="1"/>
  <c r="AC142" i="2"/>
  <c r="G142" i="2"/>
  <c r="I142" i="2" s="1"/>
  <c r="AF141" i="2"/>
  <c r="AC141" i="2"/>
  <c r="I141" i="2"/>
  <c r="G141" i="2"/>
  <c r="AC140" i="2"/>
  <c r="G140" i="2"/>
  <c r="I140" i="2" s="1"/>
  <c r="AF140" i="2" s="1"/>
  <c r="AC139" i="2"/>
  <c r="I139" i="2"/>
  <c r="AF139" i="2" s="1"/>
  <c r="G139" i="2"/>
  <c r="AC138" i="2"/>
  <c r="G138" i="2"/>
  <c r="I138" i="2" s="1"/>
  <c r="AC137" i="2"/>
  <c r="G137" i="2"/>
  <c r="I137" i="2" s="1"/>
  <c r="AC136" i="2"/>
  <c r="G136" i="2"/>
  <c r="I136" i="2" s="1"/>
  <c r="AC135" i="2"/>
  <c r="G135" i="2"/>
  <c r="I135" i="2" s="1"/>
  <c r="AC134" i="2"/>
  <c r="G134" i="2"/>
  <c r="I134" i="2" s="1"/>
  <c r="AF133" i="2"/>
  <c r="AC133" i="2"/>
  <c r="G133" i="2"/>
  <c r="I133" i="2" s="1"/>
  <c r="AF132" i="2"/>
  <c r="AC132" i="2"/>
  <c r="G132" i="2"/>
  <c r="I132" i="2" s="1"/>
  <c r="AC131" i="2"/>
  <c r="G131" i="2"/>
  <c r="I131" i="2" s="1"/>
  <c r="AC130" i="2"/>
  <c r="G130" i="2"/>
  <c r="I130" i="2" s="1"/>
  <c r="AF129" i="2"/>
  <c r="AC129" i="2"/>
  <c r="I129" i="2"/>
  <c r="G129" i="2"/>
  <c r="AC128" i="2"/>
  <c r="G128" i="2"/>
  <c r="I128" i="2" s="1"/>
  <c r="AF128" i="2" s="1"/>
  <c r="AC127" i="2"/>
  <c r="I127" i="2"/>
  <c r="AF127" i="2" s="1"/>
  <c r="G127" i="2"/>
  <c r="AC126" i="2"/>
  <c r="G126" i="2"/>
  <c r="I126" i="2" s="1"/>
  <c r="AF126" i="2" s="1"/>
  <c r="AC125" i="2"/>
  <c r="I125" i="2"/>
  <c r="G125" i="2"/>
  <c r="AC124" i="2"/>
  <c r="G124" i="2"/>
  <c r="I124" i="2" s="1"/>
  <c r="AF123" i="2"/>
  <c r="AC123" i="2"/>
  <c r="G123" i="2"/>
  <c r="I123" i="2" s="1"/>
  <c r="AC122" i="2"/>
  <c r="G122" i="2"/>
  <c r="I122" i="2" s="1"/>
  <c r="AC121" i="2"/>
  <c r="G121" i="2"/>
  <c r="I121" i="2" s="1"/>
  <c r="AC120" i="2"/>
  <c r="G120" i="2"/>
  <c r="I120" i="2" s="1"/>
  <c r="AF120" i="2" s="1"/>
  <c r="AC119" i="2"/>
  <c r="G119" i="2"/>
  <c r="I119" i="2" s="1"/>
  <c r="AC118" i="2"/>
  <c r="G118" i="2"/>
  <c r="I118" i="2" s="1"/>
  <c r="AC117" i="2"/>
  <c r="G117" i="2"/>
  <c r="I117" i="2" s="1"/>
  <c r="AF117" i="2" s="1"/>
  <c r="AC116" i="2"/>
  <c r="G116" i="2"/>
  <c r="I116" i="2" s="1"/>
  <c r="AF116" i="2" s="1"/>
  <c r="AC115" i="2"/>
  <c r="I115" i="2"/>
  <c r="AF115" i="2" s="1"/>
  <c r="G115" i="2"/>
  <c r="AC114" i="2"/>
  <c r="G114" i="2"/>
  <c r="I114" i="2" s="1"/>
  <c r="AC113" i="2"/>
  <c r="I113" i="2"/>
  <c r="G113" i="2"/>
  <c r="AC112" i="2"/>
  <c r="G112" i="2"/>
  <c r="I112" i="2" s="1"/>
  <c r="AF111" i="2"/>
  <c r="AC111" i="2"/>
  <c r="G111" i="2"/>
  <c r="I111" i="2" s="1"/>
  <c r="AC110" i="2"/>
  <c r="G110" i="2"/>
  <c r="I110" i="2" s="1"/>
  <c r="AF109" i="2"/>
  <c r="AC109" i="2"/>
  <c r="I109" i="2"/>
  <c r="G109" i="2"/>
  <c r="AF108" i="2"/>
  <c r="AC108" i="2"/>
  <c r="G108" i="2"/>
  <c r="I108" i="2" s="1"/>
  <c r="AC107" i="2"/>
  <c r="G107" i="2"/>
  <c r="I107" i="2" s="1"/>
  <c r="AC106" i="2"/>
  <c r="G106" i="2"/>
  <c r="I106" i="2" s="1"/>
  <c r="AF105" i="2"/>
  <c r="AC105" i="2"/>
  <c r="G105" i="2"/>
  <c r="I105" i="2" s="1"/>
  <c r="AC104" i="2"/>
  <c r="G104" i="2"/>
  <c r="I104" i="2" s="1"/>
  <c r="AF104" i="2" s="1"/>
  <c r="AC103" i="2"/>
  <c r="I103" i="2"/>
  <c r="AF103" i="2" s="1"/>
  <c r="G103" i="2"/>
  <c r="AC102" i="2"/>
  <c r="G102" i="2"/>
  <c r="I102" i="2" s="1"/>
  <c r="AC101" i="2"/>
  <c r="G101" i="2"/>
  <c r="I101" i="2" s="1"/>
  <c r="AF101" i="2" s="1"/>
  <c r="AC100" i="2"/>
  <c r="I100" i="2"/>
  <c r="AF100" i="2" s="1"/>
  <c r="G100" i="2"/>
  <c r="AC99" i="2"/>
  <c r="G99" i="2"/>
  <c r="I99" i="2" s="1"/>
  <c r="AC98" i="2"/>
  <c r="G98" i="2"/>
  <c r="I98" i="2" s="1"/>
  <c r="AF98" i="2" s="1"/>
  <c r="AC97" i="2"/>
  <c r="I97" i="2"/>
  <c r="G97" i="2"/>
  <c r="AC96" i="2"/>
  <c r="G96" i="2"/>
  <c r="I96" i="2" s="1"/>
  <c r="AF95" i="2"/>
  <c r="AC95" i="2"/>
  <c r="G95" i="2"/>
  <c r="I95" i="2" s="1"/>
  <c r="AF94" i="2"/>
  <c r="AC94" i="2"/>
  <c r="G94" i="2"/>
  <c r="I94" i="2" s="1"/>
  <c r="AC93" i="2"/>
  <c r="G93" i="2"/>
  <c r="I93" i="2" s="1"/>
  <c r="AF93" i="2" s="1"/>
  <c r="AC92" i="2"/>
  <c r="G92" i="2"/>
  <c r="I92" i="2" s="1"/>
  <c r="AC91" i="2"/>
  <c r="I91" i="2"/>
  <c r="AF91" i="2" s="1"/>
  <c r="G91" i="2"/>
  <c r="AC90" i="2"/>
  <c r="G90" i="2"/>
  <c r="I90" i="2" s="1"/>
  <c r="AC89" i="2"/>
  <c r="G89" i="2"/>
  <c r="I89" i="2" s="1"/>
  <c r="AF89" i="2" s="1"/>
  <c r="AC88" i="2"/>
  <c r="I88" i="2"/>
  <c r="AF88" i="2" s="1"/>
  <c r="G88" i="2"/>
  <c r="AC87" i="2"/>
  <c r="G87" i="2"/>
  <c r="I87" i="2" s="1"/>
  <c r="AF86" i="2"/>
  <c r="AC86" i="2"/>
  <c r="G86" i="2"/>
  <c r="I86" i="2" s="1"/>
  <c r="AC85" i="2"/>
  <c r="I85" i="2"/>
  <c r="G85" i="2"/>
  <c r="AC84" i="2"/>
  <c r="G84" i="2"/>
  <c r="I84" i="2" s="1"/>
  <c r="AF83" i="2"/>
  <c r="AC83" i="2"/>
  <c r="G83" i="2"/>
  <c r="I83" i="2" s="1"/>
  <c r="AC82" i="2"/>
  <c r="I82" i="2"/>
  <c r="G82" i="2"/>
  <c r="AC81" i="2"/>
  <c r="G81" i="2"/>
  <c r="I81" i="2" s="1"/>
  <c r="AC80" i="2"/>
  <c r="G80" i="2"/>
  <c r="I80" i="2" s="1"/>
  <c r="AF80" i="2" s="1"/>
  <c r="AC79" i="2"/>
  <c r="I79" i="2"/>
  <c r="G79" i="2"/>
  <c r="AC78" i="2"/>
  <c r="G78" i="2"/>
  <c r="I78" i="2" s="1"/>
  <c r="AF77" i="2"/>
  <c r="AC77" i="2"/>
  <c r="G77" i="2"/>
  <c r="I77" i="2" s="1"/>
  <c r="AC76" i="2"/>
  <c r="G76" i="2"/>
  <c r="I76" i="2" s="1"/>
  <c r="AF75" i="2"/>
  <c r="AC75" i="2"/>
  <c r="G75" i="2"/>
  <c r="I75" i="2" s="1"/>
  <c r="AF74" i="2"/>
  <c r="AC74" i="2"/>
  <c r="I74" i="2"/>
  <c r="G74" i="2"/>
  <c r="AC73" i="2"/>
  <c r="G73" i="2"/>
  <c r="I73" i="2" s="1"/>
  <c r="AF72" i="2"/>
  <c r="AC72" i="2"/>
  <c r="I72" i="2"/>
  <c r="G72" i="2"/>
  <c r="AC71" i="2"/>
  <c r="G71" i="2"/>
  <c r="I71" i="2" s="1"/>
  <c r="AF71" i="2" s="1"/>
  <c r="AC70" i="2"/>
  <c r="I70" i="2"/>
  <c r="G70" i="2"/>
  <c r="AC69" i="2"/>
  <c r="G69" i="2"/>
  <c r="I69" i="2" s="1"/>
  <c r="AC68" i="2"/>
  <c r="G68" i="2"/>
  <c r="I68" i="2" s="1"/>
  <c r="AF68" i="2" s="1"/>
  <c r="AC67" i="2"/>
  <c r="I67" i="2"/>
  <c r="G67" i="2"/>
  <c r="AC66" i="2"/>
  <c r="G66" i="2"/>
  <c r="I66" i="2" s="1"/>
  <c r="AC65" i="2"/>
  <c r="G65" i="2"/>
  <c r="I65" i="2" s="1"/>
  <c r="AC64" i="2"/>
  <c r="G64" i="2"/>
  <c r="I64" i="2" s="1"/>
  <c r="AF63" i="2"/>
  <c r="AC63" i="2"/>
  <c r="G63" i="2"/>
  <c r="I63" i="2" s="1"/>
  <c r="AF62" i="2"/>
  <c r="AC62" i="2"/>
  <c r="I62" i="2"/>
  <c r="G62" i="2"/>
  <c r="AC61" i="2"/>
  <c r="G61" i="2"/>
  <c r="I61" i="2" s="1"/>
  <c r="AC60" i="2"/>
  <c r="G60" i="2"/>
  <c r="I60" i="2" s="1"/>
  <c r="AF60" i="2" s="1"/>
  <c r="AC59" i="2"/>
  <c r="G59" i="2"/>
  <c r="I59" i="2" s="1"/>
  <c r="AF59" i="2" s="1"/>
  <c r="AC58" i="2"/>
  <c r="I58" i="2"/>
  <c r="G58" i="2"/>
  <c r="AC57" i="2"/>
  <c r="I57" i="2"/>
  <c r="AF57" i="2" s="1"/>
  <c r="G57" i="2"/>
  <c r="AC56" i="2"/>
  <c r="G56" i="2"/>
  <c r="I56" i="2" s="1"/>
  <c r="AF56" i="2" s="1"/>
  <c r="AC55" i="2"/>
  <c r="I55" i="2"/>
  <c r="G55" i="2"/>
  <c r="AF54" i="2"/>
  <c r="AC54" i="2"/>
  <c r="I54" i="2"/>
  <c r="G54" i="2"/>
  <c r="AC53" i="2"/>
  <c r="G53" i="2"/>
  <c r="I53" i="2" s="1"/>
  <c r="AC52" i="2"/>
  <c r="G52" i="2"/>
  <c r="I52" i="2" s="1"/>
  <c r="AF51" i="2"/>
  <c r="AC51" i="2"/>
  <c r="G51" i="2"/>
  <c r="I51" i="2" s="1"/>
  <c r="AF50" i="2"/>
  <c r="AC50" i="2"/>
  <c r="I50" i="2"/>
  <c r="G50" i="2"/>
  <c r="AC49" i="2"/>
  <c r="G49" i="2"/>
  <c r="I49" i="2" s="1"/>
  <c r="AC48" i="2"/>
  <c r="G48" i="2"/>
  <c r="I48" i="2" s="1"/>
  <c r="AF48" i="2" s="1"/>
  <c r="AC47" i="2"/>
  <c r="I47" i="2"/>
  <c r="AF47" i="2" s="1"/>
  <c r="G47" i="2"/>
  <c r="AC46" i="2"/>
  <c r="I46" i="2"/>
  <c r="G46" i="2"/>
  <c r="AC45" i="2"/>
  <c r="G45" i="2"/>
  <c r="I45" i="2" s="1"/>
  <c r="AC44" i="2"/>
  <c r="G44" i="2"/>
  <c r="I44" i="2" s="1"/>
  <c r="AF44" i="2" s="1"/>
  <c r="AC43" i="2"/>
  <c r="I43" i="2"/>
  <c r="AF43" i="2" s="1"/>
  <c r="G43" i="2"/>
  <c r="AF42" i="2"/>
  <c r="AC42" i="2"/>
  <c r="I42" i="2"/>
  <c r="G42" i="2"/>
  <c r="AF41" i="2"/>
  <c r="AC41" i="2"/>
  <c r="I41" i="2"/>
  <c r="G41" i="2"/>
  <c r="AC40" i="2"/>
  <c r="I40" i="2"/>
  <c r="G40" i="2"/>
  <c r="AF39" i="2"/>
  <c r="AC39" i="2"/>
  <c r="G39" i="2"/>
  <c r="I39" i="2" s="1"/>
  <c r="AF38" i="2"/>
  <c r="AC38" i="2"/>
  <c r="I38" i="2"/>
  <c r="G38" i="2"/>
  <c r="AC37" i="2"/>
  <c r="G37" i="2"/>
  <c r="I37" i="2" s="1"/>
  <c r="AF36" i="2"/>
  <c r="AC36" i="2"/>
  <c r="G36" i="2"/>
  <c r="I36" i="2" s="1"/>
  <c r="AC35" i="2"/>
  <c r="G35" i="2"/>
  <c r="I35" i="2" s="1"/>
  <c r="AF35" i="2" s="1"/>
  <c r="AC34" i="2"/>
  <c r="I34" i="2"/>
  <c r="G34" i="2"/>
  <c r="AC33" i="2"/>
  <c r="G33" i="2"/>
  <c r="I33" i="2" s="1"/>
  <c r="AC32" i="2"/>
  <c r="I32" i="2"/>
  <c r="AF32" i="2" s="1"/>
  <c r="G32" i="2"/>
  <c r="AC31" i="2"/>
  <c r="G31" i="2"/>
  <c r="I31" i="2" s="1"/>
  <c r="AF30" i="2"/>
  <c r="AC30" i="2"/>
  <c r="I30" i="2"/>
  <c r="G30" i="2"/>
  <c r="AC29" i="2"/>
  <c r="G29" i="2"/>
  <c r="I29" i="2" s="1"/>
  <c r="AC28" i="2"/>
  <c r="G28" i="2"/>
  <c r="I28" i="2" s="1"/>
  <c r="AC27" i="2"/>
  <c r="G27" i="2"/>
  <c r="I27" i="2" s="1"/>
  <c r="AF26" i="2"/>
  <c r="AC26" i="2"/>
  <c r="I26" i="2"/>
  <c r="G26" i="2"/>
  <c r="AC25" i="2"/>
  <c r="G25" i="2"/>
  <c r="I25" i="2" s="1"/>
  <c r="AF24" i="2"/>
  <c r="AC24" i="2"/>
  <c r="I24" i="2"/>
  <c r="G24" i="2"/>
  <c r="AC23" i="2"/>
  <c r="I23" i="2"/>
  <c r="AF23" i="2" s="1"/>
  <c r="G23" i="2"/>
  <c r="AC22" i="2"/>
  <c r="I22" i="2"/>
  <c r="AF22" i="2" s="1"/>
  <c r="G22" i="2"/>
  <c r="AC21" i="2"/>
  <c r="G21" i="2"/>
  <c r="I21" i="2" s="1"/>
  <c r="AC20" i="2"/>
  <c r="G20" i="2"/>
  <c r="I20" i="2" s="1"/>
  <c r="AC19" i="2"/>
  <c r="G19" i="2"/>
  <c r="I19" i="2" s="1"/>
  <c r="AF18" i="2"/>
  <c r="AC18" i="2"/>
  <c r="G18" i="2"/>
  <c r="I18" i="2" s="1"/>
  <c r="AF17" i="2"/>
  <c r="AC17" i="2"/>
  <c r="I17" i="2"/>
  <c r="G17" i="2"/>
  <c r="AF16" i="2"/>
  <c r="AC16" i="2"/>
  <c r="G16" i="2"/>
  <c r="I16" i="2" s="1"/>
  <c r="AC15" i="2"/>
  <c r="G15" i="2"/>
  <c r="I15" i="2" s="1"/>
  <c r="AC14" i="2"/>
  <c r="G14" i="2"/>
  <c r="I14" i="2" s="1"/>
  <c r="AC13" i="2"/>
  <c r="G13" i="2"/>
  <c r="I13" i="2" s="1"/>
  <c r="AF12" i="2"/>
  <c r="AC12" i="2"/>
  <c r="I12" i="2"/>
  <c r="G12" i="2"/>
  <c r="AC11" i="2"/>
  <c r="I11" i="2"/>
  <c r="AF11" i="2" s="1"/>
  <c r="G11" i="2"/>
  <c r="AC10" i="2"/>
  <c r="I10" i="2"/>
  <c r="AF10" i="2" s="1"/>
  <c r="G10" i="2"/>
  <c r="AC9" i="2"/>
  <c r="I9" i="2"/>
  <c r="G9" i="2"/>
  <c r="AC8" i="2"/>
  <c r="I8" i="2"/>
  <c r="G8" i="2"/>
  <c r="AC7" i="2"/>
  <c r="G7" i="2"/>
  <c r="I7" i="2" s="1"/>
  <c r="AC6" i="2"/>
  <c r="S6" i="2"/>
  <c r="U6" i="2" s="1"/>
  <c r="G6" i="2"/>
  <c r="I6" i="2" s="1"/>
  <c r="K6" i="2" s="1"/>
  <c r="AC5" i="2"/>
  <c r="U5" i="2"/>
  <c r="W5" i="2" s="1"/>
  <c r="S5" i="2"/>
  <c r="G5" i="2"/>
  <c r="I5" i="2" s="1"/>
  <c r="AC4" i="2"/>
  <c r="S4" i="2"/>
  <c r="U4" i="2" s="1"/>
  <c r="K4" i="2"/>
  <c r="I4" i="2"/>
  <c r="AF4" i="2" s="1"/>
  <c r="G4" i="2"/>
  <c r="AC3" i="2"/>
  <c r="W3" i="2"/>
  <c r="U3" i="2"/>
  <c r="AG3" i="2" s="1"/>
  <c r="S3" i="2"/>
  <c r="G3" i="2"/>
  <c r="I3" i="2" s="1"/>
  <c r="K2" i="2" l="1"/>
  <c r="AF2" i="2"/>
  <c r="Z2" i="2"/>
  <c r="AF31" i="2"/>
  <c r="AF28" i="2"/>
  <c r="AF69" i="2"/>
  <c r="W6" i="2"/>
  <c r="AG6" i="2"/>
  <c r="AF78" i="2"/>
  <c r="AF20" i="2"/>
  <c r="AF21" i="2"/>
  <c r="AF138" i="2"/>
  <c r="W4" i="2"/>
  <c r="AG4" i="2"/>
  <c r="AF66" i="2"/>
  <c r="AF3" i="2"/>
  <c r="B10" i="3" s="1"/>
  <c r="K3" i="2"/>
  <c r="Y5" i="2"/>
  <c r="X5" i="2"/>
  <c r="AE5" i="2" s="1"/>
  <c r="AF173" i="2"/>
  <c r="AF25" i="2"/>
  <c r="AF61" i="2"/>
  <c r="M4" i="2"/>
  <c r="L4" i="2"/>
  <c r="AD4" i="2" s="1"/>
  <c r="AF8" i="2"/>
  <c r="AF53" i="2"/>
  <c r="AF9" i="2"/>
  <c r="AF29" i="2"/>
  <c r="AF33" i="2"/>
  <c r="AF81" i="2"/>
  <c r="AF114" i="2"/>
  <c r="K5" i="2"/>
  <c r="AF5" i="2"/>
  <c r="AF27" i="2"/>
  <c r="AF135" i="2"/>
  <c r="AF45" i="2"/>
  <c r="AF92" i="2"/>
  <c r="AF99" i="2"/>
  <c r="AF148" i="2"/>
  <c r="AF34" i="2"/>
  <c r="M6" i="2"/>
  <c r="L6" i="2"/>
  <c r="AD6" i="2" s="1"/>
  <c r="AF19" i="2"/>
  <c r="X3" i="2"/>
  <c r="AE3" i="2" s="1"/>
  <c r="AF6" i="2"/>
  <c r="AF13" i="2"/>
  <c r="AF37" i="2"/>
  <c r="AF82" i="2"/>
  <c r="AF65" i="2"/>
  <c r="AF421" i="2"/>
  <c r="AF14" i="2"/>
  <c r="Y3" i="2"/>
  <c r="AF7" i="2"/>
  <c r="AF15" i="2"/>
  <c r="AF186" i="2"/>
  <c r="AF125" i="2"/>
  <c r="AF163" i="2"/>
  <c r="AF305" i="2"/>
  <c r="AG5" i="2"/>
  <c r="AF52" i="2"/>
  <c r="AF172" i="2"/>
  <c r="AF122" i="2"/>
  <c r="AF64" i="2"/>
  <c r="AF143" i="2"/>
  <c r="AF73" i="2"/>
  <c r="AF96" i="2"/>
  <c r="AF136" i="2"/>
  <c r="AF112" i="2"/>
  <c r="AF149" i="2"/>
  <c r="AF183" i="2"/>
  <c r="AF46" i="2"/>
  <c r="AF55" i="2"/>
  <c r="AF84" i="2"/>
  <c r="AF255" i="2"/>
  <c r="AF171" i="2"/>
  <c r="AF200" i="2"/>
  <c r="AF67" i="2"/>
  <c r="AF76" i="2"/>
  <c r="AF118" i="2"/>
  <c r="D11" i="3"/>
  <c r="B11" i="3"/>
  <c r="AF58" i="2"/>
  <c r="AF102" i="2"/>
  <c r="AF110" i="2"/>
  <c r="AF134" i="2"/>
  <c r="AF151" i="2"/>
  <c r="AF87" i="2"/>
  <c r="AF40" i="2"/>
  <c r="AF160" i="2"/>
  <c r="AF49" i="2"/>
  <c r="AF70" i="2"/>
  <c r="AF113" i="2"/>
  <c r="AF121" i="2"/>
  <c r="AF137" i="2"/>
  <c r="AF150" i="2"/>
  <c r="AF79" i="2"/>
  <c r="AF90" i="2"/>
  <c r="AF124" i="2"/>
  <c r="AF142" i="2"/>
  <c r="AF170" i="2"/>
  <c r="AF130" i="2"/>
  <c r="AF185" i="2"/>
  <c r="AF189" i="2"/>
  <c r="AF211" i="2"/>
  <c r="AF269" i="2"/>
  <c r="AF164" i="2"/>
  <c r="AF176" i="2"/>
  <c r="AF198" i="2"/>
  <c r="AF107" i="2"/>
  <c r="AF147" i="2"/>
  <c r="AF152" i="2"/>
  <c r="AF157" i="2"/>
  <c r="AF106" i="2"/>
  <c r="AF119" i="2"/>
  <c r="AF174" i="2"/>
  <c r="AF199" i="2"/>
  <c r="AF161" i="2"/>
  <c r="AF85" i="2"/>
  <c r="AF97" i="2"/>
  <c r="AF131" i="2"/>
  <c r="AF177" i="2"/>
  <c r="AF213" i="2"/>
  <c r="AF225" i="2"/>
  <c r="AF191" i="2"/>
  <c r="AF210" i="2"/>
  <c r="AF158" i="2"/>
  <c r="AF201" i="2"/>
  <c r="AF226" i="2"/>
  <c r="AF241" i="2"/>
  <c r="AF180" i="2"/>
  <c r="AF245" i="2"/>
  <c r="AF260" i="2"/>
  <c r="AF168" i="2"/>
  <c r="AF193" i="2"/>
  <c r="AF273" i="2"/>
  <c r="AF182" i="2"/>
  <c r="AF187" i="2"/>
  <c r="AF249" i="2"/>
  <c r="AF280" i="2"/>
  <c r="AF253" i="2"/>
  <c r="AF277" i="2"/>
  <c r="AF194" i="2"/>
  <c r="AF221" i="2"/>
  <c r="AF267" i="2"/>
  <c r="AF220" i="2"/>
  <c r="AF278" i="2"/>
  <c r="AF232" i="2"/>
  <c r="AF205" i="2"/>
  <c r="AF217" i="2"/>
  <c r="AF244" i="2"/>
  <c r="AF317" i="2"/>
  <c r="AF196" i="2"/>
  <c r="AF229" i="2"/>
  <c r="AF257" i="2"/>
  <c r="AF228" i="2"/>
  <c r="AF254" i="2"/>
  <c r="AF262" i="2"/>
  <c r="AF243" i="2"/>
  <c r="AF281" i="2"/>
  <c r="AF251" i="2"/>
  <c r="AF279" i="2"/>
  <c r="AF266" i="2"/>
  <c r="AF268" i="2"/>
  <c r="AF364" i="2"/>
  <c r="AF276" i="2"/>
  <c r="AF337" i="2"/>
  <c r="AF348" i="2"/>
  <c r="AF313" i="2"/>
  <c r="AF356" i="2"/>
  <c r="AF361" i="2"/>
  <c r="AF265" i="2"/>
  <c r="AF284" i="2"/>
  <c r="AF329" i="2"/>
  <c r="AF360" i="2"/>
  <c r="AF304" i="2"/>
  <c r="AF351" i="2"/>
  <c r="AF407" i="2"/>
  <c r="AF328" i="2"/>
  <c r="AF346" i="2"/>
  <c r="AF292" i="2"/>
  <c r="AF286" i="2"/>
  <c r="AF298" i="2"/>
  <c r="AF332" i="2"/>
  <c r="AF314" i="2"/>
  <c r="AF339" i="2"/>
  <c r="AF342" i="2"/>
  <c r="AF354" i="2"/>
  <c r="AF391" i="2"/>
  <c r="AF352" i="2"/>
  <c r="AF357" i="2"/>
  <c r="AF385" i="2"/>
  <c r="AF405" i="2"/>
  <c r="AF412" i="2"/>
  <c r="AF312" i="2"/>
  <c r="AF324" i="2"/>
  <c r="AF355" i="2"/>
  <c r="AF396" i="2"/>
  <c r="AF366" i="2"/>
  <c r="AF381" i="2"/>
  <c r="AF394" i="2"/>
  <c r="AF395" i="2"/>
  <c r="AF336" i="2"/>
  <c r="AF368" i="2"/>
  <c r="AF333" i="2"/>
  <c r="AF367" i="2"/>
  <c r="AF378" i="2"/>
  <c r="AF345" i="2"/>
  <c r="AF387" i="2"/>
  <c r="AF371" i="2"/>
  <c r="AF419" i="2"/>
  <c r="AF372" i="2"/>
  <c r="AF383" i="2"/>
  <c r="AF363" i="2"/>
  <c r="AF397" i="2"/>
  <c r="AF413" i="2"/>
  <c r="AF401" i="2"/>
  <c r="AF377" i="2"/>
  <c r="AF403" i="2"/>
  <c r="AF420" i="2"/>
  <c r="AF389" i="2"/>
  <c r="AF415" i="2"/>
  <c r="AA2" i="2" l="1"/>
  <c r="AB2" i="2" s="1"/>
  <c r="V7" i="2" s="1"/>
  <c r="S7" i="2" s="1"/>
  <c r="U7" i="2" s="1"/>
  <c r="L2" i="2"/>
  <c r="AD2" i="2" s="1"/>
  <c r="M2" i="2"/>
  <c r="N2" i="2"/>
  <c r="Y4" i="2"/>
  <c r="X4" i="2"/>
  <c r="Z4" i="2"/>
  <c r="Y6" i="2"/>
  <c r="X6" i="2"/>
  <c r="N6" i="2"/>
  <c r="Z5" i="2"/>
  <c r="Z3" i="2"/>
  <c r="N4" i="2"/>
  <c r="L5" i="2"/>
  <c r="M5" i="2"/>
  <c r="M3" i="2"/>
  <c r="L3" i="2"/>
  <c r="N3" i="2"/>
  <c r="P2" i="2" l="1"/>
  <c r="Q2" i="2"/>
  <c r="AA3" i="2"/>
  <c r="AE6" i="2"/>
  <c r="P3" i="2"/>
  <c r="AD3" i="2"/>
  <c r="AD5" i="2"/>
  <c r="Z6" i="2"/>
  <c r="AA5" i="2"/>
  <c r="AB5" i="2" s="1"/>
  <c r="V10" i="2" s="1"/>
  <c r="S10" i="2" s="1"/>
  <c r="U10" i="2" s="1"/>
  <c r="AA4" i="2"/>
  <c r="AB4" i="2"/>
  <c r="V9" i="2" s="1"/>
  <c r="S9" i="2" s="1"/>
  <c r="U9" i="2" s="1"/>
  <c r="AE4" i="2"/>
  <c r="N5" i="2"/>
  <c r="P6" i="2"/>
  <c r="Q6" i="2"/>
  <c r="J11" i="2" s="1"/>
  <c r="K11" i="2" s="1"/>
  <c r="AG7" i="2"/>
  <c r="W7" i="2"/>
  <c r="J7" i="2"/>
  <c r="K7" i="2" s="1"/>
  <c r="P4" i="2"/>
  <c r="Q4" i="2"/>
  <c r="J9" i="2" s="1"/>
  <c r="K9" i="2" s="1"/>
  <c r="W10" i="2" l="1"/>
  <c r="AG10" i="2"/>
  <c r="M9" i="2"/>
  <c r="L9" i="2"/>
  <c r="M7" i="2"/>
  <c r="L7" i="2"/>
  <c r="N7" i="2" s="1"/>
  <c r="X7" i="2"/>
  <c r="Z7" i="2" s="1"/>
  <c r="Y7" i="2"/>
  <c r="AG9" i="2"/>
  <c r="W9" i="2"/>
  <c r="M11" i="2"/>
  <c r="N11" i="2"/>
  <c r="L11" i="2"/>
  <c r="Q3" i="2"/>
  <c r="J8" i="2" s="1"/>
  <c r="K8" i="2" s="1"/>
  <c r="AA6" i="2"/>
  <c r="P5" i="2"/>
  <c r="AB3" i="2"/>
  <c r="V8" i="2" s="1"/>
  <c r="S8" i="2" s="1"/>
  <c r="U8" i="2" s="1"/>
  <c r="AD11" i="2" l="1"/>
  <c r="AD7" i="2"/>
  <c r="AA7" i="2"/>
  <c r="AB7" i="2" s="1"/>
  <c r="V12" i="2" s="1"/>
  <c r="S12" i="2" s="1"/>
  <c r="U12" i="2" s="1"/>
  <c r="P11" i="2"/>
  <c r="Q11" i="2"/>
  <c r="J16" i="2" s="1"/>
  <c r="K16" i="2" s="1"/>
  <c r="Y9" i="2"/>
  <c r="X9" i="2"/>
  <c r="AD9" i="2"/>
  <c r="AB6" i="2"/>
  <c r="V11" i="2" s="1"/>
  <c r="S11" i="2" s="1"/>
  <c r="U11" i="2" s="1"/>
  <c r="N9" i="2"/>
  <c r="AG8" i="2"/>
  <c r="W8" i="2"/>
  <c r="P7" i="2"/>
  <c r="Q5" i="2"/>
  <c r="J10" i="2" s="1"/>
  <c r="K10" i="2" s="1"/>
  <c r="L8" i="2"/>
  <c r="N8" i="2"/>
  <c r="M8" i="2"/>
  <c r="AE7" i="2"/>
  <c r="Y10" i="2"/>
  <c r="X10" i="2"/>
  <c r="Z10" i="2"/>
  <c r="W12" i="2" l="1"/>
  <c r="AG12" i="2"/>
  <c r="Y8" i="2"/>
  <c r="X8" i="2"/>
  <c r="P8" i="2"/>
  <c r="AD8" i="2"/>
  <c r="W11" i="2"/>
  <c r="AG11" i="2"/>
  <c r="AE9" i="2"/>
  <c r="AA10" i="2"/>
  <c r="N16" i="2"/>
  <c r="M16" i="2"/>
  <c r="L16" i="2"/>
  <c r="P9" i="2"/>
  <c r="M10" i="2"/>
  <c r="L10" i="2"/>
  <c r="Z9" i="2"/>
  <c r="AE10" i="2"/>
  <c r="Q7" i="2"/>
  <c r="J12" i="2" s="1"/>
  <c r="K12" i="2" s="1"/>
  <c r="P16" i="2" l="1"/>
  <c r="AB10" i="2"/>
  <c r="V15" i="2" s="1"/>
  <c r="S15" i="2" s="1"/>
  <c r="U15" i="2" s="1"/>
  <c r="AA9" i="2"/>
  <c r="AD10" i="2"/>
  <c r="AE8" i="2"/>
  <c r="X11" i="2"/>
  <c r="Z11" i="2"/>
  <c r="Y11" i="2"/>
  <c r="Q8" i="2"/>
  <c r="J13" i="2" s="1"/>
  <c r="K13" i="2" s="1"/>
  <c r="N10" i="2"/>
  <c r="AD16" i="2"/>
  <c r="Z8" i="2"/>
  <c r="Q9" i="2"/>
  <c r="J14" i="2" s="1"/>
  <c r="K14" i="2" s="1"/>
  <c r="L12" i="2"/>
  <c r="M12" i="2"/>
  <c r="Y12" i="2"/>
  <c r="X12" i="2"/>
  <c r="AE12" i="2" l="1"/>
  <c r="M13" i="2"/>
  <c r="L13" i="2"/>
  <c r="N13" i="2"/>
  <c r="AA11" i="2"/>
  <c r="AB11" i="2" s="1"/>
  <c r="V16" i="2" s="1"/>
  <c r="S16" i="2" s="1"/>
  <c r="U16" i="2" s="1"/>
  <c r="AD12" i="2"/>
  <c r="AE11" i="2"/>
  <c r="L14" i="2"/>
  <c r="N14" i="2"/>
  <c r="M14" i="2"/>
  <c r="Q16" i="2"/>
  <c r="J21" i="2" s="1"/>
  <c r="K21" i="2" s="1"/>
  <c r="W15" i="2"/>
  <c r="AG15" i="2"/>
  <c r="N12" i="2"/>
  <c r="AA8" i="2"/>
  <c r="AB8" i="2"/>
  <c r="V13" i="2" s="1"/>
  <c r="S13" i="2" s="1"/>
  <c r="U13" i="2" s="1"/>
  <c r="P10" i="2"/>
  <c r="Z12" i="2"/>
  <c r="AB9" i="2"/>
  <c r="V14" i="2" s="1"/>
  <c r="S14" i="2" s="1"/>
  <c r="U14" i="2" s="1"/>
  <c r="W16" i="2" l="1"/>
  <c r="AG16" i="2"/>
  <c r="P12" i="2"/>
  <c r="AG14" i="2"/>
  <c r="W14" i="2"/>
  <c r="P13" i="2"/>
  <c r="Q13" i="2"/>
  <c r="J18" i="2" s="1"/>
  <c r="K18" i="2" s="1"/>
  <c r="P14" i="2"/>
  <c r="Q14" i="2" s="1"/>
  <c r="J19" i="2" s="1"/>
  <c r="K19" i="2" s="1"/>
  <c r="AD14" i="2"/>
  <c r="Y15" i="2"/>
  <c r="X15" i="2"/>
  <c r="M21" i="2"/>
  <c r="L21" i="2"/>
  <c r="AA12" i="2"/>
  <c r="AD13" i="2"/>
  <c r="Q10" i="2"/>
  <c r="J15" i="2" s="1"/>
  <c r="K15" i="2" s="1"/>
  <c r="W13" i="2"/>
  <c r="AG13" i="2"/>
  <c r="M19" i="2" l="1"/>
  <c r="L19" i="2"/>
  <c r="AB12" i="2"/>
  <c r="V17" i="2" s="1"/>
  <c r="S17" i="2" s="1"/>
  <c r="U17" i="2" s="1"/>
  <c r="AD21" i="2"/>
  <c r="Q12" i="2"/>
  <c r="J17" i="2" s="1"/>
  <c r="K17" i="2" s="1"/>
  <c r="AE15" i="2"/>
  <c r="Y13" i="2"/>
  <c r="X13" i="2"/>
  <c r="Z13" i="2" s="1"/>
  <c r="Y14" i="2"/>
  <c r="X14" i="2"/>
  <c r="Z15" i="2"/>
  <c r="N18" i="2"/>
  <c r="M18" i="2"/>
  <c r="L18" i="2"/>
  <c r="N21" i="2"/>
  <c r="M15" i="2"/>
  <c r="L15" i="2"/>
  <c r="N15" i="2"/>
  <c r="Y16" i="2"/>
  <c r="X16" i="2"/>
  <c r="Z16" i="2" s="1"/>
  <c r="AA16" i="2" l="1"/>
  <c r="AA13" i="2"/>
  <c r="AA15" i="2"/>
  <c r="AE14" i="2"/>
  <c r="P15" i="2"/>
  <c r="Q15" i="2"/>
  <c r="J20" i="2" s="1"/>
  <c r="K20" i="2" s="1"/>
  <c r="P18" i="2"/>
  <c r="Q18" i="2" s="1"/>
  <c r="J23" i="2" s="1"/>
  <c r="K23" i="2" s="1"/>
  <c r="M17" i="2"/>
  <c r="L17" i="2"/>
  <c r="AD17" i="2" s="1"/>
  <c r="Z14" i="2"/>
  <c r="P21" i="2"/>
  <c r="Q21" i="2" s="1"/>
  <c r="J26" i="2" s="1"/>
  <c r="K26" i="2" s="1"/>
  <c r="AE16" i="2"/>
  <c r="AE13" i="2"/>
  <c r="W17" i="2"/>
  <c r="AG17" i="2"/>
  <c r="AD15" i="2"/>
  <c r="AD19" i="2"/>
  <c r="AD18" i="2"/>
  <c r="N19" i="2"/>
  <c r="L26" i="2" l="1"/>
  <c r="M26" i="2"/>
  <c r="N26" i="2"/>
  <c r="M23" i="2"/>
  <c r="L23" i="2"/>
  <c r="AD23" i="2" s="1"/>
  <c r="X17" i="2"/>
  <c r="AE17" i="2" s="1"/>
  <c r="Y17" i="2"/>
  <c r="AA14" i="2"/>
  <c r="AB15" i="2"/>
  <c r="V20" i="2" s="1"/>
  <c r="S20" i="2" s="1"/>
  <c r="U20" i="2" s="1"/>
  <c r="M20" i="2"/>
  <c r="L20" i="2"/>
  <c r="AD20" i="2" s="1"/>
  <c r="AB13" i="2"/>
  <c r="V18" i="2" s="1"/>
  <c r="S18" i="2" s="1"/>
  <c r="U18" i="2" s="1"/>
  <c r="P19" i="2"/>
  <c r="Q19" i="2" s="1"/>
  <c r="J24" i="2" s="1"/>
  <c r="K24" i="2" s="1"/>
  <c r="N17" i="2"/>
  <c r="AB16" i="2"/>
  <c r="V21" i="2" s="1"/>
  <c r="S21" i="2" s="1"/>
  <c r="U21" i="2" s="1"/>
  <c r="Z17" i="2" l="1"/>
  <c r="M24" i="2"/>
  <c r="L24" i="2"/>
  <c r="AD24" i="2" s="1"/>
  <c r="W18" i="2"/>
  <c r="AG18" i="2"/>
  <c r="P17" i="2"/>
  <c r="Q17" i="2"/>
  <c r="J22" i="2" s="1"/>
  <c r="K22" i="2" s="1"/>
  <c r="AB14" i="2"/>
  <c r="V19" i="2" s="1"/>
  <c r="S19" i="2" s="1"/>
  <c r="U19" i="2" s="1"/>
  <c r="AA17" i="2"/>
  <c r="N23" i="2"/>
  <c r="P26" i="2"/>
  <c r="Q26" i="2" s="1"/>
  <c r="J31" i="2" s="1"/>
  <c r="K31" i="2" s="1"/>
  <c r="N20" i="2"/>
  <c r="AG21" i="2"/>
  <c r="W21" i="2"/>
  <c r="AG20" i="2"/>
  <c r="W20" i="2"/>
  <c r="AD26" i="2"/>
  <c r="M31" i="2" l="1"/>
  <c r="L31" i="2"/>
  <c r="AD31" i="2" s="1"/>
  <c r="N31" i="2"/>
  <c r="Y20" i="2"/>
  <c r="X20" i="2"/>
  <c r="P20" i="2"/>
  <c r="Q20" i="2" s="1"/>
  <c r="J25" i="2" s="1"/>
  <c r="K25" i="2" s="1"/>
  <c r="Y18" i="2"/>
  <c r="X18" i="2"/>
  <c r="AE18" i="2" s="1"/>
  <c r="AB17" i="2"/>
  <c r="V22" i="2" s="1"/>
  <c r="S22" i="2" s="1"/>
  <c r="U22" i="2" s="1"/>
  <c r="AG19" i="2"/>
  <c r="W19" i="2"/>
  <c r="L22" i="2"/>
  <c r="AD22" i="2" s="1"/>
  <c r="M22" i="2"/>
  <c r="Y21" i="2"/>
  <c r="X21" i="2"/>
  <c r="AE21" i="2" s="1"/>
  <c r="P23" i="2"/>
  <c r="Q23" i="2" s="1"/>
  <c r="J28" i="2" s="1"/>
  <c r="K28" i="2" s="1"/>
  <c r="N24" i="2"/>
  <c r="M28" i="2" l="1"/>
  <c r="L28" i="2"/>
  <c r="AD28" i="2" s="1"/>
  <c r="M25" i="2"/>
  <c r="L25" i="2"/>
  <c r="AD25" i="2" s="1"/>
  <c r="Z21" i="2"/>
  <c r="P31" i="2"/>
  <c r="Q31" i="2" s="1"/>
  <c r="J36" i="2" s="1"/>
  <c r="K36" i="2" s="1"/>
  <c r="AE20" i="2"/>
  <c r="N22" i="2"/>
  <c r="Y19" i="2"/>
  <c r="X19" i="2"/>
  <c r="W22" i="2"/>
  <c r="AG22" i="2"/>
  <c r="Z18" i="2"/>
  <c r="Z20" i="2"/>
  <c r="P24" i="2"/>
  <c r="Q24" i="2" s="1"/>
  <c r="J29" i="2" s="1"/>
  <c r="K29" i="2" s="1"/>
  <c r="M36" i="2" l="1"/>
  <c r="L36" i="2"/>
  <c r="AD36" i="2" s="1"/>
  <c r="M29" i="2"/>
  <c r="L29" i="2"/>
  <c r="AD29" i="2" s="1"/>
  <c r="Y22" i="2"/>
  <c r="X22" i="2"/>
  <c r="AE22" i="2" s="1"/>
  <c r="P22" i="2"/>
  <c r="Q22" i="2" s="1"/>
  <c r="J27" i="2" s="1"/>
  <c r="K27" i="2" s="1"/>
  <c r="AA20" i="2"/>
  <c r="AB20" i="2" s="1"/>
  <c r="V25" i="2" s="1"/>
  <c r="S25" i="2" s="1"/>
  <c r="U25" i="2" s="1"/>
  <c r="AA18" i="2"/>
  <c r="AB18" i="2" s="1"/>
  <c r="V23" i="2" s="1"/>
  <c r="S23" i="2" s="1"/>
  <c r="U23" i="2" s="1"/>
  <c r="N25" i="2"/>
  <c r="AA21" i="2"/>
  <c r="AB21" i="2" s="1"/>
  <c r="V26" i="2" s="1"/>
  <c r="S26" i="2" s="1"/>
  <c r="U26" i="2" s="1"/>
  <c r="AE19" i="2"/>
  <c r="Z19" i="2"/>
  <c r="N28" i="2"/>
  <c r="AG26" i="2" l="1"/>
  <c r="W26" i="2"/>
  <c r="W25" i="2"/>
  <c r="AG25" i="2"/>
  <c r="W23" i="2"/>
  <c r="AG23" i="2"/>
  <c r="M27" i="2"/>
  <c r="L27" i="2"/>
  <c r="AD27" i="2" s="1"/>
  <c r="AA19" i="2"/>
  <c r="AB19" i="2" s="1"/>
  <c r="V24" i="2" s="1"/>
  <c r="S24" i="2" s="1"/>
  <c r="U24" i="2" s="1"/>
  <c r="Q28" i="2"/>
  <c r="J33" i="2" s="1"/>
  <c r="K33" i="2" s="1"/>
  <c r="P28" i="2"/>
  <c r="N29" i="2"/>
  <c r="Z22" i="2"/>
  <c r="P25" i="2"/>
  <c r="Q25" i="2"/>
  <c r="J30" i="2" s="1"/>
  <c r="K30" i="2" s="1"/>
  <c r="N36" i="2"/>
  <c r="W24" i="2" l="1"/>
  <c r="AG24" i="2"/>
  <c r="P36" i="2"/>
  <c r="Q36" i="2"/>
  <c r="J41" i="2" s="1"/>
  <c r="K41" i="2" s="1"/>
  <c r="X23" i="2"/>
  <c r="AE23" i="2" s="1"/>
  <c r="Y23" i="2"/>
  <c r="P29" i="2"/>
  <c r="Q29" i="2"/>
  <c r="J34" i="2" s="1"/>
  <c r="K34" i="2" s="1"/>
  <c r="M33" i="2"/>
  <c r="L33" i="2"/>
  <c r="AD33" i="2" s="1"/>
  <c r="N27" i="2"/>
  <c r="L30" i="2"/>
  <c r="AD30" i="2" s="1"/>
  <c r="M30" i="2"/>
  <c r="AA22" i="2"/>
  <c r="AB22" i="2"/>
  <c r="V27" i="2" s="1"/>
  <c r="S27" i="2" s="1"/>
  <c r="U27" i="2" s="1"/>
  <c r="Y25" i="2"/>
  <c r="X25" i="2"/>
  <c r="Y26" i="2"/>
  <c r="X26" i="2"/>
  <c r="AE26" i="2" s="1"/>
  <c r="N33" i="2" l="1"/>
  <c r="Z26" i="2"/>
  <c r="AE25" i="2"/>
  <c r="M34" i="2"/>
  <c r="L34" i="2"/>
  <c r="AD34" i="2" s="1"/>
  <c r="Z25" i="2"/>
  <c r="W27" i="2"/>
  <c r="AG27" i="2"/>
  <c r="Z23" i="2"/>
  <c r="N41" i="2"/>
  <c r="M41" i="2"/>
  <c r="L41" i="2"/>
  <c r="AD41" i="2" s="1"/>
  <c r="N30" i="2"/>
  <c r="P27" i="2"/>
  <c r="Q27" i="2" s="1"/>
  <c r="J32" i="2" s="1"/>
  <c r="K32" i="2" s="1"/>
  <c r="Y24" i="2"/>
  <c r="X24" i="2"/>
  <c r="Z24" i="2" s="1"/>
  <c r="AA24" i="2" l="1"/>
  <c r="AB24" i="2" s="1"/>
  <c r="V29" i="2" s="1"/>
  <c r="S29" i="2" s="1"/>
  <c r="U29" i="2" s="1"/>
  <c r="M32" i="2"/>
  <c r="L32" i="2"/>
  <c r="AD32" i="2" s="1"/>
  <c r="AA23" i="2"/>
  <c r="AB23" i="2" s="1"/>
  <c r="V28" i="2" s="1"/>
  <c r="S28" i="2" s="1"/>
  <c r="U28" i="2" s="1"/>
  <c r="AE24" i="2"/>
  <c r="N34" i="2"/>
  <c r="X27" i="2"/>
  <c r="AE27" i="2" s="1"/>
  <c r="Y27" i="2"/>
  <c r="P41" i="2"/>
  <c r="Q41" i="2"/>
  <c r="J46" i="2" s="1"/>
  <c r="K46" i="2" s="1"/>
  <c r="AA25" i="2"/>
  <c r="AB25" i="2" s="1"/>
  <c r="V30" i="2" s="1"/>
  <c r="S30" i="2" s="1"/>
  <c r="U30" i="2" s="1"/>
  <c r="P30" i="2"/>
  <c r="Q30" i="2" s="1"/>
  <c r="J35" i="2" s="1"/>
  <c r="K35" i="2" s="1"/>
  <c r="AA26" i="2"/>
  <c r="AB26" i="2"/>
  <c r="V31" i="2" s="1"/>
  <c r="S31" i="2" s="1"/>
  <c r="U31" i="2" s="1"/>
  <c r="P33" i="2"/>
  <c r="Q33" i="2"/>
  <c r="J38" i="2" s="1"/>
  <c r="K38" i="2" s="1"/>
  <c r="M35" i="2" l="1"/>
  <c r="L35" i="2"/>
  <c r="AD35" i="2" s="1"/>
  <c r="W30" i="2"/>
  <c r="AG30" i="2"/>
  <c r="W28" i="2"/>
  <c r="AG28" i="2"/>
  <c r="AG29" i="2"/>
  <c r="W29" i="2"/>
  <c r="Z27" i="2"/>
  <c r="P34" i="2"/>
  <c r="Q34" i="2" s="1"/>
  <c r="J39" i="2" s="1"/>
  <c r="K39" i="2" s="1"/>
  <c r="L38" i="2"/>
  <c r="AD38" i="2" s="1"/>
  <c r="N38" i="2"/>
  <c r="M38" i="2"/>
  <c r="W31" i="2"/>
  <c r="AG31" i="2"/>
  <c r="M46" i="2"/>
  <c r="L46" i="2"/>
  <c r="AD46" i="2" s="1"/>
  <c r="N32" i="2"/>
  <c r="M39" i="2" l="1"/>
  <c r="L39" i="2"/>
  <c r="AD39" i="2" s="1"/>
  <c r="P32" i="2"/>
  <c r="Q32" i="2" s="1"/>
  <c r="J37" i="2" s="1"/>
  <c r="K37" i="2" s="1"/>
  <c r="Y29" i="2"/>
  <c r="X29" i="2"/>
  <c r="AE29" i="2" s="1"/>
  <c r="Y28" i="2"/>
  <c r="X28" i="2"/>
  <c r="AE28" i="2" s="1"/>
  <c r="Y31" i="2"/>
  <c r="X31" i="2"/>
  <c r="AE31" i="2" s="1"/>
  <c r="Z31" i="2"/>
  <c r="AA27" i="2"/>
  <c r="AB27" i="2" s="1"/>
  <c r="V32" i="2" s="1"/>
  <c r="S32" i="2" s="1"/>
  <c r="U32" i="2" s="1"/>
  <c r="N46" i="2"/>
  <c r="Y30" i="2"/>
  <c r="X30" i="2"/>
  <c r="AE30" i="2" s="1"/>
  <c r="P38" i="2"/>
  <c r="Q38" i="2" s="1"/>
  <c r="J43" i="2" s="1"/>
  <c r="K43" i="2" s="1"/>
  <c r="N35" i="2"/>
  <c r="AG32" i="2" l="1"/>
  <c r="W32" i="2"/>
  <c r="M43" i="2"/>
  <c r="L43" i="2"/>
  <c r="AD43" i="2" s="1"/>
  <c r="L37" i="2"/>
  <c r="AD37" i="2" s="1"/>
  <c r="M37" i="2"/>
  <c r="P35" i="2"/>
  <c r="Q35" i="2" s="1"/>
  <c r="J40" i="2" s="1"/>
  <c r="K40" i="2" s="1"/>
  <c r="P46" i="2"/>
  <c r="Q46" i="2" s="1"/>
  <c r="J51" i="2" s="1"/>
  <c r="K51" i="2" s="1"/>
  <c r="Z28" i="2"/>
  <c r="Z30" i="2"/>
  <c r="Z29" i="2"/>
  <c r="N39" i="2"/>
  <c r="AA31" i="2"/>
  <c r="AB31" i="2" s="1"/>
  <c r="V36" i="2" s="1"/>
  <c r="S36" i="2" s="1"/>
  <c r="U36" i="2" s="1"/>
  <c r="M51" i="2" l="1"/>
  <c r="L51" i="2"/>
  <c r="AD51" i="2" s="1"/>
  <c r="N51" i="2"/>
  <c r="M40" i="2"/>
  <c r="L40" i="2"/>
  <c r="AD40" i="2" s="1"/>
  <c r="W36" i="2"/>
  <c r="AG36" i="2"/>
  <c r="N37" i="2"/>
  <c r="P39" i="2"/>
  <c r="Q39" i="2" s="1"/>
  <c r="J44" i="2" s="1"/>
  <c r="K44" i="2" s="1"/>
  <c r="AB29" i="2"/>
  <c r="V34" i="2" s="1"/>
  <c r="S34" i="2" s="1"/>
  <c r="U34" i="2" s="1"/>
  <c r="AA29" i="2"/>
  <c r="N43" i="2"/>
  <c r="AA30" i="2"/>
  <c r="AB30" i="2"/>
  <c r="V35" i="2" s="1"/>
  <c r="S35" i="2" s="1"/>
  <c r="U35" i="2" s="1"/>
  <c r="X32" i="2"/>
  <c r="AE32" i="2" s="1"/>
  <c r="Y32" i="2"/>
  <c r="AA28" i="2"/>
  <c r="AB28" i="2" s="1"/>
  <c r="V33" i="2" s="1"/>
  <c r="S33" i="2" s="1"/>
  <c r="U33" i="2" s="1"/>
  <c r="M44" i="2" l="1"/>
  <c r="L44" i="2"/>
  <c r="AD44" i="2" s="1"/>
  <c r="AG33" i="2"/>
  <c r="W33" i="2"/>
  <c r="W34" i="2"/>
  <c r="AG34" i="2"/>
  <c r="Y36" i="2"/>
  <c r="X36" i="2"/>
  <c r="AE36" i="2" s="1"/>
  <c r="Z32" i="2"/>
  <c r="W35" i="2"/>
  <c r="AG35" i="2"/>
  <c r="N40" i="2"/>
  <c r="P51" i="2"/>
  <c r="Q51" i="2" s="1"/>
  <c r="J56" i="2" s="1"/>
  <c r="K56" i="2" s="1"/>
  <c r="P37" i="2"/>
  <c r="Q37" i="2"/>
  <c r="J42" i="2" s="1"/>
  <c r="K42" i="2" s="1"/>
  <c r="P43" i="2"/>
  <c r="Q43" i="2" s="1"/>
  <c r="J48" i="2" s="1"/>
  <c r="K48" i="2" s="1"/>
  <c r="M48" i="2" l="1"/>
  <c r="L48" i="2"/>
  <c r="AD48" i="2" s="1"/>
  <c r="N48" i="2"/>
  <c r="M56" i="2"/>
  <c r="L56" i="2"/>
  <c r="AD56" i="2" s="1"/>
  <c r="X35" i="2"/>
  <c r="AE35" i="2" s="1"/>
  <c r="Y35" i="2"/>
  <c r="AA32" i="2"/>
  <c r="AB32" i="2" s="1"/>
  <c r="V37" i="2" s="1"/>
  <c r="S37" i="2" s="1"/>
  <c r="U37" i="2" s="1"/>
  <c r="Z36" i="2"/>
  <c r="M42" i="2"/>
  <c r="L42" i="2"/>
  <c r="AD42" i="2" s="1"/>
  <c r="Y34" i="2"/>
  <c r="X34" i="2"/>
  <c r="AE34" i="2" s="1"/>
  <c r="X33" i="2"/>
  <c r="AE33" i="2" s="1"/>
  <c r="Z33" i="2"/>
  <c r="Y33" i="2"/>
  <c r="P40" i="2"/>
  <c r="Q40" i="2" s="1"/>
  <c r="J45" i="2" s="1"/>
  <c r="K45" i="2" s="1"/>
  <c r="N44" i="2"/>
  <c r="W37" i="2" l="1"/>
  <c r="AG37" i="2"/>
  <c r="M45" i="2"/>
  <c r="L45" i="2"/>
  <c r="AD45" i="2" s="1"/>
  <c r="P44" i="2"/>
  <c r="Q44" i="2" s="1"/>
  <c r="J49" i="2" s="1"/>
  <c r="K49" i="2" s="1"/>
  <c r="AA36" i="2"/>
  <c r="AB36" i="2" s="1"/>
  <c r="V41" i="2" s="1"/>
  <c r="S41" i="2" s="1"/>
  <c r="U41" i="2" s="1"/>
  <c r="AA33" i="2"/>
  <c r="AB33" i="2" s="1"/>
  <c r="V38" i="2" s="1"/>
  <c r="S38" i="2" s="1"/>
  <c r="U38" i="2" s="1"/>
  <c r="Z35" i="2"/>
  <c r="Z34" i="2"/>
  <c r="N56" i="2"/>
  <c r="P48" i="2"/>
  <c r="Q48" i="2" s="1"/>
  <c r="J53" i="2" s="1"/>
  <c r="K53" i="2" s="1"/>
  <c r="N42" i="2"/>
  <c r="M53" i="2" l="1"/>
  <c r="L53" i="2"/>
  <c r="AD53" i="2" s="1"/>
  <c r="AG41" i="2"/>
  <c r="W41" i="2"/>
  <c r="W38" i="2"/>
  <c r="AG38" i="2"/>
  <c r="L49" i="2"/>
  <c r="AD49" i="2" s="1"/>
  <c r="M49" i="2"/>
  <c r="AA35" i="2"/>
  <c r="AB35" i="2" s="1"/>
  <c r="V40" i="2" s="1"/>
  <c r="S40" i="2" s="1"/>
  <c r="U40" i="2" s="1"/>
  <c r="P42" i="2"/>
  <c r="Q42" i="2" s="1"/>
  <c r="J47" i="2" s="1"/>
  <c r="K47" i="2" s="1"/>
  <c r="P56" i="2"/>
  <c r="Q56" i="2" s="1"/>
  <c r="J61" i="2" s="1"/>
  <c r="K61" i="2" s="1"/>
  <c r="N45" i="2"/>
  <c r="AA34" i="2"/>
  <c r="AB34" i="2" s="1"/>
  <c r="V39" i="2" s="1"/>
  <c r="S39" i="2" s="1"/>
  <c r="U39" i="2" s="1"/>
  <c r="Y37" i="2"/>
  <c r="X37" i="2"/>
  <c r="AE37" i="2" s="1"/>
  <c r="L47" i="2" l="1"/>
  <c r="AD47" i="2" s="1"/>
  <c r="M47" i="2"/>
  <c r="N47" i="2"/>
  <c r="M61" i="2"/>
  <c r="L61" i="2"/>
  <c r="AD61" i="2" s="1"/>
  <c r="W40" i="2"/>
  <c r="AG40" i="2"/>
  <c r="W39" i="2"/>
  <c r="AG39" i="2"/>
  <c r="N49" i="2"/>
  <c r="Z37" i="2"/>
  <c r="Y38" i="2"/>
  <c r="X38" i="2"/>
  <c r="AE38" i="2" s="1"/>
  <c r="P45" i="2"/>
  <c r="Q45" i="2" s="1"/>
  <c r="J50" i="2" s="1"/>
  <c r="K50" i="2" s="1"/>
  <c r="X41" i="2"/>
  <c r="AE41" i="2" s="1"/>
  <c r="Y41" i="2"/>
  <c r="N53" i="2"/>
  <c r="L50" i="2" l="1"/>
  <c r="AD50" i="2" s="1"/>
  <c r="M50" i="2"/>
  <c r="N50" i="2"/>
  <c r="N61" i="2"/>
  <c r="AA37" i="2"/>
  <c r="AB37" i="2" s="1"/>
  <c r="V42" i="2" s="1"/>
  <c r="S42" i="2" s="1"/>
  <c r="U42" i="2" s="1"/>
  <c r="P53" i="2"/>
  <c r="Q53" i="2" s="1"/>
  <c r="J58" i="2" s="1"/>
  <c r="K58" i="2" s="1"/>
  <c r="Y40" i="2"/>
  <c r="X40" i="2"/>
  <c r="AE40" i="2" s="1"/>
  <c r="Z41" i="2"/>
  <c r="P47" i="2"/>
  <c r="Q47" i="2" s="1"/>
  <c r="J52" i="2" s="1"/>
  <c r="K52" i="2" s="1"/>
  <c r="P49" i="2"/>
  <c r="Q49" i="2"/>
  <c r="J54" i="2" s="1"/>
  <c r="K54" i="2" s="1"/>
  <c r="Y39" i="2"/>
  <c r="X39" i="2"/>
  <c r="AE39" i="2" s="1"/>
  <c r="Z38" i="2"/>
  <c r="M52" i="2" l="1"/>
  <c r="L52" i="2"/>
  <c r="AD52" i="2" s="1"/>
  <c r="L58" i="2"/>
  <c r="AD58" i="2" s="1"/>
  <c r="M58" i="2"/>
  <c r="W42" i="2"/>
  <c r="AG42" i="2"/>
  <c r="Z40" i="2"/>
  <c r="Z39" i="2"/>
  <c r="AA41" i="2"/>
  <c r="AB41" i="2" s="1"/>
  <c r="V46" i="2" s="1"/>
  <c r="S46" i="2" s="1"/>
  <c r="U46" i="2" s="1"/>
  <c r="AA38" i="2"/>
  <c r="AB38" i="2" s="1"/>
  <c r="V43" i="2" s="1"/>
  <c r="S43" i="2" s="1"/>
  <c r="U43" i="2" s="1"/>
  <c r="M54" i="2"/>
  <c r="L54" i="2"/>
  <c r="AD54" i="2" s="1"/>
  <c r="P61" i="2"/>
  <c r="Q61" i="2" s="1"/>
  <c r="J66" i="2" s="1"/>
  <c r="K66" i="2" s="1"/>
  <c r="P50" i="2"/>
  <c r="Q50" i="2" s="1"/>
  <c r="J55" i="2" s="1"/>
  <c r="K55" i="2" s="1"/>
  <c r="W43" i="2" l="1"/>
  <c r="AG43" i="2"/>
  <c r="W46" i="2"/>
  <c r="AG46" i="2"/>
  <c r="M55" i="2"/>
  <c r="L55" i="2"/>
  <c r="AD55" i="2" s="1"/>
  <c r="M66" i="2"/>
  <c r="L66" i="2"/>
  <c r="AD66" i="2" s="1"/>
  <c r="AA40" i="2"/>
  <c r="AB40" i="2" s="1"/>
  <c r="V45" i="2" s="1"/>
  <c r="S45" i="2" s="1"/>
  <c r="U45" i="2" s="1"/>
  <c r="AA39" i="2"/>
  <c r="AB39" i="2" s="1"/>
  <c r="V44" i="2" s="1"/>
  <c r="S44" i="2" s="1"/>
  <c r="U44" i="2" s="1"/>
  <c r="X42" i="2"/>
  <c r="AE42" i="2" s="1"/>
  <c r="Y42" i="2"/>
  <c r="N58" i="2"/>
  <c r="N54" i="2"/>
  <c r="N52" i="2"/>
  <c r="Z42" i="2" l="1"/>
  <c r="AG44" i="2"/>
  <c r="W44" i="2"/>
  <c r="AG45" i="2"/>
  <c r="W45" i="2"/>
  <c r="P52" i="2"/>
  <c r="Q52" i="2" s="1"/>
  <c r="J57" i="2" s="1"/>
  <c r="K57" i="2" s="1"/>
  <c r="N66" i="2"/>
  <c r="P54" i="2"/>
  <c r="Q54" i="2" s="1"/>
  <c r="J59" i="2" s="1"/>
  <c r="K59" i="2" s="1"/>
  <c r="P58" i="2"/>
  <c r="Q58" i="2" s="1"/>
  <c r="J63" i="2" s="1"/>
  <c r="K63" i="2" s="1"/>
  <c r="N55" i="2"/>
  <c r="AA42" i="2"/>
  <c r="AB42" i="2" s="1"/>
  <c r="V47" i="2" s="1"/>
  <c r="S47" i="2" s="1"/>
  <c r="U47" i="2" s="1"/>
  <c r="Y46" i="2"/>
  <c r="X46" i="2"/>
  <c r="AE46" i="2" s="1"/>
  <c r="X43" i="2"/>
  <c r="AE43" i="2" s="1"/>
  <c r="Y43" i="2"/>
  <c r="W47" i="2" l="1"/>
  <c r="AG47" i="2"/>
  <c r="M63" i="2"/>
  <c r="L63" i="2"/>
  <c r="AD63" i="2" s="1"/>
  <c r="L59" i="2"/>
  <c r="AD59" i="2" s="1"/>
  <c r="N59" i="2"/>
  <c r="M59" i="2"/>
  <c r="P55" i="2"/>
  <c r="Q55" i="2" s="1"/>
  <c r="J60" i="2" s="1"/>
  <c r="K60" i="2" s="1"/>
  <c r="M57" i="2"/>
  <c r="L57" i="2"/>
  <c r="AD57" i="2" s="1"/>
  <c r="Y45" i="2"/>
  <c r="X45" i="2"/>
  <c r="AE45" i="2" s="1"/>
  <c r="P66" i="2"/>
  <c r="Q66" i="2" s="1"/>
  <c r="J71" i="2" s="1"/>
  <c r="K71" i="2" s="1"/>
  <c r="Z43" i="2"/>
  <c r="Z46" i="2"/>
  <c r="X44" i="2"/>
  <c r="AE44" i="2" s="1"/>
  <c r="Z44" i="2"/>
  <c r="Y44" i="2"/>
  <c r="N57" i="2" l="1"/>
  <c r="M60" i="2"/>
  <c r="L60" i="2"/>
  <c r="AD60" i="2" s="1"/>
  <c r="N60" i="2"/>
  <c r="L71" i="2"/>
  <c r="AD71" i="2" s="1"/>
  <c r="N71" i="2"/>
  <c r="M71" i="2"/>
  <c r="AA44" i="2"/>
  <c r="AB44" i="2" s="1"/>
  <c r="V49" i="2" s="1"/>
  <c r="S49" i="2" s="1"/>
  <c r="U49" i="2" s="1"/>
  <c r="P57" i="2"/>
  <c r="Q57" i="2" s="1"/>
  <c r="J62" i="2" s="1"/>
  <c r="K62" i="2" s="1"/>
  <c r="P59" i="2"/>
  <c r="Q59" i="2" s="1"/>
  <c r="J64" i="2" s="1"/>
  <c r="K64" i="2" s="1"/>
  <c r="AA46" i="2"/>
  <c r="AB46" i="2"/>
  <c r="V51" i="2" s="1"/>
  <c r="S51" i="2" s="1"/>
  <c r="U51" i="2" s="1"/>
  <c r="AA43" i="2"/>
  <c r="AB43" i="2" s="1"/>
  <c r="V48" i="2" s="1"/>
  <c r="S48" i="2" s="1"/>
  <c r="U48" i="2" s="1"/>
  <c r="N63" i="2"/>
  <c r="Z45" i="2"/>
  <c r="X47" i="2"/>
  <c r="AE47" i="2" s="1"/>
  <c r="Y47" i="2"/>
  <c r="Z47" i="2" l="1"/>
  <c r="AA47" i="2" s="1"/>
  <c r="AB47" i="2" s="1"/>
  <c r="V52" i="2" s="1"/>
  <c r="S52" i="2" s="1"/>
  <c r="U52" i="2" s="1"/>
  <c r="M64" i="2"/>
  <c r="L64" i="2"/>
  <c r="AD64" i="2" s="1"/>
  <c r="W48" i="2"/>
  <c r="AG48" i="2"/>
  <c r="L62" i="2"/>
  <c r="AD62" i="2" s="1"/>
  <c r="M62" i="2"/>
  <c r="W49" i="2"/>
  <c r="AG49" i="2"/>
  <c r="P71" i="2"/>
  <c r="Q71" i="2" s="1"/>
  <c r="J76" i="2" s="1"/>
  <c r="K76" i="2" s="1"/>
  <c r="AA45" i="2"/>
  <c r="AB45" i="2"/>
  <c r="V50" i="2" s="1"/>
  <c r="S50" i="2" s="1"/>
  <c r="U50" i="2" s="1"/>
  <c r="P63" i="2"/>
  <c r="Q63" i="2" s="1"/>
  <c r="J68" i="2" s="1"/>
  <c r="K68" i="2" s="1"/>
  <c r="P60" i="2"/>
  <c r="Q60" i="2" s="1"/>
  <c r="J65" i="2" s="1"/>
  <c r="K65" i="2" s="1"/>
  <c r="W51" i="2"/>
  <c r="AG51" i="2"/>
  <c r="M76" i="2" l="1"/>
  <c r="L76" i="2"/>
  <c r="AD76" i="2" s="1"/>
  <c r="W52" i="2"/>
  <c r="AG52" i="2"/>
  <c r="M65" i="2"/>
  <c r="L65" i="2"/>
  <c r="AD65" i="2" s="1"/>
  <c r="M68" i="2"/>
  <c r="L68" i="2"/>
  <c r="AD68" i="2" s="1"/>
  <c r="Z49" i="2"/>
  <c r="Y49" i="2"/>
  <c r="X49" i="2"/>
  <c r="AE49" i="2" s="1"/>
  <c r="N62" i="2"/>
  <c r="Y51" i="2"/>
  <c r="X51" i="2"/>
  <c r="AE51" i="2" s="1"/>
  <c r="W50" i="2"/>
  <c r="AG50" i="2"/>
  <c r="Y48" i="2"/>
  <c r="X48" i="2"/>
  <c r="AE48" i="2" s="1"/>
  <c r="N64" i="2"/>
  <c r="Y50" i="2" l="1"/>
  <c r="X50" i="2"/>
  <c r="AE50" i="2" s="1"/>
  <c r="AA49" i="2"/>
  <c r="AB49" i="2" s="1"/>
  <c r="V54" i="2" s="1"/>
  <c r="S54" i="2" s="1"/>
  <c r="U54" i="2" s="1"/>
  <c r="Z48" i="2"/>
  <c r="N68" i="2"/>
  <c r="N65" i="2"/>
  <c r="P64" i="2"/>
  <c r="Q64" i="2" s="1"/>
  <c r="J69" i="2" s="1"/>
  <c r="K69" i="2" s="1"/>
  <c r="Z51" i="2"/>
  <c r="Y52" i="2"/>
  <c r="X52" i="2"/>
  <c r="AE52" i="2" s="1"/>
  <c r="P62" i="2"/>
  <c r="Q62" i="2" s="1"/>
  <c r="J67" i="2" s="1"/>
  <c r="K67" i="2" s="1"/>
  <c r="N76" i="2"/>
  <c r="Z52" i="2" l="1"/>
  <c r="M69" i="2"/>
  <c r="L69" i="2"/>
  <c r="AD69" i="2" s="1"/>
  <c r="AG54" i="2"/>
  <c r="W54" i="2"/>
  <c r="AA52" i="2"/>
  <c r="AB52" i="2" s="1"/>
  <c r="V57" i="2" s="1"/>
  <c r="S57" i="2" s="1"/>
  <c r="U57" i="2" s="1"/>
  <c r="P76" i="2"/>
  <c r="Q76" i="2" s="1"/>
  <c r="J81" i="2" s="1"/>
  <c r="K81" i="2" s="1"/>
  <c r="AA51" i="2"/>
  <c r="AB51" i="2" s="1"/>
  <c r="V56" i="2" s="1"/>
  <c r="S56" i="2" s="1"/>
  <c r="U56" i="2" s="1"/>
  <c r="P65" i="2"/>
  <c r="Q65" i="2" s="1"/>
  <c r="J70" i="2" s="1"/>
  <c r="K70" i="2" s="1"/>
  <c r="P68" i="2"/>
  <c r="Q68" i="2" s="1"/>
  <c r="J73" i="2" s="1"/>
  <c r="K73" i="2" s="1"/>
  <c r="AA48" i="2"/>
  <c r="AB48" i="2" s="1"/>
  <c r="V53" i="2" s="1"/>
  <c r="S53" i="2" s="1"/>
  <c r="U53" i="2" s="1"/>
  <c r="M67" i="2"/>
  <c r="L67" i="2"/>
  <c r="AD67" i="2" s="1"/>
  <c r="Z50" i="2"/>
  <c r="M70" i="2" l="1"/>
  <c r="L70" i="2"/>
  <c r="AD70" i="2" s="1"/>
  <c r="AG53" i="2"/>
  <c r="W53" i="2"/>
  <c r="M73" i="2"/>
  <c r="L73" i="2"/>
  <c r="AD73" i="2" s="1"/>
  <c r="AG56" i="2"/>
  <c r="W56" i="2"/>
  <c r="N81" i="2"/>
  <c r="M81" i="2"/>
  <c r="L81" i="2"/>
  <c r="AD81" i="2" s="1"/>
  <c r="AG57" i="2"/>
  <c r="W57" i="2"/>
  <c r="Y54" i="2"/>
  <c r="X54" i="2"/>
  <c r="AE54" i="2" s="1"/>
  <c r="AA50" i="2"/>
  <c r="AB50" i="2"/>
  <c r="V55" i="2" s="1"/>
  <c r="S55" i="2" s="1"/>
  <c r="U55" i="2" s="1"/>
  <c r="N67" i="2"/>
  <c r="N69" i="2"/>
  <c r="W55" i="2" l="1"/>
  <c r="AG55" i="2"/>
  <c r="P69" i="2"/>
  <c r="Q69" i="2" s="1"/>
  <c r="J74" i="2" s="1"/>
  <c r="K74" i="2" s="1"/>
  <c r="P67" i="2"/>
  <c r="Q67" i="2" s="1"/>
  <c r="J72" i="2" s="1"/>
  <c r="K72" i="2" s="1"/>
  <c r="N73" i="2"/>
  <c r="P81" i="2"/>
  <c r="Q81" i="2" s="1"/>
  <c r="J86" i="2" s="1"/>
  <c r="K86" i="2" s="1"/>
  <c r="X56" i="2"/>
  <c r="AE56" i="2" s="1"/>
  <c r="Y56" i="2"/>
  <c r="Y53" i="2"/>
  <c r="X53" i="2"/>
  <c r="AE53" i="2" s="1"/>
  <c r="Z54" i="2"/>
  <c r="Y57" i="2"/>
  <c r="X57" i="2"/>
  <c r="AE57" i="2" s="1"/>
  <c r="N70" i="2"/>
  <c r="M86" i="2" l="1"/>
  <c r="L86" i="2"/>
  <c r="AD86" i="2" s="1"/>
  <c r="M72" i="2"/>
  <c r="L72" i="2"/>
  <c r="AD72" i="2" s="1"/>
  <c r="L74" i="2"/>
  <c r="AD74" i="2" s="1"/>
  <c r="M74" i="2"/>
  <c r="N74" i="2"/>
  <c r="Z56" i="2"/>
  <c r="P70" i="2"/>
  <c r="Q70" i="2" s="1"/>
  <c r="J75" i="2" s="1"/>
  <c r="K75" i="2" s="1"/>
  <c r="P73" i="2"/>
  <c r="Q73" i="2" s="1"/>
  <c r="J78" i="2" s="1"/>
  <c r="K78" i="2" s="1"/>
  <c r="Z57" i="2"/>
  <c r="AA54" i="2"/>
  <c r="AB54" i="2" s="1"/>
  <c r="V59" i="2" s="1"/>
  <c r="S59" i="2" s="1"/>
  <c r="U59" i="2" s="1"/>
  <c r="Z53" i="2"/>
  <c r="X55" i="2"/>
  <c r="AE55" i="2" s="1"/>
  <c r="Y55" i="2"/>
  <c r="W59" i="2" l="1"/>
  <c r="AG59" i="2"/>
  <c r="M78" i="2"/>
  <c r="L78" i="2"/>
  <c r="AD78" i="2" s="1"/>
  <c r="M75" i="2"/>
  <c r="L75" i="2"/>
  <c r="AD75" i="2" s="1"/>
  <c r="N75" i="2"/>
  <c r="AA56" i="2"/>
  <c r="AB56" i="2" s="1"/>
  <c r="V61" i="2" s="1"/>
  <c r="S61" i="2" s="1"/>
  <c r="U61" i="2" s="1"/>
  <c r="P74" i="2"/>
  <c r="Q74" i="2" s="1"/>
  <c r="J79" i="2" s="1"/>
  <c r="K79" i="2" s="1"/>
  <c r="AA53" i="2"/>
  <c r="AB53" i="2" s="1"/>
  <c r="V58" i="2" s="1"/>
  <c r="S58" i="2" s="1"/>
  <c r="U58" i="2" s="1"/>
  <c r="Z55" i="2"/>
  <c r="N72" i="2"/>
  <c r="AA57" i="2"/>
  <c r="AB57" i="2" s="1"/>
  <c r="V62" i="2" s="1"/>
  <c r="S62" i="2" s="1"/>
  <c r="U62" i="2" s="1"/>
  <c r="N86" i="2"/>
  <c r="M79" i="2" l="1"/>
  <c r="L79" i="2"/>
  <c r="AD79" i="2" s="1"/>
  <c r="W61" i="2"/>
  <c r="AG61" i="2"/>
  <c r="W58" i="2"/>
  <c r="AG58" i="2"/>
  <c r="W62" i="2"/>
  <c r="AG62" i="2"/>
  <c r="P86" i="2"/>
  <c r="Q86" i="2" s="1"/>
  <c r="J91" i="2" s="1"/>
  <c r="K91" i="2" s="1"/>
  <c r="AB55" i="2"/>
  <c r="V60" i="2" s="1"/>
  <c r="S60" i="2" s="1"/>
  <c r="U60" i="2" s="1"/>
  <c r="AA55" i="2"/>
  <c r="N78" i="2"/>
  <c r="P75" i="2"/>
  <c r="Q75" i="2" s="1"/>
  <c r="J80" i="2" s="1"/>
  <c r="K80" i="2" s="1"/>
  <c r="P72" i="2"/>
  <c r="Q72" i="2" s="1"/>
  <c r="J77" i="2" s="1"/>
  <c r="K77" i="2" s="1"/>
  <c r="X59" i="2"/>
  <c r="AE59" i="2" s="1"/>
  <c r="Y59" i="2"/>
  <c r="Z59" i="2"/>
  <c r="M91" i="2" l="1"/>
  <c r="L91" i="2"/>
  <c r="AD91" i="2" s="1"/>
  <c r="M77" i="2"/>
  <c r="L77" i="2"/>
  <c r="AD77" i="2" s="1"/>
  <c r="M80" i="2"/>
  <c r="L80" i="2"/>
  <c r="AD80" i="2" s="1"/>
  <c r="Y62" i="2"/>
  <c r="X62" i="2"/>
  <c r="AE62" i="2" s="1"/>
  <c r="Y61" i="2"/>
  <c r="X61" i="2"/>
  <c r="AE61" i="2" s="1"/>
  <c r="W60" i="2"/>
  <c r="AG60" i="2"/>
  <c r="AA59" i="2"/>
  <c r="AB59" i="2"/>
  <c r="V64" i="2" s="1"/>
  <c r="S64" i="2" s="1"/>
  <c r="U64" i="2" s="1"/>
  <c r="Y58" i="2"/>
  <c r="X58" i="2"/>
  <c r="AE58" i="2" s="1"/>
  <c r="P78" i="2"/>
  <c r="Q78" i="2" s="1"/>
  <c r="J83" i="2" s="1"/>
  <c r="K83" i="2" s="1"/>
  <c r="N79" i="2"/>
  <c r="L83" i="2" l="1"/>
  <c r="AD83" i="2" s="1"/>
  <c r="N83" i="2"/>
  <c r="M83" i="2"/>
  <c r="Z58" i="2"/>
  <c r="N80" i="2"/>
  <c r="Z62" i="2"/>
  <c r="W64" i="2"/>
  <c r="AG64" i="2"/>
  <c r="Y60" i="2"/>
  <c r="X60" i="2"/>
  <c r="AE60" i="2" s="1"/>
  <c r="Z60" i="2"/>
  <c r="N77" i="2"/>
  <c r="P79" i="2"/>
  <c r="Q79" i="2" s="1"/>
  <c r="J84" i="2" s="1"/>
  <c r="K84" i="2" s="1"/>
  <c r="Z61" i="2"/>
  <c r="N91" i="2"/>
  <c r="M84" i="2" l="1"/>
  <c r="L84" i="2"/>
  <c r="AD84" i="2" s="1"/>
  <c r="N84" i="2"/>
  <c r="P77" i="2"/>
  <c r="Q77" i="2"/>
  <c r="J82" i="2" s="1"/>
  <c r="K82" i="2" s="1"/>
  <c r="Y64" i="2"/>
  <c r="X64" i="2"/>
  <c r="AE64" i="2" s="1"/>
  <c r="AA62" i="2"/>
  <c r="AB62" i="2" s="1"/>
  <c r="V67" i="2" s="1"/>
  <c r="S67" i="2" s="1"/>
  <c r="U67" i="2" s="1"/>
  <c r="P80" i="2"/>
  <c r="Q80" i="2" s="1"/>
  <c r="J85" i="2" s="1"/>
  <c r="K85" i="2" s="1"/>
  <c r="P91" i="2"/>
  <c r="Q91" i="2" s="1"/>
  <c r="J96" i="2" s="1"/>
  <c r="K96" i="2" s="1"/>
  <c r="AA58" i="2"/>
  <c r="AB58" i="2"/>
  <c r="V63" i="2" s="1"/>
  <c r="S63" i="2" s="1"/>
  <c r="U63" i="2" s="1"/>
  <c r="AA61" i="2"/>
  <c r="AB61" i="2"/>
  <c r="V66" i="2" s="1"/>
  <c r="S66" i="2" s="1"/>
  <c r="U66" i="2" s="1"/>
  <c r="AA60" i="2"/>
  <c r="AB60" i="2" s="1"/>
  <c r="V65" i="2" s="1"/>
  <c r="S65" i="2" s="1"/>
  <c r="U65" i="2" s="1"/>
  <c r="P83" i="2"/>
  <c r="Q83" i="2" s="1"/>
  <c r="J88" i="2" s="1"/>
  <c r="K88" i="2" s="1"/>
  <c r="M85" i="2" l="1"/>
  <c r="L85" i="2"/>
  <c r="AD85" i="2" s="1"/>
  <c r="M88" i="2"/>
  <c r="L88" i="2"/>
  <c r="AD88" i="2" s="1"/>
  <c r="M96" i="2"/>
  <c r="L96" i="2"/>
  <c r="AD96" i="2" s="1"/>
  <c r="W67" i="2"/>
  <c r="AG67" i="2"/>
  <c r="AG65" i="2"/>
  <c r="W65" i="2"/>
  <c r="AG66" i="2"/>
  <c r="W66" i="2"/>
  <c r="L82" i="2"/>
  <c r="AD82" i="2" s="1"/>
  <c r="M82" i="2"/>
  <c r="P84" i="2"/>
  <c r="Q84" i="2" s="1"/>
  <c r="J89" i="2" s="1"/>
  <c r="K89" i="2" s="1"/>
  <c r="Z64" i="2"/>
  <c r="W63" i="2"/>
  <c r="AG63" i="2"/>
  <c r="M89" i="2" l="1"/>
  <c r="L89" i="2"/>
  <c r="AD89" i="2" s="1"/>
  <c r="N88" i="2"/>
  <c r="Y63" i="2"/>
  <c r="X63" i="2"/>
  <c r="AE63" i="2" s="1"/>
  <c r="Y67" i="2"/>
  <c r="X67" i="2"/>
  <c r="AE67" i="2" s="1"/>
  <c r="N96" i="2"/>
  <c r="AB64" i="2"/>
  <c r="V69" i="2" s="1"/>
  <c r="S69" i="2" s="1"/>
  <c r="U69" i="2" s="1"/>
  <c r="AA64" i="2"/>
  <c r="N82" i="2"/>
  <c r="Y66" i="2"/>
  <c r="X66" i="2"/>
  <c r="AE66" i="2" s="1"/>
  <c r="Y65" i="2"/>
  <c r="X65" i="2"/>
  <c r="AE65" i="2" s="1"/>
  <c r="N85" i="2"/>
  <c r="AG69" i="2" l="1"/>
  <c r="W69" i="2"/>
  <c r="Z65" i="2"/>
  <c r="Z66" i="2"/>
  <c r="P82" i="2"/>
  <c r="Q82" i="2" s="1"/>
  <c r="J87" i="2" s="1"/>
  <c r="K87" i="2" s="1"/>
  <c r="P96" i="2"/>
  <c r="Q96" i="2" s="1"/>
  <c r="J101" i="2" s="1"/>
  <c r="K101" i="2" s="1"/>
  <c r="P85" i="2"/>
  <c r="Q85" i="2" s="1"/>
  <c r="J90" i="2" s="1"/>
  <c r="K90" i="2" s="1"/>
  <c r="Z67" i="2"/>
  <c r="Z63" i="2"/>
  <c r="P88" i="2"/>
  <c r="Q88" i="2" s="1"/>
  <c r="J93" i="2" s="1"/>
  <c r="K93" i="2" s="1"/>
  <c r="N89" i="2"/>
  <c r="M90" i="2" l="1"/>
  <c r="L90" i="2"/>
  <c r="AD90" i="2" s="1"/>
  <c r="M93" i="2"/>
  <c r="L93" i="2"/>
  <c r="AD93" i="2" s="1"/>
  <c r="M101" i="2"/>
  <c r="L101" i="2"/>
  <c r="AD101" i="2" s="1"/>
  <c r="M87" i="2"/>
  <c r="L87" i="2"/>
  <c r="AD87" i="2" s="1"/>
  <c r="AA67" i="2"/>
  <c r="AB67" i="2" s="1"/>
  <c r="V72" i="2" s="1"/>
  <c r="S72" i="2" s="1"/>
  <c r="U72" i="2" s="1"/>
  <c r="AA65" i="2"/>
  <c r="AB65" i="2" s="1"/>
  <c r="V70" i="2" s="1"/>
  <c r="S70" i="2" s="1"/>
  <c r="U70" i="2" s="1"/>
  <c r="P89" i="2"/>
  <c r="Q89" i="2" s="1"/>
  <c r="J94" i="2" s="1"/>
  <c r="K94" i="2" s="1"/>
  <c r="Y69" i="2"/>
  <c r="X69" i="2"/>
  <c r="AE69" i="2" s="1"/>
  <c r="AA63" i="2"/>
  <c r="AB63" i="2" s="1"/>
  <c r="V68" i="2" s="1"/>
  <c r="S68" i="2" s="1"/>
  <c r="U68" i="2" s="1"/>
  <c r="AB66" i="2"/>
  <c r="V71" i="2" s="1"/>
  <c r="S71" i="2" s="1"/>
  <c r="U71" i="2" s="1"/>
  <c r="AA66" i="2"/>
  <c r="W70" i="2" l="1"/>
  <c r="AG70" i="2"/>
  <c r="W72" i="2"/>
  <c r="AG72" i="2"/>
  <c r="M94" i="2"/>
  <c r="L94" i="2"/>
  <c r="AD94" i="2" s="1"/>
  <c r="AG68" i="2"/>
  <c r="W68" i="2"/>
  <c r="W71" i="2"/>
  <c r="AG71" i="2"/>
  <c r="N87" i="2"/>
  <c r="Z69" i="2"/>
  <c r="N101" i="2"/>
  <c r="N93" i="2"/>
  <c r="N90" i="2"/>
  <c r="X68" i="2" l="1"/>
  <c r="AE68" i="2" s="1"/>
  <c r="Z68" i="2"/>
  <c r="Y68" i="2"/>
  <c r="N94" i="2"/>
  <c r="Y72" i="2"/>
  <c r="X72" i="2"/>
  <c r="AE72" i="2" s="1"/>
  <c r="Z72" i="2"/>
  <c r="P101" i="2"/>
  <c r="Q101" i="2" s="1"/>
  <c r="J106" i="2" s="1"/>
  <c r="K106" i="2" s="1"/>
  <c r="P87" i="2"/>
  <c r="Q87" i="2" s="1"/>
  <c r="J92" i="2" s="1"/>
  <c r="K92" i="2" s="1"/>
  <c r="X71" i="2"/>
  <c r="AE71" i="2" s="1"/>
  <c r="Y71" i="2"/>
  <c r="P90" i="2"/>
  <c r="Q90" i="2" s="1"/>
  <c r="J95" i="2" s="1"/>
  <c r="K95" i="2" s="1"/>
  <c r="P93" i="2"/>
  <c r="Q93" i="2"/>
  <c r="J98" i="2" s="1"/>
  <c r="K98" i="2" s="1"/>
  <c r="AA69" i="2"/>
  <c r="AB69" i="2" s="1"/>
  <c r="V74" i="2" s="1"/>
  <c r="S74" i="2" s="1"/>
  <c r="U74" i="2" s="1"/>
  <c r="Y70" i="2"/>
  <c r="X70" i="2"/>
  <c r="AE70" i="2" s="1"/>
  <c r="M92" i="2" l="1"/>
  <c r="L92" i="2"/>
  <c r="AD92" i="2" s="1"/>
  <c r="L95" i="2"/>
  <c r="AD95" i="2" s="1"/>
  <c r="N95" i="2"/>
  <c r="M95" i="2"/>
  <c r="M106" i="2"/>
  <c r="L106" i="2"/>
  <c r="AD106" i="2" s="1"/>
  <c r="N106" i="2"/>
  <c r="W74" i="2"/>
  <c r="AG74" i="2"/>
  <c r="Z70" i="2"/>
  <c r="M98" i="2"/>
  <c r="L98" i="2"/>
  <c r="AD98" i="2" s="1"/>
  <c r="P94" i="2"/>
  <c r="Q94" i="2" s="1"/>
  <c r="J99" i="2" s="1"/>
  <c r="K99" i="2" s="1"/>
  <c r="AA68" i="2"/>
  <c r="AB68" i="2" s="1"/>
  <c r="V73" i="2" s="1"/>
  <c r="S73" i="2" s="1"/>
  <c r="U73" i="2" s="1"/>
  <c r="AA72" i="2"/>
  <c r="AB72" i="2" s="1"/>
  <c r="V77" i="2" s="1"/>
  <c r="S77" i="2" s="1"/>
  <c r="U77" i="2" s="1"/>
  <c r="Z71" i="2"/>
  <c r="AG77" i="2" l="1"/>
  <c r="W77" i="2"/>
  <c r="W73" i="2"/>
  <c r="AG73" i="2"/>
  <c r="M99" i="2"/>
  <c r="L99" i="2"/>
  <c r="AD99" i="2" s="1"/>
  <c r="AA70" i="2"/>
  <c r="AB70" i="2" s="1"/>
  <c r="V75" i="2" s="1"/>
  <c r="S75" i="2" s="1"/>
  <c r="U75" i="2" s="1"/>
  <c r="Y74" i="2"/>
  <c r="X74" i="2"/>
  <c r="AE74" i="2" s="1"/>
  <c r="AA71" i="2"/>
  <c r="AB71" i="2"/>
  <c r="V76" i="2" s="1"/>
  <c r="S76" i="2" s="1"/>
  <c r="U76" i="2" s="1"/>
  <c r="P106" i="2"/>
  <c r="Q106" i="2" s="1"/>
  <c r="J111" i="2" s="1"/>
  <c r="K111" i="2" s="1"/>
  <c r="P95" i="2"/>
  <c r="Q95" i="2" s="1"/>
  <c r="J100" i="2" s="1"/>
  <c r="K100" i="2" s="1"/>
  <c r="N98" i="2"/>
  <c r="N92" i="2"/>
  <c r="M111" i="2" l="1"/>
  <c r="L111" i="2"/>
  <c r="AD111" i="2" s="1"/>
  <c r="W75" i="2"/>
  <c r="AG75" i="2"/>
  <c r="M100" i="2"/>
  <c r="L100" i="2"/>
  <c r="AD100" i="2" s="1"/>
  <c r="Z74" i="2"/>
  <c r="N99" i="2"/>
  <c r="Z73" i="2"/>
  <c r="Y73" i="2"/>
  <c r="X73" i="2"/>
  <c r="AE73" i="2" s="1"/>
  <c r="P92" i="2"/>
  <c r="Q92" i="2" s="1"/>
  <c r="J97" i="2" s="1"/>
  <c r="K97" i="2" s="1"/>
  <c r="P98" i="2"/>
  <c r="Q98" i="2"/>
  <c r="J103" i="2" s="1"/>
  <c r="K103" i="2" s="1"/>
  <c r="W76" i="2"/>
  <c r="AG76" i="2"/>
  <c r="Y77" i="2"/>
  <c r="X77" i="2"/>
  <c r="AE77" i="2" s="1"/>
  <c r="M97" i="2" l="1"/>
  <c r="L97" i="2"/>
  <c r="AD97" i="2" s="1"/>
  <c r="AA74" i="2"/>
  <c r="AB74" i="2"/>
  <c r="V79" i="2" s="1"/>
  <c r="S79" i="2" s="1"/>
  <c r="U79" i="2" s="1"/>
  <c r="Y76" i="2"/>
  <c r="X76" i="2"/>
  <c r="AE76" i="2" s="1"/>
  <c r="AA73" i="2"/>
  <c r="AB73" i="2" s="1"/>
  <c r="V78" i="2" s="1"/>
  <c r="S78" i="2" s="1"/>
  <c r="U78" i="2" s="1"/>
  <c r="Z77" i="2"/>
  <c r="N100" i="2"/>
  <c r="P99" i="2"/>
  <c r="Q99" i="2" s="1"/>
  <c r="J104" i="2" s="1"/>
  <c r="K104" i="2" s="1"/>
  <c r="M103" i="2"/>
  <c r="L103" i="2"/>
  <c r="AD103" i="2" s="1"/>
  <c r="N103" i="2"/>
  <c r="Y75" i="2"/>
  <c r="X75" i="2"/>
  <c r="AE75" i="2" s="1"/>
  <c r="N111" i="2"/>
  <c r="L104" i="2" l="1"/>
  <c r="AD104" i="2" s="1"/>
  <c r="M104" i="2"/>
  <c r="AG78" i="2"/>
  <c r="W78" i="2"/>
  <c r="AA77" i="2"/>
  <c r="AB77" i="2" s="1"/>
  <c r="V82" i="2" s="1"/>
  <c r="S82" i="2" s="1"/>
  <c r="U82" i="2" s="1"/>
  <c r="W79" i="2"/>
  <c r="AG79" i="2"/>
  <c r="P100" i="2"/>
  <c r="Q100" i="2" s="1"/>
  <c r="J105" i="2" s="1"/>
  <c r="K105" i="2" s="1"/>
  <c r="Q111" i="2"/>
  <c r="J116" i="2" s="1"/>
  <c r="K116" i="2" s="1"/>
  <c r="P111" i="2"/>
  <c r="Z75" i="2"/>
  <c r="Z76" i="2"/>
  <c r="P103" i="2"/>
  <c r="Q103" i="2" s="1"/>
  <c r="J108" i="2" s="1"/>
  <c r="K108" i="2" s="1"/>
  <c r="N97" i="2"/>
  <c r="L105" i="2" l="1"/>
  <c r="AD105" i="2" s="1"/>
  <c r="M105" i="2"/>
  <c r="W82" i="2"/>
  <c r="AG82" i="2"/>
  <c r="M108" i="2"/>
  <c r="L108" i="2"/>
  <c r="AD108" i="2" s="1"/>
  <c r="N108" i="2"/>
  <c r="M116" i="2"/>
  <c r="L116" i="2"/>
  <c r="AD116" i="2" s="1"/>
  <c r="Z79" i="2"/>
  <c r="Y79" i="2"/>
  <c r="X79" i="2"/>
  <c r="AE79" i="2" s="1"/>
  <c r="AA75" i="2"/>
  <c r="AB75" i="2" s="1"/>
  <c r="V80" i="2" s="1"/>
  <c r="S80" i="2" s="1"/>
  <c r="U80" i="2" s="1"/>
  <c r="P97" i="2"/>
  <c r="Q97" i="2" s="1"/>
  <c r="J102" i="2" s="1"/>
  <c r="K102" i="2" s="1"/>
  <c r="Y78" i="2"/>
  <c r="X78" i="2"/>
  <c r="AE78" i="2" s="1"/>
  <c r="AA76" i="2"/>
  <c r="AB76" i="2" s="1"/>
  <c r="V81" i="2" s="1"/>
  <c r="S81" i="2" s="1"/>
  <c r="U81" i="2" s="1"/>
  <c r="N104" i="2"/>
  <c r="AG81" i="2" l="1"/>
  <c r="W81" i="2"/>
  <c r="AG80" i="2"/>
  <c r="W80" i="2"/>
  <c r="M102" i="2"/>
  <c r="L102" i="2"/>
  <c r="AD102" i="2" s="1"/>
  <c r="N116" i="2"/>
  <c r="P104" i="2"/>
  <c r="Q104" i="2" s="1"/>
  <c r="J109" i="2" s="1"/>
  <c r="K109" i="2" s="1"/>
  <c r="AA79" i="2"/>
  <c r="AB79" i="2" s="1"/>
  <c r="V84" i="2" s="1"/>
  <c r="S84" i="2" s="1"/>
  <c r="U84" i="2" s="1"/>
  <c r="P108" i="2"/>
  <c r="Q108" i="2" s="1"/>
  <c r="J113" i="2" s="1"/>
  <c r="K113" i="2" s="1"/>
  <c r="Z78" i="2"/>
  <c r="X82" i="2"/>
  <c r="AE82" i="2" s="1"/>
  <c r="Y82" i="2"/>
  <c r="N105" i="2"/>
  <c r="AG84" i="2" l="1"/>
  <c r="W84" i="2"/>
  <c r="M113" i="2"/>
  <c r="L113" i="2"/>
  <c r="AD113" i="2" s="1"/>
  <c r="M109" i="2"/>
  <c r="L109" i="2"/>
  <c r="AD109" i="2" s="1"/>
  <c r="P116" i="2"/>
  <c r="Q116" i="2" s="1"/>
  <c r="J121" i="2" s="1"/>
  <c r="K121" i="2" s="1"/>
  <c r="P105" i="2"/>
  <c r="Q105" i="2" s="1"/>
  <c r="J110" i="2" s="1"/>
  <c r="K110" i="2" s="1"/>
  <c r="N102" i="2"/>
  <c r="X80" i="2"/>
  <c r="AE80" i="2" s="1"/>
  <c r="Y80" i="2"/>
  <c r="Z82" i="2"/>
  <c r="AA78" i="2"/>
  <c r="AB78" i="2" s="1"/>
  <c r="V83" i="2" s="1"/>
  <c r="S83" i="2" s="1"/>
  <c r="U83" i="2" s="1"/>
  <c r="Y81" i="2"/>
  <c r="X81" i="2"/>
  <c r="AE81" i="2" s="1"/>
  <c r="M121" i="2" l="1"/>
  <c r="L121" i="2"/>
  <c r="AD121" i="2" s="1"/>
  <c r="M110" i="2"/>
  <c r="L110" i="2"/>
  <c r="AD110" i="2" s="1"/>
  <c r="W83" i="2"/>
  <c r="AG83" i="2"/>
  <c r="Z81" i="2"/>
  <c r="N109" i="2"/>
  <c r="AA82" i="2"/>
  <c r="AB82" i="2" s="1"/>
  <c r="V87" i="2" s="1"/>
  <c r="S87" i="2" s="1"/>
  <c r="U87" i="2" s="1"/>
  <c r="Z80" i="2"/>
  <c r="N113" i="2"/>
  <c r="Y84" i="2"/>
  <c r="X84" i="2"/>
  <c r="AE84" i="2" s="1"/>
  <c r="P102" i="2"/>
  <c r="Q102" i="2" s="1"/>
  <c r="J107" i="2" s="1"/>
  <c r="K107" i="2" s="1"/>
  <c r="AG87" i="2" l="1"/>
  <c r="W87" i="2"/>
  <c r="L107" i="2"/>
  <c r="AD107" i="2" s="1"/>
  <c r="M107" i="2"/>
  <c r="P109" i="2"/>
  <c r="Q109" i="2" s="1"/>
  <c r="J114" i="2" s="1"/>
  <c r="K114" i="2" s="1"/>
  <c r="P113" i="2"/>
  <c r="Q113" i="2" s="1"/>
  <c r="J118" i="2" s="1"/>
  <c r="K118" i="2" s="1"/>
  <c r="AA81" i="2"/>
  <c r="AB81" i="2" s="1"/>
  <c r="V86" i="2" s="1"/>
  <c r="S86" i="2" s="1"/>
  <c r="U86" i="2" s="1"/>
  <c r="Z83" i="2"/>
  <c r="Y83" i="2"/>
  <c r="X83" i="2"/>
  <c r="AE83" i="2" s="1"/>
  <c r="N110" i="2"/>
  <c r="Z84" i="2"/>
  <c r="AA80" i="2"/>
  <c r="AB80" i="2" s="1"/>
  <c r="V85" i="2" s="1"/>
  <c r="S85" i="2" s="1"/>
  <c r="U85" i="2" s="1"/>
  <c r="N121" i="2"/>
  <c r="N107" i="2" l="1"/>
  <c r="W85" i="2"/>
  <c r="AG85" i="2"/>
  <c r="W86" i="2"/>
  <c r="AG86" i="2"/>
  <c r="M118" i="2"/>
  <c r="L118" i="2"/>
  <c r="AD118" i="2" s="1"/>
  <c r="M114" i="2"/>
  <c r="L114" i="2"/>
  <c r="AD114" i="2" s="1"/>
  <c r="AA83" i="2"/>
  <c r="AB83" i="2" s="1"/>
  <c r="V88" i="2" s="1"/>
  <c r="S88" i="2" s="1"/>
  <c r="U88" i="2" s="1"/>
  <c r="P121" i="2"/>
  <c r="Q121" i="2" s="1"/>
  <c r="J126" i="2" s="1"/>
  <c r="K126" i="2" s="1"/>
  <c r="AA84" i="2"/>
  <c r="AB84" i="2" s="1"/>
  <c r="V89" i="2" s="1"/>
  <c r="S89" i="2" s="1"/>
  <c r="U89" i="2" s="1"/>
  <c r="P107" i="2"/>
  <c r="Q107" i="2"/>
  <c r="J112" i="2" s="1"/>
  <c r="K112" i="2" s="1"/>
  <c r="P110" i="2"/>
  <c r="Q110" i="2" s="1"/>
  <c r="J115" i="2" s="1"/>
  <c r="K115" i="2" s="1"/>
  <c r="X87" i="2"/>
  <c r="AE87" i="2" s="1"/>
  <c r="Y87" i="2"/>
  <c r="AG89" i="2" l="1"/>
  <c r="W89" i="2"/>
  <c r="M126" i="2"/>
  <c r="L126" i="2"/>
  <c r="AD126" i="2" s="1"/>
  <c r="W88" i="2"/>
  <c r="AG88" i="2"/>
  <c r="M115" i="2"/>
  <c r="L115" i="2"/>
  <c r="AD115" i="2" s="1"/>
  <c r="N114" i="2"/>
  <c r="Z87" i="2"/>
  <c r="N118" i="2"/>
  <c r="Y86" i="2"/>
  <c r="X86" i="2"/>
  <c r="AE86" i="2" s="1"/>
  <c r="Z86" i="2"/>
  <c r="M112" i="2"/>
  <c r="L112" i="2"/>
  <c r="AD112" i="2" s="1"/>
  <c r="Y85" i="2"/>
  <c r="X85" i="2"/>
  <c r="AE85" i="2" s="1"/>
  <c r="P114" i="2" l="1"/>
  <c r="Q114" i="2" s="1"/>
  <c r="J119" i="2" s="1"/>
  <c r="K119" i="2" s="1"/>
  <c r="N112" i="2"/>
  <c r="AA87" i="2"/>
  <c r="AB87" i="2" s="1"/>
  <c r="V92" i="2" s="1"/>
  <c r="S92" i="2" s="1"/>
  <c r="U92" i="2" s="1"/>
  <c r="Z85" i="2"/>
  <c r="N115" i="2"/>
  <c r="Y88" i="2"/>
  <c r="X88" i="2"/>
  <c r="AE88" i="2" s="1"/>
  <c r="AA86" i="2"/>
  <c r="AB86" i="2" s="1"/>
  <c r="V91" i="2" s="1"/>
  <c r="S91" i="2" s="1"/>
  <c r="U91" i="2" s="1"/>
  <c r="N126" i="2"/>
  <c r="Y89" i="2"/>
  <c r="X89" i="2"/>
  <c r="AE89" i="2" s="1"/>
  <c r="Z89" i="2"/>
  <c r="P118" i="2"/>
  <c r="Q118" i="2" s="1"/>
  <c r="J123" i="2" s="1"/>
  <c r="K123" i="2" s="1"/>
  <c r="W91" i="2" l="1"/>
  <c r="AG91" i="2"/>
  <c r="W92" i="2"/>
  <c r="AG92" i="2"/>
  <c r="M123" i="2"/>
  <c r="L123" i="2"/>
  <c r="AD123" i="2" s="1"/>
  <c r="L119" i="2"/>
  <c r="AD119" i="2" s="1"/>
  <c r="N119" i="2"/>
  <c r="M119" i="2"/>
  <c r="Z88" i="2"/>
  <c r="Q115" i="2"/>
  <c r="J120" i="2" s="1"/>
  <c r="K120" i="2" s="1"/>
  <c r="P115" i="2"/>
  <c r="AA85" i="2"/>
  <c r="AB85" i="2" s="1"/>
  <c r="V90" i="2" s="1"/>
  <c r="S90" i="2" s="1"/>
  <c r="U90" i="2" s="1"/>
  <c r="AA89" i="2"/>
  <c r="AB89" i="2" s="1"/>
  <c r="V94" i="2" s="1"/>
  <c r="S94" i="2" s="1"/>
  <c r="U94" i="2" s="1"/>
  <c r="P112" i="2"/>
  <c r="Q112" i="2" s="1"/>
  <c r="J117" i="2" s="1"/>
  <c r="K117" i="2" s="1"/>
  <c r="P126" i="2"/>
  <c r="Q126" i="2" s="1"/>
  <c r="J131" i="2" s="1"/>
  <c r="K131" i="2" s="1"/>
  <c r="M117" i="2" l="1"/>
  <c r="L117" i="2"/>
  <c r="AD117" i="2" s="1"/>
  <c r="W94" i="2"/>
  <c r="AG94" i="2"/>
  <c r="L131" i="2"/>
  <c r="AD131" i="2" s="1"/>
  <c r="N131" i="2"/>
  <c r="M131" i="2"/>
  <c r="AG90" i="2"/>
  <c r="W90" i="2"/>
  <c r="M120" i="2"/>
  <c r="L120" i="2"/>
  <c r="AD120" i="2" s="1"/>
  <c r="AA88" i="2"/>
  <c r="AB88" i="2" s="1"/>
  <c r="V93" i="2" s="1"/>
  <c r="S93" i="2" s="1"/>
  <c r="U93" i="2" s="1"/>
  <c r="P119" i="2"/>
  <c r="Q119" i="2" s="1"/>
  <c r="J124" i="2" s="1"/>
  <c r="K124" i="2" s="1"/>
  <c r="N123" i="2"/>
  <c r="X92" i="2"/>
  <c r="AE92" i="2" s="1"/>
  <c r="Z92" i="2"/>
  <c r="Y92" i="2"/>
  <c r="Y91" i="2"/>
  <c r="X91" i="2"/>
  <c r="AE91" i="2" s="1"/>
  <c r="M124" i="2" l="1"/>
  <c r="L124" i="2"/>
  <c r="AD124" i="2" s="1"/>
  <c r="W93" i="2"/>
  <c r="AG93" i="2"/>
  <c r="Y90" i="2"/>
  <c r="X90" i="2"/>
  <c r="AE90" i="2" s="1"/>
  <c r="AA92" i="2"/>
  <c r="AB92" i="2" s="1"/>
  <c r="V97" i="2" s="1"/>
  <c r="S97" i="2" s="1"/>
  <c r="U97" i="2" s="1"/>
  <c r="P123" i="2"/>
  <c r="Q123" i="2" s="1"/>
  <c r="J128" i="2" s="1"/>
  <c r="K128" i="2" s="1"/>
  <c r="Z91" i="2"/>
  <c r="P131" i="2"/>
  <c r="Q131" i="2" s="1"/>
  <c r="J136" i="2" s="1"/>
  <c r="K136" i="2" s="1"/>
  <c r="Y94" i="2"/>
  <c r="X94" i="2"/>
  <c r="AE94" i="2" s="1"/>
  <c r="N120" i="2"/>
  <c r="N117" i="2"/>
  <c r="M128" i="2" l="1"/>
  <c r="L128" i="2"/>
  <c r="AD128" i="2" s="1"/>
  <c r="M136" i="2"/>
  <c r="L136" i="2"/>
  <c r="AD136" i="2" s="1"/>
  <c r="W97" i="2"/>
  <c r="AG97" i="2"/>
  <c r="P117" i="2"/>
  <c r="Q117" i="2" s="1"/>
  <c r="J122" i="2" s="1"/>
  <c r="K122" i="2" s="1"/>
  <c r="Z90" i="2"/>
  <c r="Q120" i="2"/>
  <c r="J125" i="2" s="1"/>
  <c r="K125" i="2" s="1"/>
  <c r="P120" i="2"/>
  <c r="Z94" i="2"/>
  <c r="Y93" i="2"/>
  <c r="X93" i="2"/>
  <c r="AE93" i="2" s="1"/>
  <c r="Z93" i="2"/>
  <c r="AA91" i="2"/>
  <c r="AB91" i="2" s="1"/>
  <c r="V96" i="2" s="1"/>
  <c r="S96" i="2" s="1"/>
  <c r="U96" i="2" s="1"/>
  <c r="N124" i="2"/>
  <c r="M122" i="2" l="1"/>
  <c r="L122" i="2"/>
  <c r="AD122" i="2" s="1"/>
  <c r="AG96" i="2"/>
  <c r="W96" i="2"/>
  <c r="AA90" i="2"/>
  <c r="AB90" i="2" s="1"/>
  <c r="V95" i="2" s="1"/>
  <c r="S95" i="2" s="1"/>
  <c r="U95" i="2" s="1"/>
  <c r="M125" i="2"/>
  <c r="L125" i="2"/>
  <c r="AD125" i="2" s="1"/>
  <c r="P124" i="2"/>
  <c r="Q124" i="2" s="1"/>
  <c r="J129" i="2" s="1"/>
  <c r="K129" i="2" s="1"/>
  <c r="Y97" i="2"/>
  <c r="X97" i="2"/>
  <c r="AE97" i="2" s="1"/>
  <c r="AA93" i="2"/>
  <c r="AB93" i="2" s="1"/>
  <c r="V98" i="2" s="1"/>
  <c r="S98" i="2" s="1"/>
  <c r="U98" i="2" s="1"/>
  <c r="N136" i="2"/>
  <c r="AA94" i="2"/>
  <c r="AB94" i="2" s="1"/>
  <c r="V99" i="2" s="1"/>
  <c r="S99" i="2" s="1"/>
  <c r="U99" i="2" s="1"/>
  <c r="N128" i="2"/>
  <c r="W95" i="2" l="1"/>
  <c r="AG95" i="2"/>
  <c r="W98" i="2"/>
  <c r="AG98" i="2"/>
  <c r="M129" i="2"/>
  <c r="L129" i="2"/>
  <c r="AD129" i="2" s="1"/>
  <c r="AG99" i="2"/>
  <c r="W99" i="2"/>
  <c r="P136" i="2"/>
  <c r="Q136" i="2" s="1"/>
  <c r="J141" i="2" s="1"/>
  <c r="K141" i="2" s="1"/>
  <c r="Q128" i="2"/>
  <c r="J133" i="2" s="1"/>
  <c r="K133" i="2" s="1"/>
  <c r="P128" i="2"/>
  <c r="N125" i="2"/>
  <c r="Y96" i="2"/>
  <c r="X96" i="2"/>
  <c r="AE96" i="2" s="1"/>
  <c r="Z97" i="2"/>
  <c r="N122" i="2"/>
  <c r="M141" i="2" l="1"/>
  <c r="L141" i="2"/>
  <c r="AD141" i="2" s="1"/>
  <c r="P122" i="2"/>
  <c r="Q122" i="2"/>
  <c r="J127" i="2" s="1"/>
  <c r="K127" i="2" s="1"/>
  <c r="M133" i="2"/>
  <c r="L133" i="2"/>
  <c r="AD133" i="2" s="1"/>
  <c r="AA97" i="2"/>
  <c r="AB97" i="2" s="1"/>
  <c r="V102" i="2" s="1"/>
  <c r="S102" i="2" s="1"/>
  <c r="U102" i="2" s="1"/>
  <c r="X99" i="2"/>
  <c r="AE99" i="2" s="1"/>
  <c r="Z99" i="2"/>
  <c r="Y99" i="2"/>
  <c r="N129" i="2"/>
  <c r="Z96" i="2"/>
  <c r="Y98" i="2"/>
  <c r="X98" i="2"/>
  <c r="AE98" i="2" s="1"/>
  <c r="Z98" i="2"/>
  <c r="P125" i="2"/>
  <c r="Q125" i="2" s="1"/>
  <c r="J130" i="2" s="1"/>
  <c r="K130" i="2" s="1"/>
  <c r="Y95" i="2"/>
  <c r="X95" i="2"/>
  <c r="AE95" i="2" s="1"/>
  <c r="AG102" i="2" l="1"/>
  <c r="W102" i="2"/>
  <c r="L130" i="2"/>
  <c r="AD130" i="2" s="1"/>
  <c r="M130" i="2"/>
  <c r="N133" i="2"/>
  <c r="AA99" i="2"/>
  <c r="AB99" i="2" s="1"/>
  <c r="V104" i="2" s="1"/>
  <c r="S104" i="2" s="1"/>
  <c r="U104" i="2" s="1"/>
  <c r="AA98" i="2"/>
  <c r="AB98" i="2" s="1"/>
  <c r="V103" i="2" s="1"/>
  <c r="S103" i="2" s="1"/>
  <c r="U103" i="2" s="1"/>
  <c r="Z95" i="2"/>
  <c r="M127" i="2"/>
  <c r="L127" i="2"/>
  <c r="AD127" i="2" s="1"/>
  <c r="AA96" i="2"/>
  <c r="AB96" i="2" s="1"/>
  <c r="V101" i="2" s="1"/>
  <c r="S101" i="2" s="1"/>
  <c r="U101" i="2" s="1"/>
  <c r="P129" i="2"/>
  <c r="Q129" i="2" s="1"/>
  <c r="J134" i="2" s="1"/>
  <c r="K134" i="2" s="1"/>
  <c r="N141" i="2"/>
  <c r="N127" i="2" l="1"/>
  <c r="P127" i="2" s="1"/>
  <c r="Q127" i="2" s="1"/>
  <c r="J132" i="2" s="1"/>
  <c r="K132" i="2" s="1"/>
  <c r="W103" i="2"/>
  <c r="AG103" i="2"/>
  <c r="AG101" i="2"/>
  <c r="W101" i="2"/>
  <c r="W104" i="2"/>
  <c r="AG104" i="2"/>
  <c r="M134" i="2"/>
  <c r="L134" i="2"/>
  <c r="AD134" i="2" s="1"/>
  <c r="P141" i="2"/>
  <c r="Q141" i="2" s="1"/>
  <c r="J146" i="2" s="1"/>
  <c r="K146" i="2" s="1"/>
  <c r="Q133" i="2"/>
  <c r="J138" i="2" s="1"/>
  <c r="K138" i="2" s="1"/>
  <c r="P133" i="2"/>
  <c r="AA95" i="2"/>
  <c r="AB95" i="2"/>
  <c r="V100" i="2" s="1"/>
  <c r="S100" i="2" s="1"/>
  <c r="U100" i="2" s="1"/>
  <c r="N130" i="2"/>
  <c r="Y102" i="2"/>
  <c r="X102" i="2"/>
  <c r="AE102" i="2" s="1"/>
  <c r="M132" i="2" l="1"/>
  <c r="L132" i="2"/>
  <c r="AD132" i="2" s="1"/>
  <c r="N132" i="2"/>
  <c r="M146" i="2"/>
  <c r="L146" i="2"/>
  <c r="AD146" i="2" s="1"/>
  <c r="N134" i="2"/>
  <c r="M138" i="2"/>
  <c r="L138" i="2"/>
  <c r="AD138" i="2" s="1"/>
  <c r="Z102" i="2"/>
  <c r="Q130" i="2"/>
  <c r="J135" i="2" s="1"/>
  <c r="K135" i="2" s="1"/>
  <c r="P130" i="2"/>
  <c r="W100" i="2"/>
  <c r="AG100" i="2"/>
  <c r="X104" i="2"/>
  <c r="AE104" i="2" s="1"/>
  <c r="Z104" i="2"/>
  <c r="Y104" i="2"/>
  <c r="Y101" i="2"/>
  <c r="X101" i="2"/>
  <c r="AE101" i="2" s="1"/>
  <c r="Z101" i="2"/>
  <c r="X103" i="2"/>
  <c r="AE103" i="2" s="1"/>
  <c r="Z103" i="2"/>
  <c r="Y103" i="2"/>
  <c r="M135" i="2" l="1"/>
  <c r="L135" i="2"/>
  <c r="AD135" i="2" s="1"/>
  <c r="AA103" i="2"/>
  <c r="AB103" i="2" s="1"/>
  <c r="V108" i="2" s="1"/>
  <c r="S108" i="2" s="1"/>
  <c r="U108" i="2" s="1"/>
  <c r="AA102" i="2"/>
  <c r="AB102" i="2"/>
  <c r="V107" i="2" s="1"/>
  <c r="S107" i="2" s="1"/>
  <c r="U107" i="2" s="1"/>
  <c r="AA101" i="2"/>
  <c r="AB101" i="2" s="1"/>
  <c r="V106" i="2" s="1"/>
  <c r="S106" i="2" s="1"/>
  <c r="U106" i="2" s="1"/>
  <c r="N138" i="2"/>
  <c r="P134" i="2"/>
  <c r="Q134" i="2" s="1"/>
  <c r="J139" i="2" s="1"/>
  <c r="K139" i="2" s="1"/>
  <c r="AA104" i="2"/>
  <c r="AB104" i="2" s="1"/>
  <c r="V109" i="2" s="1"/>
  <c r="S109" i="2" s="1"/>
  <c r="U109" i="2" s="1"/>
  <c r="N146" i="2"/>
  <c r="P132" i="2"/>
  <c r="Q132" i="2" s="1"/>
  <c r="J137" i="2" s="1"/>
  <c r="K137" i="2" s="1"/>
  <c r="Y100" i="2"/>
  <c r="X100" i="2"/>
  <c r="AE100" i="2" s="1"/>
  <c r="W106" i="2" l="1"/>
  <c r="AG106" i="2"/>
  <c r="M137" i="2"/>
  <c r="L137" i="2"/>
  <c r="AD137" i="2" s="1"/>
  <c r="W109" i="2"/>
  <c r="AG109" i="2"/>
  <c r="M139" i="2"/>
  <c r="L139" i="2"/>
  <c r="AD139" i="2" s="1"/>
  <c r="W108" i="2"/>
  <c r="AG108" i="2"/>
  <c r="Z100" i="2"/>
  <c r="P138" i="2"/>
  <c r="Q138" i="2" s="1"/>
  <c r="J143" i="2" s="1"/>
  <c r="K143" i="2" s="1"/>
  <c r="W107" i="2"/>
  <c r="AG107" i="2"/>
  <c r="P146" i="2"/>
  <c r="Q146" i="2" s="1"/>
  <c r="J151" i="2" s="1"/>
  <c r="K151" i="2" s="1"/>
  <c r="N135" i="2"/>
  <c r="L143" i="2" l="1"/>
  <c r="AD143" i="2" s="1"/>
  <c r="M143" i="2"/>
  <c r="N143" i="2"/>
  <c r="M151" i="2"/>
  <c r="L151" i="2"/>
  <c r="AD151" i="2" s="1"/>
  <c r="Y107" i="2"/>
  <c r="X107" i="2"/>
  <c r="AE107" i="2" s="1"/>
  <c r="N137" i="2"/>
  <c r="P135" i="2"/>
  <c r="Q135" i="2" s="1"/>
  <c r="J140" i="2" s="1"/>
  <c r="K140" i="2" s="1"/>
  <c r="Y108" i="2"/>
  <c r="X108" i="2"/>
  <c r="AE108" i="2" s="1"/>
  <c r="N139" i="2"/>
  <c r="Y109" i="2"/>
  <c r="X109" i="2"/>
  <c r="AE109" i="2" s="1"/>
  <c r="AA100" i="2"/>
  <c r="AB100" i="2" s="1"/>
  <c r="V105" i="2" s="1"/>
  <c r="S105" i="2" s="1"/>
  <c r="U105" i="2" s="1"/>
  <c r="Y106" i="2"/>
  <c r="X106" i="2"/>
  <c r="AE106" i="2" s="1"/>
  <c r="M140" i="2" l="1"/>
  <c r="L140" i="2"/>
  <c r="AD140" i="2" s="1"/>
  <c r="W105" i="2"/>
  <c r="AG105" i="2"/>
  <c r="Z107" i="2"/>
  <c r="Z106" i="2"/>
  <c r="Z109" i="2"/>
  <c r="P139" i="2"/>
  <c r="Q139" i="2" s="1"/>
  <c r="J144" i="2" s="1"/>
  <c r="K144" i="2" s="1"/>
  <c r="N151" i="2"/>
  <c r="Q143" i="2"/>
  <c r="J148" i="2" s="1"/>
  <c r="K148" i="2" s="1"/>
  <c r="P143" i="2"/>
  <c r="P137" i="2"/>
  <c r="Q137" i="2" s="1"/>
  <c r="J142" i="2" s="1"/>
  <c r="K142" i="2" s="1"/>
  <c r="Z108" i="2"/>
  <c r="M142" i="2" l="1"/>
  <c r="L142" i="2"/>
  <c r="AD142" i="2" s="1"/>
  <c r="M144" i="2"/>
  <c r="L144" i="2"/>
  <c r="AD144" i="2" s="1"/>
  <c r="N144" i="2"/>
  <c r="M148" i="2"/>
  <c r="L148" i="2"/>
  <c r="AD148" i="2" s="1"/>
  <c r="P151" i="2"/>
  <c r="Q151" i="2" s="1"/>
  <c r="J156" i="2" s="1"/>
  <c r="K156" i="2" s="1"/>
  <c r="AB109" i="2"/>
  <c r="V114" i="2" s="1"/>
  <c r="S114" i="2" s="1"/>
  <c r="U114" i="2" s="1"/>
  <c r="AA109" i="2"/>
  <c r="AA106" i="2"/>
  <c r="AB106" i="2" s="1"/>
  <c r="V111" i="2" s="1"/>
  <c r="S111" i="2" s="1"/>
  <c r="U111" i="2" s="1"/>
  <c r="AA108" i="2"/>
  <c r="AB108" i="2" s="1"/>
  <c r="V113" i="2" s="1"/>
  <c r="S113" i="2" s="1"/>
  <c r="U113" i="2" s="1"/>
  <c r="AA107" i="2"/>
  <c r="AB107" i="2" s="1"/>
  <c r="V112" i="2" s="1"/>
  <c r="S112" i="2" s="1"/>
  <c r="U112" i="2" s="1"/>
  <c r="Y105" i="2"/>
  <c r="X105" i="2"/>
  <c r="AE105" i="2" s="1"/>
  <c r="Z105" i="2"/>
  <c r="N140" i="2"/>
  <c r="AG113" i="2" l="1"/>
  <c r="W113" i="2"/>
  <c r="AG111" i="2"/>
  <c r="W111" i="2"/>
  <c r="L156" i="2"/>
  <c r="AD156" i="2" s="1"/>
  <c r="M156" i="2"/>
  <c r="N156" i="2"/>
  <c r="AG114" i="2"/>
  <c r="W114" i="2"/>
  <c r="P140" i="2"/>
  <c r="Q140" i="2" s="1"/>
  <c r="J145" i="2" s="1"/>
  <c r="K145" i="2" s="1"/>
  <c r="Q144" i="2"/>
  <c r="J149" i="2" s="1"/>
  <c r="K149" i="2" s="1"/>
  <c r="P144" i="2"/>
  <c r="AA105" i="2"/>
  <c r="AB105" i="2" s="1"/>
  <c r="V110" i="2" s="1"/>
  <c r="S110" i="2" s="1"/>
  <c r="U110" i="2" s="1"/>
  <c r="W112" i="2"/>
  <c r="AG112" i="2"/>
  <c r="N148" i="2"/>
  <c r="N142" i="2"/>
  <c r="M145" i="2" l="1"/>
  <c r="L145" i="2"/>
  <c r="AD145" i="2" s="1"/>
  <c r="W110" i="2"/>
  <c r="AG110" i="2"/>
  <c r="P142" i="2"/>
  <c r="Q142" i="2" s="1"/>
  <c r="J147" i="2" s="1"/>
  <c r="K147" i="2" s="1"/>
  <c r="Y111" i="2"/>
  <c r="X111" i="2"/>
  <c r="AE111" i="2" s="1"/>
  <c r="N149" i="2"/>
  <c r="M149" i="2"/>
  <c r="L149" i="2"/>
  <c r="AD149" i="2" s="1"/>
  <c r="Y114" i="2"/>
  <c r="X114" i="2"/>
  <c r="AE114" i="2" s="1"/>
  <c r="P156" i="2"/>
  <c r="Q156" i="2" s="1"/>
  <c r="J161" i="2" s="1"/>
  <c r="K161" i="2" s="1"/>
  <c r="P148" i="2"/>
  <c r="Q148" i="2" s="1"/>
  <c r="J153" i="2" s="1"/>
  <c r="K153" i="2" s="1"/>
  <c r="Y112" i="2"/>
  <c r="X112" i="2"/>
  <c r="AE112" i="2" s="1"/>
  <c r="Z113" i="2"/>
  <c r="Y113" i="2"/>
  <c r="X113" i="2"/>
  <c r="AE113" i="2" s="1"/>
  <c r="M147" i="2" l="1"/>
  <c r="L147" i="2"/>
  <c r="AD147" i="2" s="1"/>
  <c r="M153" i="2"/>
  <c r="L153" i="2"/>
  <c r="AD153" i="2" s="1"/>
  <c r="L161" i="2"/>
  <c r="AD161" i="2" s="1"/>
  <c r="M161" i="2"/>
  <c r="AA113" i="2"/>
  <c r="AB113" i="2" s="1"/>
  <c r="V118" i="2" s="1"/>
  <c r="S118" i="2" s="1"/>
  <c r="U118" i="2" s="1"/>
  <c r="Q149" i="2"/>
  <c r="J154" i="2" s="1"/>
  <c r="K154" i="2" s="1"/>
  <c r="P149" i="2"/>
  <c r="Z112" i="2"/>
  <c r="Z111" i="2"/>
  <c r="Y110" i="2"/>
  <c r="X110" i="2"/>
  <c r="AE110" i="2" s="1"/>
  <c r="Z114" i="2"/>
  <c r="N145" i="2"/>
  <c r="W118" i="2" l="1"/>
  <c r="AG118" i="2"/>
  <c r="N161" i="2"/>
  <c r="M154" i="2"/>
  <c r="L154" i="2"/>
  <c r="AD154" i="2" s="1"/>
  <c r="P145" i="2"/>
  <c r="Q145" i="2" s="1"/>
  <c r="J150" i="2" s="1"/>
  <c r="K150" i="2" s="1"/>
  <c r="AA114" i="2"/>
  <c r="AB114" i="2" s="1"/>
  <c r="V119" i="2" s="1"/>
  <c r="S119" i="2" s="1"/>
  <c r="U119" i="2" s="1"/>
  <c r="Z110" i="2"/>
  <c r="N153" i="2"/>
  <c r="AA111" i="2"/>
  <c r="AB111" i="2" s="1"/>
  <c r="V116" i="2" s="1"/>
  <c r="S116" i="2" s="1"/>
  <c r="U116" i="2" s="1"/>
  <c r="AA112" i="2"/>
  <c r="AB112" i="2" s="1"/>
  <c r="V117" i="2" s="1"/>
  <c r="S117" i="2" s="1"/>
  <c r="U117" i="2" s="1"/>
  <c r="N147" i="2"/>
  <c r="W117" i="2" l="1"/>
  <c r="AG117" i="2"/>
  <c r="W116" i="2"/>
  <c r="AG116" i="2"/>
  <c r="W119" i="2"/>
  <c r="AG119" i="2"/>
  <c r="M150" i="2"/>
  <c r="L150" i="2"/>
  <c r="AD150" i="2" s="1"/>
  <c r="P153" i="2"/>
  <c r="Q153" i="2" s="1"/>
  <c r="J158" i="2" s="1"/>
  <c r="K158" i="2" s="1"/>
  <c r="P147" i="2"/>
  <c r="Q147" i="2" s="1"/>
  <c r="J152" i="2" s="1"/>
  <c r="K152" i="2" s="1"/>
  <c r="P161" i="2"/>
  <c r="Q161" i="2" s="1"/>
  <c r="J166" i="2" s="1"/>
  <c r="K166" i="2" s="1"/>
  <c r="AA110" i="2"/>
  <c r="AB110" i="2" s="1"/>
  <c r="V115" i="2" s="1"/>
  <c r="S115" i="2" s="1"/>
  <c r="U115" i="2" s="1"/>
  <c r="N154" i="2"/>
  <c r="Y118" i="2"/>
  <c r="X118" i="2"/>
  <c r="AE118" i="2" s="1"/>
  <c r="M158" i="2" l="1"/>
  <c r="L158" i="2"/>
  <c r="AD158" i="2" s="1"/>
  <c r="N158" i="2"/>
  <c r="M166" i="2"/>
  <c r="L166" i="2"/>
  <c r="AD166" i="2" s="1"/>
  <c r="W115" i="2"/>
  <c r="AG115" i="2"/>
  <c r="N150" i="2"/>
  <c r="M152" i="2"/>
  <c r="L152" i="2"/>
  <c r="AD152" i="2" s="1"/>
  <c r="Z118" i="2"/>
  <c r="P154" i="2"/>
  <c r="Q154" i="2" s="1"/>
  <c r="J159" i="2" s="1"/>
  <c r="K159" i="2" s="1"/>
  <c r="Y119" i="2"/>
  <c r="X119" i="2"/>
  <c r="AE119" i="2" s="1"/>
  <c r="X116" i="2"/>
  <c r="AE116" i="2" s="1"/>
  <c r="Z116" i="2"/>
  <c r="Y116" i="2"/>
  <c r="Y117" i="2"/>
  <c r="X117" i="2"/>
  <c r="AE117" i="2" s="1"/>
  <c r="Z117" i="2" l="1"/>
  <c r="M159" i="2"/>
  <c r="L159" i="2"/>
  <c r="AD159" i="2" s="1"/>
  <c r="AA117" i="2"/>
  <c r="AB117" i="2" s="1"/>
  <c r="V122" i="2" s="1"/>
  <c r="S122" i="2" s="1"/>
  <c r="U122" i="2" s="1"/>
  <c r="P150" i="2"/>
  <c r="Q150" i="2" s="1"/>
  <c r="J155" i="2" s="1"/>
  <c r="K155" i="2" s="1"/>
  <c r="N152" i="2"/>
  <c r="AA116" i="2"/>
  <c r="AB116" i="2" s="1"/>
  <c r="V121" i="2" s="1"/>
  <c r="S121" i="2" s="1"/>
  <c r="U121" i="2" s="1"/>
  <c r="Z115" i="2"/>
  <c r="Y115" i="2"/>
  <c r="X115" i="2"/>
  <c r="AE115" i="2" s="1"/>
  <c r="Z119" i="2"/>
  <c r="N166" i="2"/>
  <c r="P158" i="2"/>
  <c r="Q158" i="2" s="1"/>
  <c r="J163" i="2" s="1"/>
  <c r="K163" i="2" s="1"/>
  <c r="AA118" i="2"/>
  <c r="AB118" i="2" s="1"/>
  <c r="V123" i="2" s="1"/>
  <c r="S123" i="2" s="1"/>
  <c r="U123" i="2" s="1"/>
  <c r="M163" i="2" l="1"/>
  <c r="L163" i="2"/>
  <c r="AD163" i="2" s="1"/>
  <c r="M155" i="2"/>
  <c r="L155" i="2"/>
  <c r="AD155" i="2" s="1"/>
  <c r="W121" i="2"/>
  <c r="AG121" i="2"/>
  <c r="W122" i="2"/>
  <c r="AG122" i="2"/>
  <c r="AG123" i="2"/>
  <c r="W123" i="2"/>
  <c r="AA115" i="2"/>
  <c r="AB115" i="2" s="1"/>
  <c r="V120" i="2" s="1"/>
  <c r="S120" i="2" s="1"/>
  <c r="U120" i="2" s="1"/>
  <c r="P152" i="2"/>
  <c r="Q152" i="2" s="1"/>
  <c r="J157" i="2" s="1"/>
  <c r="K157" i="2" s="1"/>
  <c r="P166" i="2"/>
  <c r="Q166" i="2" s="1"/>
  <c r="J171" i="2" s="1"/>
  <c r="K171" i="2" s="1"/>
  <c r="AA119" i="2"/>
  <c r="AB119" i="2"/>
  <c r="V124" i="2" s="1"/>
  <c r="S124" i="2" s="1"/>
  <c r="U124" i="2" s="1"/>
  <c r="N159" i="2"/>
  <c r="W120" i="2" l="1"/>
  <c r="AG120" i="2"/>
  <c r="L157" i="2"/>
  <c r="AD157" i="2" s="1"/>
  <c r="N157" i="2"/>
  <c r="M157" i="2"/>
  <c r="M171" i="2"/>
  <c r="L171" i="2"/>
  <c r="AD171" i="2" s="1"/>
  <c r="Y123" i="2"/>
  <c r="X123" i="2"/>
  <c r="AE123" i="2" s="1"/>
  <c r="Q159" i="2"/>
  <c r="J164" i="2" s="1"/>
  <c r="K164" i="2" s="1"/>
  <c r="P159" i="2"/>
  <c r="W124" i="2"/>
  <c r="AG124" i="2"/>
  <c r="Y122" i="2"/>
  <c r="X122" i="2"/>
  <c r="AE122" i="2" s="1"/>
  <c r="Y121" i="2"/>
  <c r="X121" i="2"/>
  <c r="AE121" i="2" s="1"/>
  <c r="N155" i="2"/>
  <c r="N163" i="2"/>
  <c r="P163" i="2" l="1"/>
  <c r="Q163" i="2" s="1"/>
  <c r="J168" i="2" s="1"/>
  <c r="K168" i="2" s="1"/>
  <c r="M164" i="2"/>
  <c r="L164" i="2"/>
  <c r="AD164" i="2" s="1"/>
  <c r="Z123" i="2"/>
  <c r="Z121" i="2"/>
  <c r="P157" i="2"/>
  <c r="Q157" i="2" s="1"/>
  <c r="J162" i="2" s="1"/>
  <c r="K162" i="2" s="1"/>
  <c r="P155" i="2"/>
  <c r="Q155" i="2" s="1"/>
  <c r="J160" i="2" s="1"/>
  <c r="K160" i="2" s="1"/>
  <c r="N171" i="2"/>
  <c r="Z122" i="2"/>
  <c r="Y124" i="2"/>
  <c r="X124" i="2"/>
  <c r="AE124" i="2" s="1"/>
  <c r="Y120" i="2"/>
  <c r="X120" i="2"/>
  <c r="AE120" i="2" s="1"/>
  <c r="M160" i="2" l="1"/>
  <c r="L160" i="2"/>
  <c r="AD160" i="2" s="1"/>
  <c r="M162" i="2"/>
  <c r="L162" i="2"/>
  <c r="AD162" i="2" s="1"/>
  <c r="L168" i="2"/>
  <c r="AD168" i="2" s="1"/>
  <c r="M168" i="2"/>
  <c r="P171" i="2"/>
  <c r="Q171" i="2" s="1"/>
  <c r="J176" i="2" s="1"/>
  <c r="K176" i="2" s="1"/>
  <c r="Z124" i="2"/>
  <c r="AA121" i="2"/>
  <c r="AB121" i="2" s="1"/>
  <c r="V126" i="2" s="1"/>
  <c r="S126" i="2" s="1"/>
  <c r="U126" i="2" s="1"/>
  <c r="AA123" i="2"/>
  <c r="AB123" i="2" s="1"/>
  <c r="V128" i="2" s="1"/>
  <c r="S128" i="2" s="1"/>
  <c r="U128" i="2" s="1"/>
  <c r="Z120" i="2"/>
  <c r="N164" i="2"/>
  <c r="AA122" i="2"/>
  <c r="AB122" i="2" s="1"/>
  <c r="V127" i="2" s="1"/>
  <c r="S127" i="2" s="1"/>
  <c r="U127" i="2" s="1"/>
  <c r="AG126" i="2" l="1"/>
  <c r="W126" i="2"/>
  <c r="W128" i="2"/>
  <c r="AG128" i="2"/>
  <c r="M176" i="2"/>
  <c r="L176" i="2"/>
  <c r="AD176" i="2" s="1"/>
  <c r="W127" i="2"/>
  <c r="AG127" i="2"/>
  <c r="AA124" i="2"/>
  <c r="AB124" i="2" s="1"/>
  <c r="V129" i="2" s="1"/>
  <c r="S129" i="2" s="1"/>
  <c r="U129" i="2" s="1"/>
  <c r="N162" i="2"/>
  <c r="N168" i="2"/>
  <c r="P164" i="2"/>
  <c r="Q164" i="2"/>
  <c r="J169" i="2" s="1"/>
  <c r="K169" i="2" s="1"/>
  <c r="AA120" i="2"/>
  <c r="AB120" i="2" s="1"/>
  <c r="V125" i="2" s="1"/>
  <c r="S125" i="2" s="1"/>
  <c r="U125" i="2" s="1"/>
  <c r="N160" i="2"/>
  <c r="W129" i="2" l="1"/>
  <c r="AG129" i="2"/>
  <c r="AG125" i="2"/>
  <c r="W125" i="2"/>
  <c r="P162" i="2"/>
  <c r="Q162" i="2" s="1"/>
  <c r="J167" i="2" s="1"/>
  <c r="K167" i="2" s="1"/>
  <c r="P160" i="2"/>
  <c r="Q160" i="2"/>
  <c r="J165" i="2" s="1"/>
  <c r="K165" i="2" s="1"/>
  <c r="L169" i="2"/>
  <c r="AD169" i="2" s="1"/>
  <c r="N169" i="2"/>
  <c r="M169" i="2"/>
  <c r="X127" i="2"/>
  <c r="AE127" i="2" s="1"/>
  <c r="Y127" i="2"/>
  <c r="N176" i="2"/>
  <c r="X128" i="2"/>
  <c r="AE128" i="2" s="1"/>
  <c r="Y128" i="2"/>
  <c r="Y126" i="2"/>
  <c r="X126" i="2"/>
  <c r="AE126" i="2" s="1"/>
  <c r="P168" i="2"/>
  <c r="Q168" i="2" s="1"/>
  <c r="J173" i="2" s="1"/>
  <c r="K173" i="2" s="1"/>
  <c r="Z127" i="2" l="1"/>
  <c r="M173" i="2"/>
  <c r="L173" i="2"/>
  <c r="AD173" i="2" s="1"/>
  <c r="M167" i="2"/>
  <c r="L167" i="2"/>
  <c r="AD167" i="2" s="1"/>
  <c r="L165" i="2"/>
  <c r="AD165" i="2" s="1"/>
  <c r="M165" i="2"/>
  <c r="AA127" i="2"/>
  <c r="AB127" i="2" s="1"/>
  <c r="V132" i="2" s="1"/>
  <c r="S132" i="2" s="1"/>
  <c r="U132" i="2" s="1"/>
  <c r="P169" i="2"/>
  <c r="Q169" i="2" s="1"/>
  <c r="J174" i="2" s="1"/>
  <c r="K174" i="2" s="1"/>
  <c r="Z126" i="2"/>
  <c r="Z128" i="2"/>
  <c r="Y125" i="2"/>
  <c r="X125" i="2"/>
  <c r="AE125" i="2" s="1"/>
  <c r="P176" i="2"/>
  <c r="Q176" i="2" s="1"/>
  <c r="J181" i="2" s="1"/>
  <c r="K181" i="2" s="1"/>
  <c r="Y129" i="2"/>
  <c r="X129" i="2"/>
  <c r="AE129" i="2" s="1"/>
  <c r="Z129" i="2"/>
  <c r="M174" i="2" l="1"/>
  <c r="L174" i="2"/>
  <c r="AD174" i="2" s="1"/>
  <c r="W132" i="2"/>
  <c r="AG132" i="2"/>
  <c r="L181" i="2"/>
  <c r="AD181" i="2" s="1"/>
  <c r="N181" i="2"/>
  <c r="M181" i="2"/>
  <c r="AA129" i="2"/>
  <c r="AB129" i="2" s="1"/>
  <c r="V134" i="2" s="1"/>
  <c r="S134" i="2" s="1"/>
  <c r="U134" i="2" s="1"/>
  <c r="N167" i="2"/>
  <c r="N165" i="2"/>
  <c r="Z125" i="2"/>
  <c r="AA128" i="2"/>
  <c r="AB128" i="2" s="1"/>
  <c r="V133" i="2" s="1"/>
  <c r="S133" i="2" s="1"/>
  <c r="U133" i="2" s="1"/>
  <c r="AA126" i="2"/>
  <c r="AB126" i="2" s="1"/>
  <c r="V131" i="2" s="1"/>
  <c r="S131" i="2" s="1"/>
  <c r="U131" i="2" s="1"/>
  <c r="N173" i="2"/>
  <c r="W134" i="2" l="1"/>
  <c r="AG134" i="2"/>
  <c r="W133" i="2"/>
  <c r="AG133" i="2"/>
  <c r="W131" i="2"/>
  <c r="AG131" i="2"/>
  <c r="P181" i="2"/>
  <c r="Q181" i="2"/>
  <c r="J186" i="2" s="1"/>
  <c r="K186" i="2" s="1"/>
  <c r="P165" i="2"/>
  <c r="Q165" i="2" s="1"/>
  <c r="J170" i="2" s="1"/>
  <c r="K170" i="2" s="1"/>
  <c r="P167" i="2"/>
  <c r="Q167" i="2" s="1"/>
  <c r="J172" i="2" s="1"/>
  <c r="K172" i="2" s="1"/>
  <c r="P173" i="2"/>
  <c r="Q173" i="2" s="1"/>
  <c r="J178" i="2" s="1"/>
  <c r="K178" i="2" s="1"/>
  <c r="Y132" i="2"/>
  <c r="X132" i="2"/>
  <c r="AE132" i="2" s="1"/>
  <c r="AA125" i="2"/>
  <c r="AB125" i="2" s="1"/>
  <c r="V130" i="2" s="1"/>
  <c r="S130" i="2" s="1"/>
  <c r="U130" i="2" s="1"/>
  <c r="N174" i="2"/>
  <c r="L178" i="2" l="1"/>
  <c r="AD178" i="2" s="1"/>
  <c r="N178" i="2"/>
  <c r="M178" i="2"/>
  <c r="M170" i="2"/>
  <c r="L170" i="2"/>
  <c r="AD170" i="2" s="1"/>
  <c r="N170" i="2"/>
  <c r="M172" i="2"/>
  <c r="L172" i="2"/>
  <c r="AD172" i="2" s="1"/>
  <c r="W130" i="2"/>
  <c r="AG130" i="2"/>
  <c r="Q174" i="2"/>
  <c r="J179" i="2" s="1"/>
  <c r="K179" i="2" s="1"/>
  <c r="P174" i="2"/>
  <c r="L186" i="2"/>
  <c r="AD186" i="2" s="1"/>
  <c r="M186" i="2"/>
  <c r="Y131" i="2"/>
  <c r="X131" i="2"/>
  <c r="AE131" i="2" s="1"/>
  <c r="Z132" i="2"/>
  <c r="Y133" i="2"/>
  <c r="X133" i="2"/>
  <c r="AE133" i="2" s="1"/>
  <c r="Z134" i="2"/>
  <c r="Y134" i="2"/>
  <c r="X134" i="2"/>
  <c r="AE134" i="2" s="1"/>
  <c r="M179" i="2" l="1"/>
  <c r="L179" i="2"/>
  <c r="AD179" i="2" s="1"/>
  <c r="Z133" i="2"/>
  <c r="P170" i="2"/>
  <c r="Q170" i="2" s="1"/>
  <c r="J175" i="2" s="1"/>
  <c r="K175" i="2" s="1"/>
  <c r="Z131" i="2"/>
  <c r="AA134" i="2"/>
  <c r="AB134" i="2" s="1"/>
  <c r="V139" i="2" s="1"/>
  <c r="S139" i="2" s="1"/>
  <c r="U139" i="2" s="1"/>
  <c r="N172" i="2"/>
  <c r="Z130" i="2"/>
  <c r="Y130" i="2"/>
  <c r="X130" i="2"/>
  <c r="AE130" i="2" s="1"/>
  <c r="AA132" i="2"/>
  <c r="AB132" i="2" s="1"/>
  <c r="V137" i="2" s="1"/>
  <c r="S137" i="2" s="1"/>
  <c r="U137" i="2" s="1"/>
  <c r="N186" i="2"/>
  <c r="P178" i="2"/>
  <c r="Q178" i="2" s="1"/>
  <c r="J183" i="2" s="1"/>
  <c r="K183" i="2" s="1"/>
  <c r="AG137" i="2" l="1"/>
  <c r="W137" i="2"/>
  <c r="W139" i="2"/>
  <c r="AG139" i="2"/>
  <c r="M175" i="2"/>
  <c r="L175" i="2"/>
  <c r="AD175" i="2" s="1"/>
  <c r="M183" i="2"/>
  <c r="L183" i="2"/>
  <c r="AD183" i="2" s="1"/>
  <c r="AA130" i="2"/>
  <c r="AB130" i="2" s="1"/>
  <c r="V135" i="2" s="1"/>
  <c r="S135" i="2" s="1"/>
  <c r="U135" i="2" s="1"/>
  <c r="P172" i="2"/>
  <c r="Q172" i="2"/>
  <c r="J177" i="2" s="1"/>
  <c r="K177" i="2" s="1"/>
  <c r="AA131" i="2"/>
  <c r="AB131" i="2"/>
  <c r="V136" i="2" s="1"/>
  <c r="S136" i="2" s="1"/>
  <c r="U136" i="2" s="1"/>
  <c r="P186" i="2"/>
  <c r="Q186" i="2" s="1"/>
  <c r="J191" i="2" s="1"/>
  <c r="K191" i="2" s="1"/>
  <c r="AA133" i="2"/>
  <c r="AB133" i="2" s="1"/>
  <c r="V138" i="2" s="1"/>
  <c r="S138" i="2" s="1"/>
  <c r="U138" i="2" s="1"/>
  <c r="N179" i="2"/>
  <c r="AG135" i="2" l="1"/>
  <c r="W135" i="2"/>
  <c r="AG138" i="2"/>
  <c r="W138" i="2"/>
  <c r="M191" i="2"/>
  <c r="L191" i="2"/>
  <c r="AD191" i="2" s="1"/>
  <c r="P179" i="2"/>
  <c r="Q179" i="2" s="1"/>
  <c r="J184" i="2" s="1"/>
  <c r="K184" i="2" s="1"/>
  <c r="N183" i="2"/>
  <c r="N175" i="2"/>
  <c r="X139" i="2"/>
  <c r="AE139" i="2" s="1"/>
  <c r="Y139" i="2"/>
  <c r="AG136" i="2"/>
  <c r="W136" i="2"/>
  <c r="M177" i="2"/>
  <c r="L177" i="2"/>
  <c r="AD177" i="2" s="1"/>
  <c r="Y137" i="2"/>
  <c r="X137" i="2"/>
  <c r="AE137" i="2" s="1"/>
  <c r="M184" i="2" l="1"/>
  <c r="L184" i="2"/>
  <c r="AD184" i="2" s="1"/>
  <c r="P175" i="2"/>
  <c r="Q175" i="2" s="1"/>
  <c r="J180" i="2" s="1"/>
  <c r="K180" i="2" s="1"/>
  <c r="P183" i="2"/>
  <c r="Q183" i="2" s="1"/>
  <c r="J188" i="2" s="1"/>
  <c r="K188" i="2" s="1"/>
  <c r="Z137" i="2"/>
  <c r="N177" i="2"/>
  <c r="N191" i="2"/>
  <c r="Z136" i="2"/>
  <c r="Y136" i="2"/>
  <c r="X136" i="2"/>
  <c r="AE136" i="2" s="1"/>
  <c r="Y138" i="2"/>
  <c r="X138" i="2"/>
  <c r="AE138" i="2" s="1"/>
  <c r="Y135" i="2"/>
  <c r="X135" i="2"/>
  <c r="AE135" i="2" s="1"/>
  <c r="Z139" i="2"/>
  <c r="M188" i="2" l="1"/>
  <c r="L188" i="2"/>
  <c r="AD188" i="2" s="1"/>
  <c r="M180" i="2"/>
  <c r="L180" i="2"/>
  <c r="AD180" i="2" s="1"/>
  <c r="AA136" i="2"/>
  <c r="AB136" i="2" s="1"/>
  <c r="V141" i="2" s="1"/>
  <c r="S141" i="2" s="1"/>
  <c r="U141" i="2" s="1"/>
  <c r="AA137" i="2"/>
  <c r="AB137" i="2" s="1"/>
  <c r="V142" i="2" s="1"/>
  <c r="S142" i="2" s="1"/>
  <c r="U142" i="2" s="1"/>
  <c r="P177" i="2"/>
  <c r="Q177" i="2" s="1"/>
  <c r="J182" i="2" s="1"/>
  <c r="K182" i="2" s="1"/>
  <c r="P191" i="2"/>
  <c r="Q191" i="2" s="1"/>
  <c r="J196" i="2" s="1"/>
  <c r="K196" i="2" s="1"/>
  <c r="AA139" i="2"/>
  <c r="AB139" i="2" s="1"/>
  <c r="V144" i="2" s="1"/>
  <c r="S144" i="2" s="1"/>
  <c r="U144" i="2" s="1"/>
  <c r="Z135" i="2"/>
  <c r="Z138" i="2"/>
  <c r="N184" i="2"/>
  <c r="M196" i="2" l="1"/>
  <c r="L196" i="2"/>
  <c r="AD196" i="2" s="1"/>
  <c r="M182" i="2"/>
  <c r="L182" i="2"/>
  <c r="AD182" i="2" s="1"/>
  <c r="W142" i="2"/>
  <c r="AG142" i="2"/>
  <c r="W144" i="2"/>
  <c r="AG144" i="2"/>
  <c r="W141" i="2"/>
  <c r="AG141" i="2"/>
  <c r="P184" i="2"/>
  <c r="Q184" i="2"/>
  <c r="J189" i="2" s="1"/>
  <c r="K189" i="2" s="1"/>
  <c r="AA138" i="2"/>
  <c r="AB138" i="2" s="1"/>
  <c r="V143" i="2" s="1"/>
  <c r="S143" i="2" s="1"/>
  <c r="U143" i="2" s="1"/>
  <c r="AA135" i="2"/>
  <c r="AB135" i="2" s="1"/>
  <c r="V140" i="2" s="1"/>
  <c r="S140" i="2" s="1"/>
  <c r="U140" i="2" s="1"/>
  <c r="N180" i="2"/>
  <c r="N188" i="2"/>
  <c r="W140" i="2" l="1"/>
  <c r="AG140" i="2"/>
  <c r="W143" i="2"/>
  <c r="AG143" i="2"/>
  <c r="Y144" i="2"/>
  <c r="X144" i="2"/>
  <c r="AE144" i="2" s="1"/>
  <c r="Y142" i="2"/>
  <c r="X142" i="2"/>
  <c r="AE142" i="2" s="1"/>
  <c r="N182" i="2"/>
  <c r="Y141" i="2"/>
  <c r="X141" i="2"/>
  <c r="AE141" i="2" s="1"/>
  <c r="Z141" i="2"/>
  <c r="P188" i="2"/>
  <c r="Q188" i="2" s="1"/>
  <c r="J193" i="2" s="1"/>
  <c r="K193" i="2" s="1"/>
  <c r="P180" i="2"/>
  <c r="Q180" i="2" s="1"/>
  <c r="J185" i="2" s="1"/>
  <c r="K185" i="2" s="1"/>
  <c r="M189" i="2"/>
  <c r="L189" i="2"/>
  <c r="AD189" i="2" s="1"/>
  <c r="N196" i="2"/>
  <c r="M185" i="2" l="1"/>
  <c r="L185" i="2"/>
  <c r="AD185" i="2" s="1"/>
  <c r="M193" i="2"/>
  <c r="L193" i="2"/>
  <c r="AD193" i="2" s="1"/>
  <c r="P182" i="2"/>
  <c r="Q182" i="2" s="1"/>
  <c r="J187" i="2" s="1"/>
  <c r="K187" i="2" s="1"/>
  <c r="P196" i="2"/>
  <c r="Q196" i="2" s="1"/>
  <c r="J201" i="2" s="1"/>
  <c r="K201" i="2" s="1"/>
  <c r="Z142" i="2"/>
  <c r="N189" i="2"/>
  <c r="Z144" i="2"/>
  <c r="Y143" i="2"/>
  <c r="X143" i="2"/>
  <c r="AE143" i="2" s="1"/>
  <c r="AA141" i="2"/>
  <c r="AB141" i="2" s="1"/>
  <c r="V146" i="2" s="1"/>
  <c r="S146" i="2" s="1"/>
  <c r="U146" i="2" s="1"/>
  <c r="X140" i="2"/>
  <c r="AE140" i="2" s="1"/>
  <c r="Y140" i="2"/>
  <c r="W146" i="2" l="1"/>
  <c r="AG146" i="2"/>
  <c r="M201" i="2"/>
  <c r="L201" i="2"/>
  <c r="AD201" i="2" s="1"/>
  <c r="M187" i="2"/>
  <c r="L187" i="2"/>
  <c r="AD187" i="2" s="1"/>
  <c r="AA142" i="2"/>
  <c r="AB142" i="2" s="1"/>
  <c r="V147" i="2" s="1"/>
  <c r="S147" i="2" s="1"/>
  <c r="U147" i="2" s="1"/>
  <c r="P189" i="2"/>
  <c r="Q189" i="2" s="1"/>
  <c r="J194" i="2" s="1"/>
  <c r="K194" i="2" s="1"/>
  <c r="Z140" i="2"/>
  <c r="N193" i="2"/>
  <c r="Z143" i="2"/>
  <c r="N185" i="2"/>
  <c r="AA144" i="2"/>
  <c r="AB144" i="2" s="1"/>
  <c r="V149" i="2" s="1"/>
  <c r="S149" i="2" s="1"/>
  <c r="U149" i="2" s="1"/>
  <c r="AG147" i="2" l="1"/>
  <c r="W147" i="2"/>
  <c r="L194" i="2"/>
  <c r="AD194" i="2" s="1"/>
  <c r="N194" i="2"/>
  <c r="M194" i="2"/>
  <c r="AG149" i="2"/>
  <c r="W149" i="2"/>
  <c r="N187" i="2"/>
  <c r="AA143" i="2"/>
  <c r="AB143" i="2" s="1"/>
  <c r="V148" i="2" s="1"/>
  <c r="S148" i="2" s="1"/>
  <c r="U148" i="2" s="1"/>
  <c r="N201" i="2"/>
  <c r="Q193" i="2"/>
  <c r="J198" i="2" s="1"/>
  <c r="K198" i="2" s="1"/>
  <c r="P193" i="2"/>
  <c r="P185" i="2"/>
  <c r="Q185" i="2"/>
  <c r="J190" i="2" s="1"/>
  <c r="K190" i="2" s="1"/>
  <c r="AA140" i="2"/>
  <c r="AB140" i="2"/>
  <c r="V145" i="2" s="1"/>
  <c r="S145" i="2" s="1"/>
  <c r="U145" i="2" s="1"/>
  <c r="Y146" i="2"/>
  <c r="X146" i="2"/>
  <c r="AE146" i="2" s="1"/>
  <c r="AG148" i="2" l="1"/>
  <c r="W148" i="2"/>
  <c r="P201" i="2"/>
  <c r="Q201" i="2" s="1"/>
  <c r="J206" i="2" s="1"/>
  <c r="K206" i="2" s="1"/>
  <c r="P187" i="2"/>
  <c r="Q187" i="2"/>
  <c r="J192" i="2" s="1"/>
  <c r="K192" i="2" s="1"/>
  <c r="X149" i="2"/>
  <c r="AE149" i="2" s="1"/>
  <c r="Y149" i="2"/>
  <c r="Z146" i="2"/>
  <c r="P194" i="2"/>
  <c r="Q194" i="2" s="1"/>
  <c r="J199" i="2" s="1"/>
  <c r="K199" i="2" s="1"/>
  <c r="M198" i="2"/>
  <c r="L198" i="2"/>
  <c r="AD198" i="2" s="1"/>
  <c r="W145" i="2"/>
  <c r="AG145" i="2"/>
  <c r="M190" i="2"/>
  <c r="L190" i="2"/>
  <c r="AD190" i="2" s="1"/>
  <c r="Y147" i="2"/>
  <c r="X147" i="2"/>
  <c r="AE147" i="2" s="1"/>
  <c r="M199" i="2" l="1"/>
  <c r="L199" i="2"/>
  <c r="AD199" i="2" s="1"/>
  <c r="L206" i="2"/>
  <c r="AD206" i="2" s="1"/>
  <c r="N206" i="2"/>
  <c r="M206" i="2"/>
  <c r="Z147" i="2"/>
  <c r="L192" i="2"/>
  <c r="AD192" i="2" s="1"/>
  <c r="M192" i="2"/>
  <c r="AA146" i="2"/>
  <c r="AB146" i="2" s="1"/>
  <c r="V151" i="2" s="1"/>
  <c r="S151" i="2" s="1"/>
  <c r="U151" i="2" s="1"/>
  <c r="Z149" i="2"/>
  <c r="N190" i="2"/>
  <c r="Y145" i="2"/>
  <c r="X145" i="2"/>
  <c r="AE145" i="2" s="1"/>
  <c r="Y148" i="2"/>
  <c r="X148" i="2"/>
  <c r="AE148" i="2" s="1"/>
  <c r="N198" i="2"/>
  <c r="N192" i="2" l="1"/>
  <c r="AG151" i="2"/>
  <c r="W151" i="2"/>
  <c r="P192" i="2"/>
  <c r="Q192" i="2" s="1"/>
  <c r="J197" i="2" s="1"/>
  <c r="K197" i="2" s="1"/>
  <c r="AA147" i="2"/>
  <c r="AB147" i="2" s="1"/>
  <c r="V152" i="2" s="1"/>
  <c r="S152" i="2" s="1"/>
  <c r="U152" i="2" s="1"/>
  <c r="P206" i="2"/>
  <c r="Q206" i="2" s="1"/>
  <c r="J211" i="2" s="1"/>
  <c r="K211" i="2" s="1"/>
  <c r="P190" i="2"/>
  <c r="Q190" i="2"/>
  <c r="J195" i="2" s="1"/>
  <c r="K195" i="2" s="1"/>
  <c r="P198" i="2"/>
  <c r="Q198" i="2" s="1"/>
  <c r="J203" i="2" s="1"/>
  <c r="K203" i="2" s="1"/>
  <c r="Z148" i="2"/>
  <c r="Z145" i="2"/>
  <c r="AA149" i="2"/>
  <c r="AB149" i="2" s="1"/>
  <c r="V154" i="2" s="1"/>
  <c r="S154" i="2" s="1"/>
  <c r="U154" i="2" s="1"/>
  <c r="N199" i="2"/>
  <c r="M203" i="2" l="1"/>
  <c r="L203" i="2"/>
  <c r="AD203" i="2" s="1"/>
  <c r="W154" i="2"/>
  <c r="AG154" i="2"/>
  <c r="M211" i="2"/>
  <c r="L211" i="2"/>
  <c r="AD211" i="2" s="1"/>
  <c r="AG152" i="2"/>
  <c r="W152" i="2"/>
  <c r="P199" i="2"/>
  <c r="Q199" i="2" s="1"/>
  <c r="J204" i="2" s="1"/>
  <c r="K204" i="2" s="1"/>
  <c r="M195" i="2"/>
  <c r="L195" i="2"/>
  <c r="AD195" i="2" s="1"/>
  <c r="M197" i="2"/>
  <c r="L197" i="2"/>
  <c r="AD197" i="2" s="1"/>
  <c r="AA145" i="2"/>
  <c r="AB145" i="2" s="1"/>
  <c r="V150" i="2" s="1"/>
  <c r="S150" i="2" s="1"/>
  <c r="U150" i="2" s="1"/>
  <c r="Y151" i="2"/>
  <c r="X151" i="2"/>
  <c r="AE151" i="2" s="1"/>
  <c r="AB148" i="2"/>
  <c r="V153" i="2" s="1"/>
  <c r="S153" i="2" s="1"/>
  <c r="U153" i="2" s="1"/>
  <c r="AA148" i="2"/>
  <c r="M204" i="2" l="1"/>
  <c r="L204" i="2"/>
  <c r="AD204" i="2" s="1"/>
  <c r="AG150" i="2"/>
  <c r="W150" i="2"/>
  <c r="W153" i="2"/>
  <c r="AG153" i="2"/>
  <c r="Z151" i="2"/>
  <c r="N197" i="2"/>
  <c r="X154" i="2"/>
  <c r="AE154" i="2" s="1"/>
  <c r="Y154" i="2"/>
  <c r="N195" i="2"/>
  <c r="Y152" i="2"/>
  <c r="X152" i="2"/>
  <c r="AE152" i="2" s="1"/>
  <c r="N211" i="2"/>
  <c r="N203" i="2"/>
  <c r="Z152" i="2" l="1"/>
  <c r="Y153" i="2"/>
  <c r="X153" i="2"/>
  <c r="AE153" i="2" s="1"/>
  <c r="Z154" i="2"/>
  <c r="P197" i="2"/>
  <c r="Q197" i="2" s="1"/>
  <c r="J202" i="2" s="1"/>
  <c r="K202" i="2" s="1"/>
  <c r="P203" i="2"/>
  <c r="Q203" i="2" s="1"/>
  <c r="J208" i="2" s="1"/>
  <c r="K208" i="2" s="1"/>
  <c r="Y150" i="2"/>
  <c r="X150" i="2"/>
  <c r="AE150" i="2" s="1"/>
  <c r="AB151" i="2"/>
  <c r="V156" i="2" s="1"/>
  <c r="S156" i="2" s="1"/>
  <c r="U156" i="2" s="1"/>
  <c r="AA151" i="2"/>
  <c r="P211" i="2"/>
  <c r="Q211" i="2" s="1"/>
  <c r="J216" i="2" s="1"/>
  <c r="K216" i="2" s="1"/>
  <c r="AA152" i="2"/>
  <c r="AB152" i="2" s="1"/>
  <c r="V157" i="2" s="1"/>
  <c r="S157" i="2" s="1"/>
  <c r="U157" i="2" s="1"/>
  <c r="P195" i="2"/>
  <c r="Q195" i="2" s="1"/>
  <c r="J200" i="2" s="1"/>
  <c r="K200" i="2" s="1"/>
  <c r="N204" i="2"/>
  <c r="M216" i="2" l="1"/>
  <c r="L216" i="2"/>
  <c r="AD216" i="2" s="1"/>
  <c r="W157" i="2"/>
  <c r="AG157" i="2"/>
  <c r="M208" i="2"/>
  <c r="L208" i="2"/>
  <c r="AD208" i="2" s="1"/>
  <c r="M200" i="2"/>
  <c r="L200" i="2"/>
  <c r="AD200" i="2" s="1"/>
  <c r="W156" i="2"/>
  <c r="AG156" i="2"/>
  <c r="P204" i="2"/>
  <c r="Q204" i="2" s="1"/>
  <c r="J209" i="2" s="1"/>
  <c r="K209" i="2" s="1"/>
  <c r="Z150" i="2"/>
  <c r="L202" i="2"/>
  <c r="AD202" i="2" s="1"/>
  <c r="M202" i="2"/>
  <c r="AA154" i="2"/>
  <c r="AB154" i="2" s="1"/>
  <c r="V159" i="2" s="1"/>
  <c r="S159" i="2" s="1"/>
  <c r="U159" i="2" s="1"/>
  <c r="Z153" i="2"/>
  <c r="M209" i="2" l="1"/>
  <c r="L209" i="2"/>
  <c r="AD209" i="2" s="1"/>
  <c r="W159" i="2"/>
  <c r="AG159" i="2"/>
  <c r="Y156" i="2"/>
  <c r="X156" i="2"/>
  <c r="AE156" i="2" s="1"/>
  <c r="AA153" i="2"/>
  <c r="AB153" i="2" s="1"/>
  <c r="V158" i="2" s="1"/>
  <c r="S158" i="2" s="1"/>
  <c r="U158" i="2" s="1"/>
  <c r="N200" i="2"/>
  <c r="N208" i="2"/>
  <c r="N202" i="2"/>
  <c r="AA150" i="2"/>
  <c r="AB150" i="2" s="1"/>
  <c r="V155" i="2" s="1"/>
  <c r="S155" i="2" s="1"/>
  <c r="U155" i="2" s="1"/>
  <c r="Y157" i="2"/>
  <c r="X157" i="2"/>
  <c r="AE157" i="2" s="1"/>
  <c r="N216" i="2"/>
  <c r="AG158" i="2" l="1"/>
  <c r="W158" i="2"/>
  <c r="W155" i="2"/>
  <c r="AG155" i="2"/>
  <c r="P200" i="2"/>
  <c r="Q200" i="2" s="1"/>
  <c r="J205" i="2" s="1"/>
  <c r="K205" i="2" s="1"/>
  <c r="P216" i="2"/>
  <c r="Q216" i="2" s="1"/>
  <c r="J221" i="2" s="1"/>
  <c r="K221" i="2" s="1"/>
  <c r="Z156" i="2"/>
  <c r="P208" i="2"/>
  <c r="Q208" i="2" s="1"/>
  <c r="J213" i="2" s="1"/>
  <c r="K213" i="2" s="1"/>
  <c r="Z157" i="2"/>
  <c r="Y159" i="2"/>
  <c r="X159" i="2"/>
  <c r="AE159" i="2" s="1"/>
  <c r="P202" i="2"/>
  <c r="Q202" i="2" s="1"/>
  <c r="J207" i="2" s="1"/>
  <c r="K207" i="2" s="1"/>
  <c r="N209" i="2"/>
  <c r="M207" i="2" l="1"/>
  <c r="L207" i="2"/>
  <c r="AD207" i="2" s="1"/>
  <c r="N207" i="2"/>
  <c r="M213" i="2"/>
  <c r="L213" i="2"/>
  <c r="AD213" i="2" s="1"/>
  <c r="M221" i="2"/>
  <c r="L221" i="2"/>
  <c r="AD221" i="2" s="1"/>
  <c r="L205" i="2"/>
  <c r="AD205" i="2" s="1"/>
  <c r="N205" i="2"/>
  <c r="M205" i="2"/>
  <c r="AB156" i="2"/>
  <c r="V161" i="2" s="1"/>
  <c r="S161" i="2" s="1"/>
  <c r="U161" i="2" s="1"/>
  <c r="AA156" i="2"/>
  <c r="AA157" i="2"/>
  <c r="AB157" i="2" s="1"/>
  <c r="V162" i="2" s="1"/>
  <c r="S162" i="2" s="1"/>
  <c r="U162" i="2" s="1"/>
  <c r="P209" i="2"/>
  <c r="Q209" i="2"/>
  <c r="J214" i="2" s="1"/>
  <c r="K214" i="2" s="1"/>
  <c r="Y155" i="2"/>
  <c r="X155" i="2"/>
  <c r="AE155" i="2" s="1"/>
  <c r="Z155" i="2"/>
  <c r="Z159" i="2"/>
  <c r="X158" i="2"/>
  <c r="AE158" i="2" s="1"/>
  <c r="Y158" i="2"/>
  <c r="AG162" i="2" l="1"/>
  <c r="W162" i="2"/>
  <c r="P205" i="2"/>
  <c r="Q205" i="2" s="1"/>
  <c r="J210" i="2" s="1"/>
  <c r="K210" i="2" s="1"/>
  <c r="AA155" i="2"/>
  <c r="AB155" i="2" s="1"/>
  <c r="V160" i="2" s="1"/>
  <c r="S160" i="2" s="1"/>
  <c r="U160" i="2" s="1"/>
  <c r="Z158" i="2"/>
  <c r="AA159" i="2"/>
  <c r="AB159" i="2" s="1"/>
  <c r="V164" i="2" s="1"/>
  <c r="S164" i="2" s="1"/>
  <c r="U164" i="2" s="1"/>
  <c r="L214" i="2"/>
  <c r="AD214" i="2" s="1"/>
  <c r="M214" i="2"/>
  <c r="P207" i="2"/>
  <c r="Q207" i="2" s="1"/>
  <c r="J212" i="2" s="1"/>
  <c r="K212" i="2" s="1"/>
  <c r="AG161" i="2"/>
  <c r="W161" i="2"/>
  <c r="N221" i="2"/>
  <c r="N213" i="2"/>
  <c r="AG164" i="2" l="1"/>
  <c r="W164" i="2"/>
  <c r="M212" i="2"/>
  <c r="L212" i="2"/>
  <c r="AD212" i="2" s="1"/>
  <c r="W160" i="2"/>
  <c r="AG160" i="2"/>
  <c r="M210" i="2"/>
  <c r="L210" i="2"/>
  <c r="AD210" i="2" s="1"/>
  <c r="N214" i="2"/>
  <c r="Z161" i="2"/>
  <c r="Y161" i="2"/>
  <c r="X161" i="2"/>
  <c r="AE161" i="2" s="1"/>
  <c r="Y162" i="2"/>
  <c r="X162" i="2"/>
  <c r="AE162" i="2" s="1"/>
  <c r="AA158" i="2"/>
  <c r="AB158" i="2" s="1"/>
  <c r="V163" i="2" s="1"/>
  <c r="S163" i="2" s="1"/>
  <c r="U163" i="2" s="1"/>
  <c r="P213" i="2"/>
  <c r="Q213" i="2" s="1"/>
  <c r="J218" i="2" s="1"/>
  <c r="K218" i="2" s="1"/>
  <c r="P221" i="2"/>
  <c r="Q221" i="2" s="1"/>
  <c r="J226" i="2" s="1"/>
  <c r="K226" i="2" s="1"/>
  <c r="M226" i="2" l="1"/>
  <c r="L226" i="2"/>
  <c r="AD226" i="2" s="1"/>
  <c r="L218" i="2"/>
  <c r="AD218" i="2" s="1"/>
  <c r="N218" i="2"/>
  <c r="M218" i="2"/>
  <c r="AG163" i="2"/>
  <c r="W163" i="2"/>
  <c r="AA161" i="2"/>
  <c r="AB161" i="2" s="1"/>
  <c r="V166" i="2" s="1"/>
  <c r="S166" i="2" s="1"/>
  <c r="U166" i="2" s="1"/>
  <c r="P214" i="2"/>
  <c r="Q214" i="2" s="1"/>
  <c r="J219" i="2" s="1"/>
  <c r="K219" i="2" s="1"/>
  <c r="N210" i="2"/>
  <c r="Y160" i="2"/>
  <c r="X160" i="2"/>
  <c r="AE160" i="2" s="1"/>
  <c r="Z162" i="2"/>
  <c r="N212" i="2"/>
  <c r="Y164" i="2"/>
  <c r="X164" i="2"/>
  <c r="AE164" i="2" s="1"/>
  <c r="M219" i="2" l="1"/>
  <c r="L219" i="2"/>
  <c r="AD219" i="2" s="1"/>
  <c r="N219" i="2"/>
  <c r="W166" i="2"/>
  <c r="AG166" i="2"/>
  <c r="Y163" i="2"/>
  <c r="X163" i="2"/>
  <c r="AE163" i="2" s="1"/>
  <c r="P212" i="2"/>
  <c r="Q212" i="2" s="1"/>
  <c r="J217" i="2" s="1"/>
  <c r="K217" i="2" s="1"/>
  <c r="P218" i="2"/>
  <c r="Q218" i="2" s="1"/>
  <c r="J223" i="2" s="1"/>
  <c r="K223" i="2" s="1"/>
  <c r="Z164" i="2"/>
  <c r="AA162" i="2"/>
  <c r="AB162" i="2" s="1"/>
  <c r="V167" i="2" s="1"/>
  <c r="S167" i="2" s="1"/>
  <c r="U167" i="2" s="1"/>
  <c r="Z160" i="2"/>
  <c r="P210" i="2"/>
  <c r="Q210" i="2" s="1"/>
  <c r="J215" i="2" s="1"/>
  <c r="K215" i="2" s="1"/>
  <c r="N226" i="2"/>
  <c r="L217" i="2" l="1"/>
  <c r="AD217" i="2" s="1"/>
  <c r="N217" i="2"/>
  <c r="M217" i="2"/>
  <c r="W167" i="2"/>
  <c r="AG167" i="2"/>
  <c r="M223" i="2"/>
  <c r="L223" i="2"/>
  <c r="AD223" i="2" s="1"/>
  <c r="M215" i="2"/>
  <c r="L215" i="2"/>
  <c r="AD215" i="2" s="1"/>
  <c r="Q226" i="2"/>
  <c r="J231" i="2" s="1"/>
  <c r="K231" i="2" s="1"/>
  <c r="P226" i="2"/>
  <c r="AA160" i="2"/>
  <c r="AB160" i="2" s="1"/>
  <c r="V165" i="2" s="1"/>
  <c r="S165" i="2" s="1"/>
  <c r="U165" i="2" s="1"/>
  <c r="Z163" i="2"/>
  <c r="X166" i="2"/>
  <c r="AE166" i="2" s="1"/>
  <c r="Z166" i="2"/>
  <c r="Y166" i="2"/>
  <c r="P219" i="2"/>
  <c r="Q219" i="2"/>
  <c r="J224" i="2" s="1"/>
  <c r="K224" i="2" s="1"/>
  <c r="AA164" i="2"/>
  <c r="AB164" i="2" s="1"/>
  <c r="V169" i="2" s="1"/>
  <c r="S169" i="2" s="1"/>
  <c r="U169" i="2" s="1"/>
  <c r="W165" i="2" l="1"/>
  <c r="AG165" i="2"/>
  <c r="W169" i="2"/>
  <c r="AG169" i="2"/>
  <c r="L224" i="2"/>
  <c r="AD224" i="2" s="1"/>
  <c r="N224" i="2"/>
  <c r="M224" i="2"/>
  <c r="M231" i="2"/>
  <c r="L231" i="2"/>
  <c r="AD231" i="2" s="1"/>
  <c r="AA166" i="2"/>
  <c r="AB166" i="2" s="1"/>
  <c r="V171" i="2" s="1"/>
  <c r="S171" i="2" s="1"/>
  <c r="U171" i="2" s="1"/>
  <c r="N223" i="2"/>
  <c r="P217" i="2"/>
  <c r="Q217" i="2" s="1"/>
  <c r="J222" i="2" s="1"/>
  <c r="K222" i="2" s="1"/>
  <c r="N215" i="2"/>
  <c r="AA163" i="2"/>
  <c r="AB163" i="2" s="1"/>
  <c r="V168" i="2" s="1"/>
  <c r="S168" i="2" s="1"/>
  <c r="U168" i="2" s="1"/>
  <c r="Y167" i="2"/>
  <c r="X167" i="2"/>
  <c r="AE167" i="2" s="1"/>
  <c r="AG171" i="2" l="1"/>
  <c r="W171" i="2"/>
  <c r="W168" i="2"/>
  <c r="AG168" i="2"/>
  <c r="Z167" i="2"/>
  <c r="N231" i="2"/>
  <c r="P224" i="2"/>
  <c r="Q224" i="2" s="1"/>
  <c r="J229" i="2" s="1"/>
  <c r="K229" i="2" s="1"/>
  <c r="P215" i="2"/>
  <c r="Q215" i="2" s="1"/>
  <c r="J220" i="2" s="1"/>
  <c r="K220" i="2" s="1"/>
  <c r="Z169" i="2"/>
  <c r="Y169" i="2"/>
  <c r="X169" i="2"/>
  <c r="AE169" i="2" s="1"/>
  <c r="L222" i="2"/>
  <c r="AD222" i="2" s="1"/>
  <c r="M222" i="2"/>
  <c r="P223" i="2"/>
  <c r="Q223" i="2" s="1"/>
  <c r="J228" i="2" s="1"/>
  <c r="K228" i="2" s="1"/>
  <c r="Y165" i="2"/>
  <c r="X165" i="2"/>
  <c r="AE165" i="2" s="1"/>
  <c r="M220" i="2" l="1"/>
  <c r="L220" i="2"/>
  <c r="AD220" i="2" s="1"/>
  <c r="M229" i="2"/>
  <c r="L229" i="2"/>
  <c r="AD229" i="2" s="1"/>
  <c r="M228" i="2"/>
  <c r="L228" i="2"/>
  <c r="AD228" i="2" s="1"/>
  <c r="AA169" i="2"/>
  <c r="AB169" i="2" s="1"/>
  <c r="V174" i="2" s="1"/>
  <c r="S174" i="2" s="1"/>
  <c r="U174" i="2" s="1"/>
  <c r="Z165" i="2"/>
  <c r="P231" i="2"/>
  <c r="Q231" i="2" s="1"/>
  <c r="J236" i="2" s="1"/>
  <c r="K236" i="2" s="1"/>
  <c r="AA167" i="2"/>
  <c r="AB167" i="2" s="1"/>
  <c r="V172" i="2" s="1"/>
  <c r="S172" i="2" s="1"/>
  <c r="U172" i="2" s="1"/>
  <c r="Y168" i="2"/>
  <c r="X168" i="2"/>
  <c r="AE168" i="2" s="1"/>
  <c r="Y171" i="2"/>
  <c r="X171" i="2"/>
  <c r="AE171" i="2" s="1"/>
  <c r="N222" i="2"/>
  <c r="L236" i="2" l="1"/>
  <c r="AD236" i="2" s="1"/>
  <c r="M236" i="2"/>
  <c r="N236" i="2"/>
  <c r="W174" i="2"/>
  <c r="AG174" i="2"/>
  <c r="AG172" i="2"/>
  <c r="W172" i="2"/>
  <c r="P222" i="2"/>
  <c r="Q222" i="2" s="1"/>
  <c r="J227" i="2" s="1"/>
  <c r="K227" i="2" s="1"/>
  <c r="N228" i="2"/>
  <c r="AA165" i="2"/>
  <c r="AB165" i="2" s="1"/>
  <c r="V170" i="2" s="1"/>
  <c r="S170" i="2" s="1"/>
  <c r="U170" i="2" s="1"/>
  <c r="Z171" i="2"/>
  <c r="Z168" i="2"/>
  <c r="N229" i="2"/>
  <c r="N220" i="2"/>
  <c r="AG170" i="2" l="1"/>
  <c r="W170" i="2"/>
  <c r="M227" i="2"/>
  <c r="L227" i="2"/>
  <c r="AD227" i="2" s="1"/>
  <c r="Y172" i="2"/>
  <c r="X172" i="2"/>
  <c r="AE172" i="2" s="1"/>
  <c r="P220" i="2"/>
  <c r="Q220" i="2" s="1"/>
  <c r="J225" i="2" s="1"/>
  <c r="K225" i="2" s="1"/>
  <c r="P228" i="2"/>
  <c r="Q228" i="2" s="1"/>
  <c r="J233" i="2" s="1"/>
  <c r="K233" i="2" s="1"/>
  <c r="Y174" i="2"/>
  <c r="X174" i="2"/>
  <c r="AE174" i="2" s="1"/>
  <c r="P229" i="2"/>
  <c r="Q229" i="2" s="1"/>
  <c r="J234" i="2" s="1"/>
  <c r="K234" i="2" s="1"/>
  <c r="P236" i="2"/>
  <c r="Q236" i="2" s="1"/>
  <c r="J241" i="2" s="1"/>
  <c r="K241" i="2" s="1"/>
  <c r="AA168" i="2"/>
  <c r="AB168" i="2" s="1"/>
  <c r="V173" i="2" s="1"/>
  <c r="S173" i="2" s="1"/>
  <c r="U173" i="2" s="1"/>
  <c r="AA171" i="2"/>
  <c r="AB171" i="2" s="1"/>
  <c r="V176" i="2" s="1"/>
  <c r="S176" i="2" s="1"/>
  <c r="U176" i="2" s="1"/>
  <c r="M234" i="2" l="1"/>
  <c r="L234" i="2"/>
  <c r="AD234" i="2" s="1"/>
  <c r="M233" i="2"/>
  <c r="L233" i="2"/>
  <c r="AD233" i="2" s="1"/>
  <c r="M241" i="2"/>
  <c r="L241" i="2"/>
  <c r="AD241" i="2" s="1"/>
  <c r="M225" i="2"/>
  <c r="L225" i="2"/>
  <c r="AD225" i="2" s="1"/>
  <c r="AG176" i="2"/>
  <c r="W176" i="2"/>
  <c r="AG173" i="2"/>
  <c r="W173" i="2"/>
  <c r="Z172" i="2"/>
  <c r="N227" i="2"/>
  <c r="Y170" i="2"/>
  <c r="X170" i="2"/>
  <c r="AE170" i="2" s="1"/>
  <c r="Z174" i="2"/>
  <c r="N225" i="2" l="1"/>
  <c r="Z170" i="2"/>
  <c r="P227" i="2"/>
  <c r="Q227" i="2" s="1"/>
  <c r="J232" i="2" s="1"/>
  <c r="K232" i="2" s="1"/>
  <c r="AA172" i="2"/>
  <c r="AB172" i="2" s="1"/>
  <c r="V177" i="2" s="1"/>
  <c r="S177" i="2" s="1"/>
  <c r="U177" i="2" s="1"/>
  <c r="N233" i="2"/>
  <c r="Y176" i="2"/>
  <c r="X176" i="2"/>
  <c r="AE176" i="2" s="1"/>
  <c r="AA174" i="2"/>
  <c r="AB174" i="2" s="1"/>
  <c r="V179" i="2" s="1"/>
  <c r="S179" i="2" s="1"/>
  <c r="U179" i="2" s="1"/>
  <c r="N241" i="2"/>
  <c r="Y173" i="2"/>
  <c r="X173" i="2"/>
  <c r="AE173" i="2" s="1"/>
  <c r="N234" i="2"/>
  <c r="W179" i="2" l="1"/>
  <c r="AG179" i="2"/>
  <c r="W177" i="2"/>
  <c r="AG177" i="2"/>
  <c r="Z176" i="2"/>
  <c r="P233" i="2"/>
  <c r="Q233" i="2" s="1"/>
  <c r="J238" i="2" s="1"/>
  <c r="K238" i="2" s="1"/>
  <c r="M232" i="2"/>
  <c r="L232" i="2"/>
  <c r="AD232" i="2" s="1"/>
  <c r="Z173" i="2"/>
  <c r="AB170" i="2"/>
  <c r="V175" i="2" s="1"/>
  <c r="S175" i="2" s="1"/>
  <c r="U175" i="2" s="1"/>
  <c r="AA170" i="2"/>
  <c r="P234" i="2"/>
  <c r="Q234" i="2" s="1"/>
  <c r="J239" i="2" s="1"/>
  <c r="K239" i="2" s="1"/>
  <c r="P241" i="2"/>
  <c r="Q241" i="2" s="1"/>
  <c r="J246" i="2" s="1"/>
  <c r="K246" i="2" s="1"/>
  <c r="P225" i="2"/>
  <c r="Q225" i="2" s="1"/>
  <c r="J230" i="2" s="1"/>
  <c r="K230" i="2" s="1"/>
  <c r="M239" i="2" l="1"/>
  <c r="L239" i="2"/>
  <c r="AD239" i="2" s="1"/>
  <c r="M238" i="2"/>
  <c r="L238" i="2"/>
  <c r="AD238" i="2" s="1"/>
  <c r="M230" i="2"/>
  <c r="L230" i="2"/>
  <c r="AD230" i="2" s="1"/>
  <c r="M246" i="2"/>
  <c r="L246" i="2"/>
  <c r="AD246" i="2" s="1"/>
  <c r="N232" i="2"/>
  <c r="AA173" i="2"/>
  <c r="AB173" i="2" s="1"/>
  <c r="V178" i="2" s="1"/>
  <c r="S178" i="2" s="1"/>
  <c r="U178" i="2" s="1"/>
  <c r="AA176" i="2"/>
  <c r="AB176" i="2" s="1"/>
  <c r="V181" i="2" s="1"/>
  <c r="S181" i="2" s="1"/>
  <c r="U181" i="2" s="1"/>
  <c r="AG175" i="2"/>
  <c r="W175" i="2"/>
  <c r="Y177" i="2"/>
  <c r="X177" i="2"/>
  <c r="AE177" i="2" s="1"/>
  <c r="Y179" i="2"/>
  <c r="X179" i="2"/>
  <c r="AE179" i="2" s="1"/>
  <c r="W181" i="2" l="1"/>
  <c r="AG181" i="2"/>
  <c r="W178" i="2"/>
  <c r="AG178" i="2"/>
  <c r="Z177" i="2"/>
  <c r="N230" i="2"/>
  <c r="N238" i="2"/>
  <c r="N246" i="2"/>
  <c r="X175" i="2"/>
  <c r="AE175" i="2" s="1"/>
  <c r="Y175" i="2"/>
  <c r="Z179" i="2"/>
  <c r="P232" i="2"/>
  <c r="Q232" i="2" s="1"/>
  <c r="J237" i="2" s="1"/>
  <c r="K237" i="2" s="1"/>
  <c r="N239" i="2"/>
  <c r="M237" i="2" l="1"/>
  <c r="L237" i="2"/>
  <c r="AD237" i="2" s="1"/>
  <c r="P238" i="2"/>
  <c r="Q238" i="2" s="1"/>
  <c r="J243" i="2" s="1"/>
  <c r="K243" i="2" s="1"/>
  <c r="Z175" i="2"/>
  <c r="P246" i="2"/>
  <c r="Q246" i="2" s="1"/>
  <c r="J251" i="2" s="1"/>
  <c r="K251" i="2" s="1"/>
  <c r="AA177" i="2"/>
  <c r="AB177" i="2" s="1"/>
  <c r="V182" i="2" s="1"/>
  <c r="S182" i="2" s="1"/>
  <c r="U182" i="2" s="1"/>
  <c r="P239" i="2"/>
  <c r="Q239" i="2" s="1"/>
  <c r="J244" i="2" s="1"/>
  <c r="K244" i="2" s="1"/>
  <c r="X178" i="2"/>
  <c r="AE178" i="2" s="1"/>
  <c r="Z178" i="2"/>
  <c r="Y178" i="2"/>
  <c r="AA179" i="2"/>
  <c r="AB179" i="2" s="1"/>
  <c r="V184" i="2" s="1"/>
  <c r="S184" i="2" s="1"/>
  <c r="U184" i="2" s="1"/>
  <c r="P230" i="2"/>
  <c r="Q230" i="2" s="1"/>
  <c r="J235" i="2" s="1"/>
  <c r="K235" i="2" s="1"/>
  <c r="Y181" i="2"/>
  <c r="X181" i="2"/>
  <c r="AE181" i="2" s="1"/>
  <c r="N237" i="2" l="1"/>
  <c r="W182" i="2"/>
  <c r="AG182" i="2"/>
  <c r="AG184" i="2"/>
  <c r="W184" i="2"/>
  <c r="M243" i="2"/>
  <c r="L243" i="2"/>
  <c r="AD243" i="2" s="1"/>
  <c r="L244" i="2"/>
  <c r="AD244" i="2" s="1"/>
  <c r="M244" i="2"/>
  <c r="N251" i="2"/>
  <c r="M251" i="2"/>
  <c r="L251" i="2"/>
  <c r="AD251" i="2" s="1"/>
  <c r="M235" i="2"/>
  <c r="L235" i="2"/>
  <c r="AD235" i="2" s="1"/>
  <c r="Z181" i="2"/>
  <c r="AA175" i="2"/>
  <c r="AB175" i="2" s="1"/>
  <c r="V180" i="2" s="1"/>
  <c r="S180" i="2" s="1"/>
  <c r="U180" i="2" s="1"/>
  <c r="P237" i="2"/>
  <c r="Q237" i="2" s="1"/>
  <c r="J242" i="2" s="1"/>
  <c r="K242" i="2" s="1"/>
  <c r="AA178" i="2"/>
  <c r="AB178" i="2"/>
  <c r="V183" i="2" s="1"/>
  <c r="S183" i="2" s="1"/>
  <c r="U183" i="2" s="1"/>
  <c r="M242" i="2" l="1"/>
  <c r="L242" i="2"/>
  <c r="AD242" i="2" s="1"/>
  <c r="W180" i="2"/>
  <c r="AG180" i="2"/>
  <c r="N244" i="2"/>
  <c r="P251" i="2"/>
  <c r="Q251" i="2" s="1"/>
  <c r="J256" i="2" s="1"/>
  <c r="K256" i="2" s="1"/>
  <c r="AA181" i="2"/>
  <c r="AB181" i="2" s="1"/>
  <c r="V186" i="2" s="1"/>
  <c r="S186" i="2" s="1"/>
  <c r="U186" i="2" s="1"/>
  <c r="N243" i="2"/>
  <c r="Z184" i="2"/>
  <c r="Y184" i="2"/>
  <c r="X184" i="2"/>
  <c r="AE184" i="2" s="1"/>
  <c r="N235" i="2"/>
  <c r="W183" i="2"/>
  <c r="AG183" i="2"/>
  <c r="Y182" i="2"/>
  <c r="X182" i="2"/>
  <c r="AE182" i="2" s="1"/>
  <c r="W186" i="2" l="1"/>
  <c r="AG186" i="2"/>
  <c r="M256" i="2"/>
  <c r="L256" i="2"/>
  <c r="AD256" i="2" s="1"/>
  <c r="AA184" i="2"/>
  <c r="AB184" i="2" s="1"/>
  <c r="V189" i="2" s="1"/>
  <c r="S189" i="2" s="1"/>
  <c r="U189" i="2" s="1"/>
  <c r="P244" i="2"/>
  <c r="Q244" i="2" s="1"/>
  <c r="J249" i="2" s="1"/>
  <c r="K249" i="2" s="1"/>
  <c r="P243" i="2"/>
  <c r="Q243" i="2" s="1"/>
  <c r="J248" i="2" s="1"/>
  <c r="K248" i="2" s="1"/>
  <c r="Z182" i="2"/>
  <c r="Y183" i="2"/>
  <c r="X183" i="2"/>
  <c r="AE183" i="2" s="1"/>
  <c r="Y180" i="2"/>
  <c r="X180" i="2"/>
  <c r="AE180" i="2" s="1"/>
  <c r="P235" i="2"/>
  <c r="Q235" i="2" s="1"/>
  <c r="J240" i="2" s="1"/>
  <c r="K240" i="2" s="1"/>
  <c r="N242" i="2"/>
  <c r="M249" i="2" l="1"/>
  <c r="L249" i="2"/>
  <c r="AD249" i="2" s="1"/>
  <c r="N249" i="2"/>
  <c r="L248" i="2"/>
  <c r="AD248" i="2" s="1"/>
  <c r="N248" i="2"/>
  <c r="M248" i="2"/>
  <c r="W189" i="2"/>
  <c r="AG189" i="2"/>
  <c r="M240" i="2"/>
  <c r="L240" i="2"/>
  <c r="AD240" i="2" s="1"/>
  <c r="AA182" i="2"/>
  <c r="AB182" i="2" s="1"/>
  <c r="V187" i="2" s="1"/>
  <c r="S187" i="2" s="1"/>
  <c r="U187" i="2" s="1"/>
  <c r="Z180" i="2"/>
  <c r="P242" i="2"/>
  <c r="Q242" i="2" s="1"/>
  <c r="J247" i="2" s="1"/>
  <c r="K247" i="2" s="1"/>
  <c r="N256" i="2"/>
  <c r="Z183" i="2"/>
  <c r="Y186" i="2"/>
  <c r="X186" i="2"/>
  <c r="AE186" i="2" s="1"/>
  <c r="M247" i="2" l="1"/>
  <c r="L247" i="2"/>
  <c r="AD247" i="2" s="1"/>
  <c r="N247" i="2"/>
  <c r="AG187" i="2"/>
  <c r="W187" i="2"/>
  <c r="Y189" i="2"/>
  <c r="X189" i="2"/>
  <c r="AE189" i="2" s="1"/>
  <c r="P248" i="2"/>
  <c r="Q248" i="2" s="1"/>
  <c r="J253" i="2" s="1"/>
  <c r="K253" i="2" s="1"/>
  <c r="AA180" i="2"/>
  <c r="AB180" i="2" s="1"/>
  <c r="V185" i="2" s="1"/>
  <c r="S185" i="2" s="1"/>
  <c r="U185" i="2" s="1"/>
  <c r="N240" i="2"/>
  <c r="Z186" i="2"/>
  <c r="AA183" i="2"/>
  <c r="AB183" i="2" s="1"/>
  <c r="V188" i="2" s="1"/>
  <c r="S188" i="2" s="1"/>
  <c r="U188" i="2" s="1"/>
  <c r="P256" i="2"/>
  <c r="Q256" i="2" s="1"/>
  <c r="J261" i="2" s="1"/>
  <c r="K261" i="2" s="1"/>
  <c r="P249" i="2"/>
  <c r="Q249" i="2" s="1"/>
  <c r="J254" i="2" s="1"/>
  <c r="K254" i="2" s="1"/>
  <c r="AG188" i="2" l="1"/>
  <c r="W188" i="2"/>
  <c r="AG185" i="2"/>
  <c r="W185" i="2"/>
  <c r="L253" i="2"/>
  <c r="AD253" i="2" s="1"/>
  <c r="M253" i="2"/>
  <c r="L254" i="2"/>
  <c r="AD254" i="2" s="1"/>
  <c r="N254" i="2"/>
  <c r="M254" i="2"/>
  <c r="L261" i="2"/>
  <c r="AD261" i="2" s="1"/>
  <c r="M261" i="2"/>
  <c r="Z189" i="2"/>
  <c r="Y187" i="2"/>
  <c r="X187" i="2"/>
  <c r="AE187" i="2" s="1"/>
  <c r="P247" i="2"/>
  <c r="Q247" i="2" s="1"/>
  <c r="J252" i="2" s="1"/>
  <c r="K252" i="2" s="1"/>
  <c r="AA186" i="2"/>
  <c r="AB186" i="2" s="1"/>
  <c r="V191" i="2" s="1"/>
  <c r="S191" i="2" s="1"/>
  <c r="U191" i="2" s="1"/>
  <c r="P240" i="2"/>
  <c r="Q240" i="2" s="1"/>
  <c r="J245" i="2" s="1"/>
  <c r="K245" i="2" s="1"/>
  <c r="M245" i="2" l="1"/>
  <c r="L245" i="2"/>
  <c r="AD245" i="2" s="1"/>
  <c r="W191" i="2"/>
  <c r="AG191" i="2"/>
  <c r="P254" i="2"/>
  <c r="Q254" i="2"/>
  <c r="J259" i="2" s="1"/>
  <c r="K259" i="2" s="1"/>
  <c r="N253" i="2"/>
  <c r="N261" i="2"/>
  <c r="M252" i="2"/>
  <c r="L252" i="2"/>
  <c r="AD252" i="2" s="1"/>
  <c r="X185" i="2"/>
  <c r="AE185" i="2" s="1"/>
  <c r="Z185" i="2"/>
  <c r="Y185" i="2"/>
  <c r="Z187" i="2"/>
  <c r="AA189" i="2"/>
  <c r="AB189" i="2" s="1"/>
  <c r="V194" i="2" s="1"/>
  <c r="S194" i="2" s="1"/>
  <c r="U194" i="2" s="1"/>
  <c r="Y188" i="2"/>
  <c r="X188" i="2"/>
  <c r="AE188" i="2" s="1"/>
  <c r="AG194" i="2" l="1"/>
  <c r="W194" i="2"/>
  <c r="L259" i="2"/>
  <c r="AD259" i="2" s="1"/>
  <c r="M259" i="2"/>
  <c r="N252" i="2"/>
  <c r="P261" i="2"/>
  <c r="Q261" i="2" s="1"/>
  <c r="J266" i="2" s="1"/>
  <c r="K266" i="2" s="1"/>
  <c r="P253" i="2"/>
  <c r="Q253" i="2" s="1"/>
  <c r="J258" i="2" s="1"/>
  <c r="K258" i="2" s="1"/>
  <c r="AA185" i="2"/>
  <c r="AB185" i="2" s="1"/>
  <c r="V190" i="2" s="1"/>
  <c r="S190" i="2" s="1"/>
  <c r="U190" i="2" s="1"/>
  <c r="N245" i="2"/>
  <c r="Z188" i="2"/>
  <c r="AA187" i="2"/>
  <c r="AB187" i="2" s="1"/>
  <c r="V192" i="2" s="1"/>
  <c r="S192" i="2" s="1"/>
  <c r="U192" i="2" s="1"/>
  <c r="X191" i="2"/>
  <c r="AE191" i="2" s="1"/>
  <c r="Y191" i="2"/>
  <c r="Z191" i="2"/>
  <c r="W190" i="2" l="1"/>
  <c r="AG190" i="2"/>
  <c r="W192" i="2"/>
  <c r="AG192" i="2"/>
  <c r="M258" i="2"/>
  <c r="L258" i="2"/>
  <c r="AD258" i="2" s="1"/>
  <c r="L266" i="2"/>
  <c r="AD266" i="2" s="1"/>
  <c r="M266" i="2"/>
  <c r="N266" i="2"/>
  <c r="N259" i="2"/>
  <c r="AB191" i="2"/>
  <c r="V196" i="2" s="1"/>
  <c r="S196" i="2" s="1"/>
  <c r="U196" i="2" s="1"/>
  <c r="AA191" i="2"/>
  <c r="P252" i="2"/>
  <c r="Q252" i="2" s="1"/>
  <c r="J257" i="2" s="1"/>
  <c r="K257" i="2" s="1"/>
  <c r="AA188" i="2"/>
  <c r="AB188" i="2"/>
  <c r="V193" i="2" s="1"/>
  <c r="S193" i="2" s="1"/>
  <c r="U193" i="2" s="1"/>
  <c r="Y194" i="2"/>
  <c r="X194" i="2"/>
  <c r="AE194" i="2" s="1"/>
  <c r="P245" i="2"/>
  <c r="Q245" i="2" s="1"/>
  <c r="J250" i="2" s="1"/>
  <c r="K250" i="2" s="1"/>
  <c r="M250" i="2" l="1"/>
  <c r="L250" i="2"/>
  <c r="AD250" i="2" s="1"/>
  <c r="M257" i="2"/>
  <c r="L257" i="2"/>
  <c r="AD257" i="2" s="1"/>
  <c r="P266" i="2"/>
  <c r="Q266" i="2" s="1"/>
  <c r="J271" i="2" s="1"/>
  <c r="K271" i="2" s="1"/>
  <c r="Z194" i="2"/>
  <c r="P259" i="2"/>
  <c r="Q259" i="2" s="1"/>
  <c r="J264" i="2" s="1"/>
  <c r="K264" i="2" s="1"/>
  <c r="W193" i="2"/>
  <c r="AG193" i="2"/>
  <c r="Y192" i="2"/>
  <c r="X192" i="2"/>
  <c r="AE192" i="2" s="1"/>
  <c r="W196" i="2"/>
  <c r="AG196" i="2"/>
  <c r="N258" i="2"/>
  <c r="Y190" i="2"/>
  <c r="X190" i="2"/>
  <c r="AE190" i="2" s="1"/>
  <c r="Z192" i="2" l="1"/>
  <c r="M271" i="2"/>
  <c r="L271" i="2"/>
  <c r="AD271" i="2" s="1"/>
  <c r="M264" i="2"/>
  <c r="L264" i="2"/>
  <c r="AD264" i="2" s="1"/>
  <c r="Y193" i="2"/>
  <c r="X193" i="2"/>
  <c r="AE193" i="2" s="1"/>
  <c r="Z190" i="2"/>
  <c r="P258" i="2"/>
  <c r="Q258" i="2" s="1"/>
  <c r="J263" i="2" s="1"/>
  <c r="K263" i="2" s="1"/>
  <c r="AA194" i="2"/>
  <c r="AB194" i="2"/>
  <c r="V199" i="2" s="1"/>
  <c r="S199" i="2" s="1"/>
  <c r="U199" i="2" s="1"/>
  <c r="X196" i="2"/>
  <c r="AE196" i="2" s="1"/>
  <c r="Y196" i="2"/>
  <c r="AA192" i="2"/>
  <c r="AB192" i="2" s="1"/>
  <c r="V197" i="2" s="1"/>
  <c r="S197" i="2" s="1"/>
  <c r="U197" i="2" s="1"/>
  <c r="N257" i="2"/>
  <c r="N250" i="2"/>
  <c r="L263" i="2" l="1"/>
  <c r="AD263" i="2" s="1"/>
  <c r="M263" i="2"/>
  <c r="W197" i="2"/>
  <c r="AG197" i="2"/>
  <c r="AA190" i="2"/>
  <c r="AB190" i="2" s="1"/>
  <c r="V195" i="2" s="1"/>
  <c r="S195" i="2" s="1"/>
  <c r="U195" i="2" s="1"/>
  <c r="P250" i="2"/>
  <c r="Q250" i="2" s="1"/>
  <c r="J255" i="2" s="1"/>
  <c r="K255" i="2" s="1"/>
  <c r="P257" i="2"/>
  <c r="Q257" i="2" s="1"/>
  <c r="J262" i="2" s="1"/>
  <c r="K262" i="2" s="1"/>
  <c r="Z196" i="2"/>
  <c r="Z193" i="2"/>
  <c r="N264" i="2"/>
  <c r="W199" i="2"/>
  <c r="AG199" i="2"/>
  <c r="N271" i="2"/>
  <c r="M255" i="2" l="1"/>
  <c r="L255" i="2"/>
  <c r="AD255" i="2" s="1"/>
  <c r="N255" i="2"/>
  <c r="M262" i="2"/>
  <c r="L262" i="2"/>
  <c r="AD262" i="2" s="1"/>
  <c r="W195" i="2"/>
  <c r="AG195" i="2"/>
  <c r="AA196" i="2"/>
  <c r="AB196" i="2" s="1"/>
  <c r="V201" i="2" s="1"/>
  <c r="S201" i="2" s="1"/>
  <c r="U201" i="2" s="1"/>
  <c r="P271" i="2"/>
  <c r="Q271" i="2" s="1"/>
  <c r="J276" i="2" s="1"/>
  <c r="K276" i="2" s="1"/>
  <c r="Y197" i="2"/>
  <c r="X197" i="2"/>
  <c r="AE197" i="2" s="1"/>
  <c r="Y199" i="2"/>
  <c r="X199" i="2"/>
  <c r="AE199" i="2" s="1"/>
  <c r="P264" i="2"/>
  <c r="Q264" i="2" s="1"/>
  <c r="J269" i="2" s="1"/>
  <c r="K269" i="2" s="1"/>
  <c r="AA193" i="2"/>
  <c r="AB193" i="2" s="1"/>
  <c r="V198" i="2" s="1"/>
  <c r="S198" i="2" s="1"/>
  <c r="U198" i="2" s="1"/>
  <c r="N263" i="2"/>
  <c r="M276" i="2" l="1"/>
  <c r="L276" i="2"/>
  <c r="AD276" i="2" s="1"/>
  <c r="N276" i="2"/>
  <c r="W198" i="2"/>
  <c r="AG198" i="2"/>
  <c r="AG201" i="2"/>
  <c r="W201" i="2"/>
  <c r="M269" i="2"/>
  <c r="L269" i="2"/>
  <c r="AD269" i="2" s="1"/>
  <c r="Z195" i="2"/>
  <c r="Y195" i="2"/>
  <c r="X195" i="2"/>
  <c r="AE195" i="2" s="1"/>
  <c r="P263" i="2"/>
  <c r="Q263" i="2" s="1"/>
  <c r="J268" i="2" s="1"/>
  <c r="K268" i="2" s="1"/>
  <c r="Z199" i="2"/>
  <c r="N262" i="2"/>
  <c r="Z197" i="2"/>
  <c r="P255" i="2"/>
  <c r="Q255" i="2" s="1"/>
  <c r="J260" i="2" s="1"/>
  <c r="K260" i="2" s="1"/>
  <c r="M260" i="2" l="1"/>
  <c r="L260" i="2"/>
  <c r="AD260" i="2" s="1"/>
  <c r="M268" i="2"/>
  <c r="L268" i="2"/>
  <c r="AD268" i="2" s="1"/>
  <c r="Y201" i="2"/>
  <c r="X201" i="2"/>
  <c r="AE201" i="2" s="1"/>
  <c r="P262" i="2"/>
  <c r="Q262" i="2" s="1"/>
  <c r="J267" i="2" s="1"/>
  <c r="K267" i="2" s="1"/>
  <c r="Z198" i="2"/>
  <c r="Y198" i="2"/>
  <c r="X198" i="2"/>
  <c r="AE198" i="2" s="1"/>
  <c r="AA195" i="2"/>
  <c r="AB195" i="2" s="1"/>
  <c r="V200" i="2" s="1"/>
  <c r="S200" i="2" s="1"/>
  <c r="U200" i="2" s="1"/>
  <c r="N269" i="2"/>
  <c r="AA197" i="2"/>
  <c r="AB197" i="2" s="1"/>
  <c r="V202" i="2" s="1"/>
  <c r="S202" i="2" s="1"/>
  <c r="U202" i="2" s="1"/>
  <c r="AA199" i="2"/>
  <c r="AB199" i="2" s="1"/>
  <c r="V204" i="2" s="1"/>
  <c r="S204" i="2" s="1"/>
  <c r="U204" i="2" s="1"/>
  <c r="P276" i="2"/>
  <c r="Q276" i="2" s="1"/>
  <c r="J281" i="2" s="1"/>
  <c r="K281" i="2" s="1"/>
  <c r="L281" i="2" l="1"/>
  <c r="AD281" i="2" s="1"/>
  <c r="N281" i="2"/>
  <c r="M281" i="2"/>
  <c r="M267" i="2"/>
  <c r="L267" i="2"/>
  <c r="AD267" i="2" s="1"/>
  <c r="N267" i="2"/>
  <c r="W204" i="2"/>
  <c r="AG204" i="2"/>
  <c r="AG200" i="2"/>
  <c r="W200" i="2"/>
  <c r="W202" i="2"/>
  <c r="AG202" i="2"/>
  <c r="AA198" i="2"/>
  <c r="AB198" i="2" s="1"/>
  <c r="V203" i="2" s="1"/>
  <c r="S203" i="2" s="1"/>
  <c r="U203" i="2" s="1"/>
  <c r="Z201" i="2"/>
  <c r="P269" i="2"/>
  <c r="Q269" i="2" s="1"/>
  <c r="J274" i="2" s="1"/>
  <c r="K274" i="2" s="1"/>
  <c r="N268" i="2"/>
  <c r="N260" i="2"/>
  <c r="L274" i="2" l="1"/>
  <c r="AD274" i="2" s="1"/>
  <c r="N274" i="2"/>
  <c r="M274" i="2"/>
  <c r="W203" i="2"/>
  <c r="AG203" i="2"/>
  <c r="P267" i="2"/>
  <c r="Q267" i="2" s="1"/>
  <c r="J272" i="2" s="1"/>
  <c r="K272" i="2" s="1"/>
  <c r="Y200" i="2"/>
  <c r="X200" i="2"/>
  <c r="AE200" i="2" s="1"/>
  <c r="Y204" i="2"/>
  <c r="X204" i="2"/>
  <c r="AE204" i="2" s="1"/>
  <c r="AA201" i="2"/>
  <c r="AB201" i="2" s="1"/>
  <c r="V206" i="2" s="1"/>
  <c r="S206" i="2" s="1"/>
  <c r="U206" i="2" s="1"/>
  <c r="Y202" i="2"/>
  <c r="X202" i="2"/>
  <c r="AE202" i="2" s="1"/>
  <c r="P260" i="2"/>
  <c r="Q260" i="2" s="1"/>
  <c r="J265" i="2" s="1"/>
  <c r="K265" i="2" s="1"/>
  <c r="P268" i="2"/>
  <c r="Q268" i="2" s="1"/>
  <c r="J273" i="2" s="1"/>
  <c r="K273" i="2" s="1"/>
  <c r="P281" i="2"/>
  <c r="Q281" i="2"/>
  <c r="J286" i="2" s="1"/>
  <c r="K286" i="2" s="1"/>
  <c r="W206" i="2" l="1"/>
  <c r="AG206" i="2"/>
  <c r="L272" i="2"/>
  <c r="AD272" i="2" s="1"/>
  <c r="M272" i="2"/>
  <c r="M273" i="2"/>
  <c r="L273" i="2"/>
  <c r="AD273" i="2" s="1"/>
  <c r="L265" i="2"/>
  <c r="AD265" i="2" s="1"/>
  <c r="N265" i="2"/>
  <c r="M265" i="2"/>
  <c r="Z200" i="2"/>
  <c r="X203" i="2"/>
  <c r="AE203" i="2" s="1"/>
  <c r="Z203" i="2"/>
  <c r="Y203" i="2"/>
  <c r="M286" i="2"/>
  <c r="L286" i="2"/>
  <c r="AD286" i="2" s="1"/>
  <c r="Z202" i="2"/>
  <c r="P274" i="2"/>
  <c r="Q274" i="2" s="1"/>
  <c r="J279" i="2" s="1"/>
  <c r="K279" i="2" s="1"/>
  <c r="Z204" i="2"/>
  <c r="M279" i="2" l="1"/>
  <c r="L279" i="2"/>
  <c r="AD279" i="2" s="1"/>
  <c r="AA200" i="2"/>
  <c r="AB200" i="2" s="1"/>
  <c r="V205" i="2" s="1"/>
  <c r="S205" i="2" s="1"/>
  <c r="U205" i="2" s="1"/>
  <c r="AA204" i="2"/>
  <c r="AB204" i="2" s="1"/>
  <c r="V209" i="2" s="1"/>
  <c r="S209" i="2" s="1"/>
  <c r="U209" i="2" s="1"/>
  <c r="AA202" i="2"/>
  <c r="AB202" i="2" s="1"/>
  <c r="V207" i="2" s="1"/>
  <c r="S207" i="2" s="1"/>
  <c r="U207" i="2" s="1"/>
  <c r="AA203" i="2"/>
  <c r="AB203" i="2" s="1"/>
  <c r="V208" i="2" s="1"/>
  <c r="S208" i="2" s="1"/>
  <c r="U208" i="2" s="1"/>
  <c r="P265" i="2"/>
  <c r="Q265" i="2" s="1"/>
  <c r="J270" i="2" s="1"/>
  <c r="K270" i="2" s="1"/>
  <c r="N273" i="2"/>
  <c r="N286" i="2"/>
  <c r="N272" i="2"/>
  <c r="Y206" i="2"/>
  <c r="X206" i="2"/>
  <c r="AE206" i="2" s="1"/>
  <c r="M270" i="2" l="1"/>
  <c r="L270" i="2"/>
  <c r="AD270" i="2" s="1"/>
  <c r="W209" i="2"/>
  <c r="AG209" i="2"/>
  <c r="W208" i="2"/>
  <c r="AG208" i="2"/>
  <c r="W207" i="2"/>
  <c r="AG207" i="2"/>
  <c r="W205" i="2"/>
  <c r="AG205" i="2"/>
  <c r="P286" i="2"/>
  <c r="Q286" i="2" s="1"/>
  <c r="J291" i="2" s="1"/>
  <c r="K291" i="2" s="1"/>
  <c r="N279" i="2"/>
  <c r="Z206" i="2"/>
  <c r="P272" i="2"/>
  <c r="Q272" i="2" s="1"/>
  <c r="J277" i="2" s="1"/>
  <c r="K277" i="2" s="1"/>
  <c r="P273" i="2"/>
  <c r="Q273" i="2" s="1"/>
  <c r="J278" i="2" s="1"/>
  <c r="K278" i="2" s="1"/>
  <c r="L278" i="2" l="1"/>
  <c r="AD278" i="2" s="1"/>
  <c r="M278" i="2"/>
  <c r="M291" i="2"/>
  <c r="L291" i="2"/>
  <c r="AD291" i="2" s="1"/>
  <c r="M277" i="2"/>
  <c r="L277" i="2"/>
  <c r="AD277" i="2" s="1"/>
  <c r="Y208" i="2"/>
  <c r="X208" i="2"/>
  <c r="AE208" i="2" s="1"/>
  <c r="Y205" i="2"/>
  <c r="X205" i="2"/>
  <c r="AE205" i="2" s="1"/>
  <c r="Y207" i="2"/>
  <c r="X207" i="2"/>
  <c r="AE207" i="2" s="1"/>
  <c r="Y209" i="2"/>
  <c r="X209" i="2"/>
  <c r="AE209" i="2" s="1"/>
  <c r="AA206" i="2"/>
  <c r="AB206" i="2" s="1"/>
  <c r="V211" i="2" s="1"/>
  <c r="S211" i="2" s="1"/>
  <c r="U211" i="2" s="1"/>
  <c r="Q279" i="2"/>
  <c r="J284" i="2" s="1"/>
  <c r="K284" i="2" s="1"/>
  <c r="P279" i="2"/>
  <c r="N270" i="2"/>
  <c r="W211" i="2" l="1"/>
  <c r="AG211" i="2"/>
  <c r="Z208" i="2"/>
  <c r="Z209" i="2"/>
  <c r="N291" i="2"/>
  <c r="P270" i="2"/>
  <c r="Q270" i="2" s="1"/>
  <c r="J275" i="2" s="1"/>
  <c r="K275" i="2" s="1"/>
  <c r="L284" i="2"/>
  <c r="AD284" i="2" s="1"/>
  <c r="M284" i="2"/>
  <c r="N277" i="2"/>
  <c r="Z207" i="2"/>
  <c r="Z205" i="2"/>
  <c r="N278" i="2"/>
  <c r="L275" i="2" l="1"/>
  <c r="AD275" i="2" s="1"/>
  <c r="N275" i="2"/>
  <c r="M275" i="2"/>
  <c r="P277" i="2"/>
  <c r="Q277" i="2" s="1"/>
  <c r="J282" i="2" s="1"/>
  <c r="K282" i="2" s="1"/>
  <c r="N284" i="2"/>
  <c r="P291" i="2"/>
  <c r="Q291" i="2" s="1"/>
  <c r="J296" i="2" s="1"/>
  <c r="K296" i="2" s="1"/>
  <c r="AA207" i="2"/>
  <c r="AB207" i="2" s="1"/>
  <c r="V212" i="2" s="1"/>
  <c r="S212" i="2" s="1"/>
  <c r="U212" i="2" s="1"/>
  <c r="AA208" i="2"/>
  <c r="AB208" i="2" s="1"/>
  <c r="V213" i="2" s="1"/>
  <c r="S213" i="2" s="1"/>
  <c r="U213" i="2" s="1"/>
  <c r="P278" i="2"/>
  <c r="Q278" i="2"/>
  <c r="J283" i="2" s="1"/>
  <c r="K283" i="2" s="1"/>
  <c r="AA209" i="2"/>
  <c r="AB209" i="2" s="1"/>
  <c r="V214" i="2" s="1"/>
  <c r="S214" i="2" s="1"/>
  <c r="U214" i="2" s="1"/>
  <c r="AA205" i="2"/>
  <c r="AB205" i="2" s="1"/>
  <c r="V210" i="2" s="1"/>
  <c r="S210" i="2" s="1"/>
  <c r="U210" i="2" s="1"/>
  <c r="Y211" i="2"/>
  <c r="X211" i="2"/>
  <c r="AE211" i="2" s="1"/>
  <c r="W210" i="2" l="1"/>
  <c r="AG210" i="2"/>
  <c r="W214" i="2"/>
  <c r="AG214" i="2"/>
  <c r="AG212" i="2"/>
  <c r="W212" i="2"/>
  <c r="AG213" i="2"/>
  <c r="W213" i="2"/>
  <c r="M296" i="2"/>
  <c r="L296" i="2"/>
  <c r="AD296" i="2" s="1"/>
  <c r="M282" i="2"/>
  <c r="L282" i="2"/>
  <c r="AD282" i="2" s="1"/>
  <c r="P284" i="2"/>
  <c r="Q284" i="2"/>
  <c r="J289" i="2" s="1"/>
  <c r="K289" i="2" s="1"/>
  <c r="Z211" i="2"/>
  <c r="M283" i="2"/>
  <c r="L283" i="2"/>
  <c r="AD283" i="2" s="1"/>
  <c r="P275" i="2"/>
  <c r="Q275" i="2" s="1"/>
  <c r="J280" i="2" s="1"/>
  <c r="K280" i="2" s="1"/>
  <c r="M280" i="2" l="1"/>
  <c r="L280" i="2"/>
  <c r="AD280" i="2" s="1"/>
  <c r="N283" i="2"/>
  <c r="AA211" i="2"/>
  <c r="AB211" i="2" s="1"/>
  <c r="V216" i="2" s="1"/>
  <c r="S216" i="2" s="1"/>
  <c r="U216" i="2" s="1"/>
  <c r="N296" i="2"/>
  <c r="Y213" i="2"/>
  <c r="X213" i="2"/>
  <c r="AE213" i="2" s="1"/>
  <c r="Y212" i="2"/>
  <c r="X212" i="2"/>
  <c r="AE212" i="2" s="1"/>
  <c r="M289" i="2"/>
  <c r="L289" i="2"/>
  <c r="AD289" i="2" s="1"/>
  <c r="Y214" i="2"/>
  <c r="X214" i="2"/>
  <c r="AE214" i="2" s="1"/>
  <c r="N282" i="2"/>
  <c r="Y210" i="2"/>
  <c r="X210" i="2"/>
  <c r="AE210" i="2" s="1"/>
  <c r="Z212" i="2" l="1"/>
  <c r="W216" i="2"/>
  <c r="AG216" i="2"/>
  <c r="P296" i="2"/>
  <c r="Q296" i="2"/>
  <c r="J301" i="2" s="1"/>
  <c r="K301" i="2" s="1"/>
  <c r="AA212" i="2"/>
  <c r="AB212" i="2" s="1"/>
  <c r="V217" i="2" s="1"/>
  <c r="S217" i="2" s="1"/>
  <c r="U217" i="2" s="1"/>
  <c r="P282" i="2"/>
  <c r="Q282" i="2" s="1"/>
  <c r="J287" i="2" s="1"/>
  <c r="K287" i="2" s="1"/>
  <c r="Z210" i="2"/>
  <c r="Z213" i="2"/>
  <c r="Z214" i="2"/>
  <c r="Q283" i="2"/>
  <c r="J288" i="2" s="1"/>
  <c r="K288" i="2" s="1"/>
  <c r="P283" i="2"/>
  <c r="N289" i="2"/>
  <c r="N280" i="2"/>
  <c r="L287" i="2" l="1"/>
  <c r="AD287" i="2" s="1"/>
  <c r="N287" i="2"/>
  <c r="M287" i="2"/>
  <c r="W217" i="2"/>
  <c r="AG217" i="2"/>
  <c r="AA210" i="2"/>
  <c r="AB210" i="2" s="1"/>
  <c r="V215" i="2" s="1"/>
  <c r="S215" i="2" s="1"/>
  <c r="U215" i="2" s="1"/>
  <c r="AA214" i="2"/>
  <c r="AB214" i="2" s="1"/>
  <c r="V219" i="2" s="1"/>
  <c r="S219" i="2" s="1"/>
  <c r="U219" i="2" s="1"/>
  <c r="AA213" i="2"/>
  <c r="AB213" i="2" s="1"/>
  <c r="V218" i="2" s="1"/>
  <c r="S218" i="2" s="1"/>
  <c r="U218" i="2" s="1"/>
  <c r="Q289" i="2"/>
  <c r="J294" i="2" s="1"/>
  <c r="K294" i="2" s="1"/>
  <c r="P289" i="2"/>
  <c r="M288" i="2"/>
  <c r="L288" i="2"/>
  <c r="AD288" i="2" s="1"/>
  <c r="N288" i="2"/>
  <c r="M301" i="2"/>
  <c r="L301" i="2"/>
  <c r="AD301" i="2" s="1"/>
  <c r="P280" i="2"/>
  <c r="Q280" i="2" s="1"/>
  <c r="J285" i="2" s="1"/>
  <c r="K285" i="2" s="1"/>
  <c r="Y216" i="2"/>
  <c r="X216" i="2"/>
  <c r="AE216" i="2" s="1"/>
  <c r="Z216" i="2"/>
  <c r="W218" i="2" l="1"/>
  <c r="AG218" i="2"/>
  <c r="W219" i="2"/>
  <c r="AG219" i="2"/>
  <c r="W215" i="2"/>
  <c r="AG215" i="2"/>
  <c r="M285" i="2"/>
  <c r="L285" i="2"/>
  <c r="AD285" i="2" s="1"/>
  <c r="AA216" i="2"/>
  <c r="AB216" i="2" s="1"/>
  <c r="V221" i="2" s="1"/>
  <c r="S221" i="2" s="1"/>
  <c r="U221" i="2" s="1"/>
  <c r="M294" i="2"/>
  <c r="L294" i="2"/>
  <c r="AD294" i="2" s="1"/>
  <c r="N294" i="2"/>
  <c r="N301" i="2"/>
  <c r="P288" i="2"/>
  <c r="Q288" i="2" s="1"/>
  <c r="J293" i="2" s="1"/>
  <c r="K293" i="2" s="1"/>
  <c r="Y217" i="2"/>
  <c r="X217" i="2"/>
  <c r="AE217" i="2" s="1"/>
  <c r="P287" i="2"/>
  <c r="Q287" i="2" s="1"/>
  <c r="J292" i="2" s="1"/>
  <c r="K292" i="2" s="1"/>
  <c r="W221" i="2" l="1"/>
  <c r="AG221" i="2"/>
  <c r="M292" i="2"/>
  <c r="L292" i="2"/>
  <c r="AD292" i="2" s="1"/>
  <c r="L293" i="2"/>
  <c r="AD293" i="2" s="1"/>
  <c r="M293" i="2"/>
  <c r="Z217" i="2"/>
  <c r="N285" i="2"/>
  <c r="X215" i="2"/>
  <c r="AE215" i="2" s="1"/>
  <c r="Y215" i="2"/>
  <c r="P301" i="2"/>
  <c r="Q301" i="2" s="1"/>
  <c r="J306" i="2" s="1"/>
  <c r="K306" i="2" s="1"/>
  <c r="Y219" i="2"/>
  <c r="X219" i="2"/>
  <c r="AE219" i="2" s="1"/>
  <c r="P294" i="2"/>
  <c r="Q294" i="2" s="1"/>
  <c r="J299" i="2" s="1"/>
  <c r="K299" i="2" s="1"/>
  <c r="Y218" i="2"/>
  <c r="X218" i="2"/>
  <c r="AE218" i="2" s="1"/>
  <c r="M306" i="2" l="1"/>
  <c r="L306" i="2"/>
  <c r="AD306" i="2" s="1"/>
  <c r="L299" i="2"/>
  <c r="AD299" i="2" s="1"/>
  <c r="M299" i="2"/>
  <c r="N299" i="2"/>
  <c r="Z215" i="2"/>
  <c r="AA217" i="2"/>
  <c r="AB217" i="2" s="1"/>
  <c r="V222" i="2" s="1"/>
  <c r="S222" i="2" s="1"/>
  <c r="U222" i="2" s="1"/>
  <c r="N293" i="2"/>
  <c r="Z219" i="2"/>
  <c r="Q285" i="2"/>
  <c r="J290" i="2" s="1"/>
  <c r="K290" i="2" s="1"/>
  <c r="P285" i="2"/>
  <c r="Z218" i="2"/>
  <c r="N292" i="2"/>
  <c r="X221" i="2"/>
  <c r="AE221" i="2" s="1"/>
  <c r="Z221" i="2"/>
  <c r="Y221" i="2"/>
  <c r="W222" i="2" l="1"/>
  <c r="AG222" i="2"/>
  <c r="AA219" i="2"/>
  <c r="AB219" i="2" s="1"/>
  <c r="V224" i="2" s="1"/>
  <c r="S224" i="2" s="1"/>
  <c r="U224" i="2" s="1"/>
  <c r="M290" i="2"/>
  <c r="L290" i="2"/>
  <c r="AD290" i="2" s="1"/>
  <c r="P293" i="2"/>
  <c r="Q293" i="2" s="1"/>
  <c r="J298" i="2" s="1"/>
  <c r="K298" i="2" s="1"/>
  <c r="AB215" i="2"/>
  <c r="V220" i="2" s="1"/>
  <c r="S220" i="2" s="1"/>
  <c r="U220" i="2" s="1"/>
  <c r="AA215" i="2"/>
  <c r="Q299" i="2"/>
  <c r="J304" i="2" s="1"/>
  <c r="K304" i="2" s="1"/>
  <c r="P299" i="2"/>
  <c r="AA221" i="2"/>
  <c r="AB221" i="2" s="1"/>
  <c r="V226" i="2" s="1"/>
  <c r="S226" i="2" s="1"/>
  <c r="U226" i="2" s="1"/>
  <c r="P292" i="2"/>
  <c r="Q292" i="2" s="1"/>
  <c r="J297" i="2" s="1"/>
  <c r="K297" i="2" s="1"/>
  <c r="AA218" i="2"/>
  <c r="AB218" i="2" s="1"/>
  <c r="V223" i="2" s="1"/>
  <c r="S223" i="2" s="1"/>
  <c r="U223" i="2" s="1"/>
  <c r="N306" i="2"/>
  <c r="M297" i="2" l="1"/>
  <c r="L297" i="2"/>
  <c r="AD297" i="2" s="1"/>
  <c r="AG224" i="2"/>
  <c r="W224" i="2"/>
  <c r="W226" i="2"/>
  <c r="AG226" i="2"/>
  <c r="M298" i="2"/>
  <c r="L298" i="2"/>
  <c r="AD298" i="2" s="1"/>
  <c r="N298" i="2"/>
  <c r="W223" i="2"/>
  <c r="AG223" i="2"/>
  <c r="M304" i="2"/>
  <c r="L304" i="2"/>
  <c r="AD304" i="2" s="1"/>
  <c r="P306" i="2"/>
  <c r="Q306" i="2" s="1"/>
  <c r="J311" i="2" s="1"/>
  <c r="K311" i="2" s="1"/>
  <c r="W220" i="2"/>
  <c r="AG220" i="2"/>
  <c r="N290" i="2"/>
  <c r="Y222" i="2"/>
  <c r="X222" i="2"/>
  <c r="AE222" i="2" s="1"/>
  <c r="Z222" i="2" l="1"/>
  <c r="M311" i="2"/>
  <c r="L311" i="2"/>
  <c r="AD311" i="2" s="1"/>
  <c r="N311" i="2"/>
  <c r="Y223" i="2"/>
  <c r="X223" i="2"/>
  <c r="AE223" i="2" s="1"/>
  <c r="P298" i="2"/>
  <c r="Q298" i="2" s="1"/>
  <c r="J303" i="2" s="1"/>
  <c r="K303" i="2" s="1"/>
  <c r="Y226" i="2"/>
  <c r="X226" i="2"/>
  <c r="AE226" i="2" s="1"/>
  <c r="AA222" i="2"/>
  <c r="AB222" i="2" s="1"/>
  <c r="V227" i="2" s="1"/>
  <c r="S227" i="2" s="1"/>
  <c r="U227" i="2" s="1"/>
  <c r="P290" i="2"/>
  <c r="Q290" i="2"/>
  <c r="J295" i="2" s="1"/>
  <c r="K295" i="2" s="1"/>
  <c r="Y220" i="2"/>
  <c r="X220" i="2"/>
  <c r="AE220" i="2" s="1"/>
  <c r="Y224" i="2"/>
  <c r="X224" i="2"/>
  <c r="AE224" i="2" s="1"/>
  <c r="N304" i="2"/>
  <c r="N297" i="2"/>
  <c r="M303" i="2" l="1"/>
  <c r="L303" i="2"/>
  <c r="AD303" i="2" s="1"/>
  <c r="P304" i="2"/>
  <c r="Q304" i="2" s="1"/>
  <c r="J309" i="2" s="1"/>
  <c r="K309" i="2" s="1"/>
  <c r="P297" i="2"/>
  <c r="Q297" i="2" s="1"/>
  <c r="J302" i="2" s="1"/>
  <c r="K302" i="2" s="1"/>
  <c r="Z220" i="2"/>
  <c r="Z223" i="2"/>
  <c r="W227" i="2"/>
  <c r="AG227" i="2"/>
  <c r="Z226" i="2"/>
  <c r="Z224" i="2"/>
  <c r="M295" i="2"/>
  <c r="L295" i="2"/>
  <c r="AD295" i="2" s="1"/>
  <c r="P311" i="2"/>
  <c r="Q311" i="2" s="1"/>
  <c r="J316" i="2" s="1"/>
  <c r="K316" i="2" s="1"/>
  <c r="M309" i="2" l="1"/>
  <c r="L309" i="2"/>
  <c r="AD309" i="2" s="1"/>
  <c r="N309" i="2"/>
  <c r="M302" i="2"/>
  <c r="L302" i="2"/>
  <c r="AD302" i="2" s="1"/>
  <c r="M316" i="2"/>
  <c r="L316" i="2"/>
  <c r="AD316" i="2" s="1"/>
  <c r="Y227" i="2"/>
  <c r="X227" i="2"/>
  <c r="AE227" i="2" s="1"/>
  <c r="AB220" i="2"/>
  <c r="V225" i="2" s="1"/>
  <c r="S225" i="2" s="1"/>
  <c r="U225" i="2" s="1"/>
  <c r="AA220" i="2"/>
  <c r="AA226" i="2"/>
  <c r="AB226" i="2" s="1"/>
  <c r="V231" i="2" s="1"/>
  <c r="S231" i="2" s="1"/>
  <c r="U231" i="2" s="1"/>
  <c r="AA223" i="2"/>
  <c r="AB223" i="2" s="1"/>
  <c r="V228" i="2" s="1"/>
  <c r="S228" i="2" s="1"/>
  <c r="U228" i="2" s="1"/>
  <c r="N295" i="2"/>
  <c r="AA224" i="2"/>
  <c r="AB224" i="2" s="1"/>
  <c r="V229" i="2" s="1"/>
  <c r="S229" i="2" s="1"/>
  <c r="U229" i="2" s="1"/>
  <c r="N303" i="2"/>
  <c r="AG231" i="2" l="1"/>
  <c r="W231" i="2"/>
  <c r="AG229" i="2"/>
  <c r="W229" i="2"/>
  <c r="AG228" i="2"/>
  <c r="W228" i="2"/>
  <c r="P303" i="2"/>
  <c r="Q303" i="2" s="1"/>
  <c r="J308" i="2" s="1"/>
  <c r="K308" i="2" s="1"/>
  <c r="N316" i="2"/>
  <c r="N302" i="2"/>
  <c r="P309" i="2"/>
  <c r="Q309" i="2" s="1"/>
  <c r="J314" i="2" s="1"/>
  <c r="K314" i="2" s="1"/>
  <c r="Z227" i="2"/>
  <c r="P295" i="2"/>
  <c r="Q295" i="2" s="1"/>
  <c r="J300" i="2" s="1"/>
  <c r="K300" i="2" s="1"/>
  <c r="W225" i="2"/>
  <c r="AG225" i="2"/>
  <c r="M300" i="2" l="1"/>
  <c r="L300" i="2"/>
  <c r="AD300" i="2" s="1"/>
  <c r="N300" i="2"/>
  <c r="M314" i="2"/>
  <c r="L314" i="2"/>
  <c r="AD314" i="2" s="1"/>
  <c r="M308" i="2"/>
  <c r="L308" i="2"/>
  <c r="AD308" i="2" s="1"/>
  <c r="P302" i="2"/>
  <c r="Q302" i="2" s="1"/>
  <c r="J307" i="2" s="1"/>
  <c r="K307" i="2" s="1"/>
  <c r="Z228" i="2"/>
  <c r="Y228" i="2"/>
  <c r="X228" i="2"/>
  <c r="AE228" i="2" s="1"/>
  <c r="Y229" i="2"/>
  <c r="X229" i="2"/>
  <c r="AE229" i="2" s="1"/>
  <c r="P316" i="2"/>
  <c r="Q316" i="2" s="1"/>
  <c r="J321" i="2" s="1"/>
  <c r="K321" i="2" s="1"/>
  <c r="Y225" i="2"/>
  <c r="X225" i="2"/>
  <c r="AE225" i="2" s="1"/>
  <c r="Z231" i="2"/>
  <c r="Y231" i="2"/>
  <c r="X231" i="2"/>
  <c r="AE231" i="2" s="1"/>
  <c r="AA227" i="2"/>
  <c r="AB227" i="2" s="1"/>
  <c r="V232" i="2" s="1"/>
  <c r="S232" i="2" s="1"/>
  <c r="U232" i="2" s="1"/>
  <c r="W232" i="2" l="1"/>
  <c r="AG232" i="2"/>
  <c r="L321" i="2"/>
  <c r="AD321" i="2" s="1"/>
  <c r="N321" i="2"/>
  <c r="M321" i="2"/>
  <c r="AA228" i="2"/>
  <c r="AB228" i="2" s="1"/>
  <c r="V233" i="2" s="1"/>
  <c r="S233" i="2" s="1"/>
  <c r="U233" i="2" s="1"/>
  <c r="AA231" i="2"/>
  <c r="AB231" i="2"/>
  <c r="V236" i="2" s="1"/>
  <c r="S236" i="2" s="1"/>
  <c r="U236" i="2" s="1"/>
  <c r="Z225" i="2"/>
  <c r="N308" i="2"/>
  <c r="Z229" i="2"/>
  <c r="M307" i="2"/>
  <c r="L307" i="2"/>
  <c r="AD307" i="2" s="1"/>
  <c r="N314" i="2"/>
  <c r="P300" i="2"/>
  <c r="Q300" i="2"/>
  <c r="J305" i="2" s="1"/>
  <c r="K305" i="2" s="1"/>
  <c r="W233" i="2" l="1"/>
  <c r="AG233" i="2"/>
  <c r="W236" i="2"/>
  <c r="AG236" i="2"/>
  <c r="P308" i="2"/>
  <c r="Q308" i="2" s="1"/>
  <c r="J313" i="2" s="1"/>
  <c r="K313" i="2" s="1"/>
  <c r="AA229" i="2"/>
  <c r="AB229" i="2" s="1"/>
  <c r="V234" i="2" s="1"/>
  <c r="S234" i="2" s="1"/>
  <c r="U234" i="2" s="1"/>
  <c r="AA225" i="2"/>
  <c r="AB225" i="2" s="1"/>
  <c r="V230" i="2" s="1"/>
  <c r="S230" i="2" s="1"/>
  <c r="U230" i="2" s="1"/>
  <c r="N305" i="2"/>
  <c r="M305" i="2"/>
  <c r="L305" i="2"/>
  <c r="AD305" i="2" s="1"/>
  <c r="P314" i="2"/>
  <c r="Q314" i="2" s="1"/>
  <c r="J319" i="2" s="1"/>
  <c r="K319" i="2" s="1"/>
  <c r="P321" i="2"/>
  <c r="Q321" i="2" s="1"/>
  <c r="J326" i="2" s="1"/>
  <c r="K326" i="2" s="1"/>
  <c r="N307" i="2"/>
  <c r="Y232" i="2"/>
  <c r="X232" i="2"/>
  <c r="AE232" i="2" s="1"/>
  <c r="Z232" i="2"/>
  <c r="M319" i="2" l="1"/>
  <c r="L319" i="2"/>
  <c r="AD319" i="2" s="1"/>
  <c r="W234" i="2"/>
  <c r="AG234" i="2"/>
  <c r="M326" i="2"/>
  <c r="L326" i="2"/>
  <c r="AD326" i="2" s="1"/>
  <c r="AG230" i="2"/>
  <c r="W230" i="2"/>
  <c r="L313" i="2"/>
  <c r="AD313" i="2" s="1"/>
  <c r="M313" i="2"/>
  <c r="P305" i="2"/>
  <c r="Q305" i="2" s="1"/>
  <c r="J310" i="2" s="1"/>
  <c r="K310" i="2" s="1"/>
  <c r="P307" i="2"/>
  <c r="Q307" i="2" s="1"/>
  <c r="J312" i="2" s="1"/>
  <c r="K312" i="2" s="1"/>
  <c r="AA232" i="2"/>
  <c r="AB232" i="2" s="1"/>
  <c r="V237" i="2" s="1"/>
  <c r="S237" i="2" s="1"/>
  <c r="U237" i="2" s="1"/>
  <c r="Y236" i="2"/>
  <c r="X236" i="2"/>
  <c r="AE236" i="2" s="1"/>
  <c r="X233" i="2"/>
  <c r="AE233" i="2" s="1"/>
  <c r="Z233" i="2"/>
  <c r="Y233" i="2"/>
  <c r="M312" i="2" l="1"/>
  <c r="L312" i="2"/>
  <c r="AD312" i="2" s="1"/>
  <c r="L310" i="2"/>
  <c r="AD310" i="2" s="1"/>
  <c r="N310" i="2"/>
  <c r="M310" i="2"/>
  <c r="AG237" i="2"/>
  <c r="W237" i="2"/>
  <c r="N313" i="2"/>
  <c r="Z236" i="2"/>
  <c r="AA233" i="2"/>
  <c r="AB233" i="2" s="1"/>
  <c r="V238" i="2" s="1"/>
  <c r="S238" i="2" s="1"/>
  <c r="U238" i="2" s="1"/>
  <c r="Y230" i="2"/>
  <c r="X230" i="2"/>
  <c r="AE230" i="2" s="1"/>
  <c r="N326" i="2"/>
  <c r="Y234" i="2"/>
  <c r="X234" i="2"/>
  <c r="AE234" i="2" s="1"/>
  <c r="Z234" i="2"/>
  <c r="N319" i="2"/>
  <c r="W238" i="2" l="1"/>
  <c r="AG238" i="2"/>
  <c r="P313" i="2"/>
  <c r="Q313" i="2"/>
  <c r="J318" i="2" s="1"/>
  <c r="K318" i="2" s="1"/>
  <c r="AA236" i="2"/>
  <c r="AB236" i="2"/>
  <c r="V241" i="2" s="1"/>
  <c r="S241" i="2" s="1"/>
  <c r="U241" i="2" s="1"/>
  <c r="Y237" i="2"/>
  <c r="X237" i="2"/>
  <c r="AE237" i="2" s="1"/>
  <c r="P310" i="2"/>
  <c r="Q310" i="2" s="1"/>
  <c r="J315" i="2" s="1"/>
  <c r="K315" i="2" s="1"/>
  <c r="Q319" i="2"/>
  <c r="J324" i="2" s="1"/>
  <c r="K324" i="2" s="1"/>
  <c r="P319" i="2"/>
  <c r="AA234" i="2"/>
  <c r="AB234" i="2" s="1"/>
  <c r="V239" i="2" s="1"/>
  <c r="S239" i="2" s="1"/>
  <c r="U239" i="2" s="1"/>
  <c r="P326" i="2"/>
  <c r="Q326" i="2" s="1"/>
  <c r="J331" i="2" s="1"/>
  <c r="K331" i="2" s="1"/>
  <c r="Z230" i="2"/>
  <c r="N312" i="2"/>
  <c r="AG239" i="2" l="1"/>
  <c r="W239" i="2"/>
  <c r="L315" i="2"/>
  <c r="AD315" i="2" s="1"/>
  <c r="M315" i="2"/>
  <c r="M331" i="2"/>
  <c r="L331" i="2"/>
  <c r="AD331" i="2" s="1"/>
  <c r="N331" i="2"/>
  <c r="AG241" i="2"/>
  <c r="W241" i="2"/>
  <c r="Z237" i="2"/>
  <c r="AA230" i="2"/>
  <c r="AB230" i="2" s="1"/>
  <c r="V235" i="2" s="1"/>
  <c r="S235" i="2" s="1"/>
  <c r="U235" i="2" s="1"/>
  <c r="M324" i="2"/>
  <c r="L324" i="2"/>
  <c r="AD324" i="2" s="1"/>
  <c r="P312" i="2"/>
  <c r="Q312" i="2" s="1"/>
  <c r="J317" i="2" s="1"/>
  <c r="K317" i="2" s="1"/>
  <c r="M318" i="2"/>
  <c r="L318" i="2"/>
  <c r="AD318" i="2" s="1"/>
  <c r="Y238" i="2"/>
  <c r="X238" i="2"/>
  <c r="AE238" i="2" s="1"/>
  <c r="W235" i="2" l="1"/>
  <c r="AG235" i="2"/>
  <c r="M317" i="2"/>
  <c r="L317" i="2"/>
  <c r="AD317" i="2" s="1"/>
  <c r="P331" i="2"/>
  <c r="Q331" i="2" s="1"/>
  <c r="J336" i="2" s="1"/>
  <c r="K336" i="2" s="1"/>
  <c r="Z238" i="2"/>
  <c r="AA237" i="2"/>
  <c r="AB237" i="2" s="1"/>
  <c r="V242" i="2" s="1"/>
  <c r="S242" i="2" s="1"/>
  <c r="U242" i="2" s="1"/>
  <c r="X241" i="2"/>
  <c r="AE241" i="2" s="1"/>
  <c r="Y241" i="2"/>
  <c r="N318" i="2"/>
  <c r="N315" i="2"/>
  <c r="N324" i="2"/>
  <c r="X239" i="2"/>
  <c r="AE239" i="2" s="1"/>
  <c r="Y239" i="2"/>
  <c r="AG242" i="2" l="1"/>
  <c r="W242" i="2"/>
  <c r="L336" i="2"/>
  <c r="AD336" i="2" s="1"/>
  <c r="M336" i="2"/>
  <c r="Z241" i="2"/>
  <c r="AA238" i="2"/>
  <c r="AB238" i="2" s="1"/>
  <c r="V243" i="2" s="1"/>
  <c r="S243" i="2" s="1"/>
  <c r="U243" i="2" s="1"/>
  <c r="Z239" i="2"/>
  <c r="P324" i="2"/>
  <c r="Q324" i="2" s="1"/>
  <c r="J329" i="2" s="1"/>
  <c r="K329" i="2" s="1"/>
  <c r="Q315" i="2"/>
  <c r="J320" i="2" s="1"/>
  <c r="K320" i="2" s="1"/>
  <c r="P315" i="2"/>
  <c r="N317" i="2"/>
  <c r="P318" i="2"/>
  <c r="Q318" i="2"/>
  <c r="J323" i="2" s="1"/>
  <c r="K323" i="2" s="1"/>
  <c r="Y235" i="2"/>
  <c r="X235" i="2"/>
  <c r="AE235" i="2" s="1"/>
  <c r="M329" i="2" l="1"/>
  <c r="L329" i="2"/>
  <c r="AD329" i="2" s="1"/>
  <c r="AG243" i="2"/>
  <c r="W243" i="2"/>
  <c r="AA239" i="2"/>
  <c r="AB239" i="2" s="1"/>
  <c r="V244" i="2" s="1"/>
  <c r="S244" i="2" s="1"/>
  <c r="U244" i="2" s="1"/>
  <c r="AA241" i="2"/>
  <c r="AB241" i="2" s="1"/>
  <c r="V246" i="2" s="1"/>
  <c r="S246" i="2" s="1"/>
  <c r="U246" i="2" s="1"/>
  <c r="Z235" i="2"/>
  <c r="N320" i="2"/>
  <c r="M320" i="2"/>
  <c r="L320" i="2"/>
  <c r="AD320" i="2" s="1"/>
  <c r="M323" i="2"/>
  <c r="L323" i="2"/>
  <c r="AD323" i="2" s="1"/>
  <c r="N323" i="2"/>
  <c r="N336" i="2"/>
  <c r="P317" i="2"/>
  <c r="Q317" i="2" s="1"/>
  <c r="J322" i="2" s="1"/>
  <c r="K322" i="2" s="1"/>
  <c r="Y242" i="2"/>
  <c r="X242" i="2"/>
  <c r="AE242" i="2" s="1"/>
  <c r="W244" i="2" l="1"/>
  <c r="AG244" i="2"/>
  <c r="W246" i="2"/>
  <c r="AG246" i="2"/>
  <c r="L322" i="2"/>
  <c r="AD322" i="2" s="1"/>
  <c r="M322" i="2"/>
  <c r="N322" i="2"/>
  <c r="P320" i="2"/>
  <c r="Q320" i="2" s="1"/>
  <c r="J325" i="2" s="1"/>
  <c r="K325" i="2" s="1"/>
  <c r="X243" i="2"/>
  <c r="AE243" i="2" s="1"/>
  <c r="Y243" i="2"/>
  <c r="AA235" i="2"/>
  <c r="AB235" i="2" s="1"/>
  <c r="V240" i="2" s="1"/>
  <c r="S240" i="2" s="1"/>
  <c r="U240" i="2" s="1"/>
  <c r="Z242" i="2"/>
  <c r="P336" i="2"/>
  <c r="Q336" i="2"/>
  <c r="J341" i="2" s="1"/>
  <c r="K341" i="2" s="1"/>
  <c r="P323" i="2"/>
  <c r="Q323" i="2" s="1"/>
  <c r="J328" i="2" s="1"/>
  <c r="K328" i="2" s="1"/>
  <c r="N329" i="2"/>
  <c r="AG240" i="2" l="1"/>
  <c r="W240" i="2"/>
  <c r="L325" i="2"/>
  <c r="AD325" i="2" s="1"/>
  <c r="M325" i="2"/>
  <c r="M328" i="2"/>
  <c r="L328" i="2"/>
  <c r="AD328" i="2" s="1"/>
  <c r="P329" i="2"/>
  <c r="Q329" i="2" s="1"/>
  <c r="J334" i="2" s="1"/>
  <c r="K334" i="2" s="1"/>
  <c r="M341" i="2"/>
  <c r="N341" i="2"/>
  <c r="L341" i="2"/>
  <c r="AD341" i="2" s="1"/>
  <c r="Z243" i="2"/>
  <c r="AA242" i="2"/>
  <c r="AB242" i="2" s="1"/>
  <c r="V247" i="2" s="1"/>
  <c r="S247" i="2" s="1"/>
  <c r="U247" i="2" s="1"/>
  <c r="Y246" i="2"/>
  <c r="X246" i="2"/>
  <c r="AE246" i="2" s="1"/>
  <c r="Z246" i="2"/>
  <c r="P322" i="2"/>
  <c r="Q322" i="2" s="1"/>
  <c r="J327" i="2" s="1"/>
  <c r="K327" i="2" s="1"/>
  <c r="Y244" i="2"/>
  <c r="X244" i="2"/>
  <c r="AE244" i="2" s="1"/>
  <c r="W247" i="2" l="1"/>
  <c r="AG247" i="2"/>
  <c r="M334" i="2"/>
  <c r="L334" i="2"/>
  <c r="AD334" i="2" s="1"/>
  <c r="N334" i="2"/>
  <c r="L327" i="2"/>
  <c r="AD327" i="2" s="1"/>
  <c r="M327" i="2"/>
  <c r="Z244" i="2"/>
  <c r="P341" i="2"/>
  <c r="Q341" i="2" s="1"/>
  <c r="J346" i="2" s="1"/>
  <c r="K346" i="2" s="1"/>
  <c r="AB246" i="2"/>
  <c r="V251" i="2" s="1"/>
  <c r="S251" i="2" s="1"/>
  <c r="U251" i="2" s="1"/>
  <c r="AA246" i="2"/>
  <c r="N328" i="2"/>
  <c r="N325" i="2"/>
  <c r="AA243" i="2"/>
  <c r="AB243" i="2" s="1"/>
  <c r="V248" i="2" s="1"/>
  <c r="S248" i="2" s="1"/>
  <c r="U248" i="2" s="1"/>
  <c r="Y240" i="2"/>
  <c r="X240" i="2"/>
  <c r="AE240" i="2" s="1"/>
  <c r="M346" i="2" l="1"/>
  <c r="L346" i="2"/>
  <c r="AD346" i="2" s="1"/>
  <c r="N346" i="2"/>
  <c r="W248" i="2"/>
  <c r="AG248" i="2"/>
  <c r="Z240" i="2"/>
  <c r="N327" i="2"/>
  <c r="W251" i="2"/>
  <c r="AG251" i="2"/>
  <c r="AA244" i="2"/>
  <c r="AB244" i="2" s="1"/>
  <c r="V249" i="2" s="1"/>
  <c r="S249" i="2" s="1"/>
  <c r="U249" i="2" s="1"/>
  <c r="Q334" i="2"/>
  <c r="J339" i="2" s="1"/>
  <c r="K339" i="2" s="1"/>
  <c r="P334" i="2"/>
  <c r="P325" i="2"/>
  <c r="Q325" i="2"/>
  <c r="J330" i="2" s="1"/>
  <c r="K330" i="2" s="1"/>
  <c r="P328" i="2"/>
  <c r="Q328" i="2" s="1"/>
  <c r="J333" i="2" s="1"/>
  <c r="K333" i="2" s="1"/>
  <c r="Y247" i="2"/>
  <c r="X247" i="2"/>
  <c r="AE247" i="2" s="1"/>
  <c r="AG249" i="2" l="1"/>
  <c r="W249" i="2"/>
  <c r="L333" i="2"/>
  <c r="AD333" i="2" s="1"/>
  <c r="N333" i="2"/>
  <c r="M333" i="2"/>
  <c r="M339" i="2"/>
  <c r="L339" i="2"/>
  <c r="AD339" i="2" s="1"/>
  <c r="Y248" i="2"/>
  <c r="X248" i="2"/>
  <c r="AE248" i="2" s="1"/>
  <c r="X251" i="2"/>
  <c r="AE251" i="2" s="1"/>
  <c r="Y251" i="2"/>
  <c r="P327" i="2"/>
  <c r="Q327" i="2" s="1"/>
  <c r="J332" i="2" s="1"/>
  <c r="K332" i="2" s="1"/>
  <c r="Z247" i="2"/>
  <c r="AA240" i="2"/>
  <c r="AB240" i="2" s="1"/>
  <c r="V245" i="2" s="1"/>
  <c r="S245" i="2" s="1"/>
  <c r="U245" i="2" s="1"/>
  <c r="L330" i="2"/>
  <c r="AD330" i="2" s="1"/>
  <c r="M330" i="2"/>
  <c r="N330" i="2"/>
  <c r="P346" i="2"/>
  <c r="Q346" i="2" s="1"/>
  <c r="J351" i="2" s="1"/>
  <c r="K351" i="2" s="1"/>
  <c r="M332" i="2" l="1"/>
  <c r="L332" i="2"/>
  <c r="AD332" i="2" s="1"/>
  <c r="M351" i="2"/>
  <c r="L351" i="2"/>
  <c r="AD351" i="2" s="1"/>
  <c r="W245" i="2"/>
  <c r="AG245" i="2"/>
  <c r="P330" i="2"/>
  <c r="Q330" i="2"/>
  <c r="J335" i="2" s="1"/>
  <c r="K335" i="2" s="1"/>
  <c r="Z248" i="2"/>
  <c r="AA247" i="2"/>
  <c r="AB247" i="2" s="1"/>
  <c r="V252" i="2" s="1"/>
  <c r="S252" i="2" s="1"/>
  <c r="U252" i="2" s="1"/>
  <c r="P333" i="2"/>
  <c r="Q333" i="2"/>
  <c r="J338" i="2" s="1"/>
  <c r="K338" i="2" s="1"/>
  <c r="N339" i="2"/>
  <c r="Z251" i="2"/>
  <c r="Y249" i="2"/>
  <c r="X249" i="2"/>
  <c r="AE249" i="2" s="1"/>
  <c r="P339" i="2" l="1"/>
  <c r="Q339" i="2"/>
  <c r="J344" i="2" s="1"/>
  <c r="K344" i="2" s="1"/>
  <c r="M335" i="2"/>
  <c r="L335" i="2"/>
  <c r="AD335" i="2" s="1"/>
  <c r="W252" i="2"/>
  <c r="AG252" i="2"/>
  <c r="AA248" i="2"/>
  <c r="AB248" i="2"/>
  <c r="V253" i="2" s="1"/>
  <c r="S253" i="2" s="1"/>
  <c r="U253" i="2" s="1"/>
  <c r="X245" i="2"/>
  <c r="AE245" i="2" s="1"/>
  <c r="Y245" i="2"/>
  <c r="Z249" i="2"/>
  <c r="AA251" i="2"/>
  <c r="AB251" i="2" s="1"/>
  <c r="V256" i="2" s="1"/>
  <c r="S256" i="2" s="1"/>
  <c r="U256" i="2" s="1"/>
  <c r="N351" i="2"/>
  <c r="M338" i="2"/>
  <c r="L338" i="2"/>
  <c r="AD338" i="2" s="1"/>
  <c r="N332" i="2"/>
  <c r="AG256" i="2" l="1"/>
  <c r="W256" i="2"/>
  <c r="P332" i="2"/>
  <c r="Q332" i="2" s="1"/>
  <c r="J337" i="2" s="1"/>
  <c r="K337" i="2" s="1"/>
  <c r="W253" i="2"/>
  <c r="AG253" i="2"/>
  <c r="Z245" i="2"/>
  <c r="Y252" i="2"/>
  <c r="X252" i="2"/>
  <c r="AE252" i="2" s="1"/>
  <c r="Z252" i="2"/>
  <c r="N338" i="2"/>
  <c r="Q351" i="2"/>
  <c r="J356" i="2" s="1"/>
  <c r="K356" i="2" s="1"/>
  <c r="P351" i="2"/>
  <c r="N335" i="2"/>
  <c r="M344" i="2"/>
  <c r="L344" i="2"/>
  <c r="AD344" i="2" s="1"/>
  <c r="AA249" i="2"/>
  <c r="AB249" i="2" s="1"/>
  <c r="V254" i="2" s="1"/>
  <c r="S254" i="2" s="1"/>
  <c r="U254" i="2" s="1"/>
  <c r="AG254" i="2" l="1"/>
  <c r="W254" i="2"/>
  <c r="P338" i="2"/>
  <c r="Q338" i="2" s="1"/>
  <c r="J343" i="2" s="1"/>
  <c r="K343" i="2" s="1"/>
  <c r="N344" i="2"/>
  <c r="X256" i="2"/>
  <c r="AE256" i="2" s="1"/>
  <c r="Y256" i="2"/>
  <c r="M356" i="2"/>
  <c r="L356" i="2"/>
  <c r="AD356" i="2" s="1"/>
  <c r="N356" i="2"/>
  <c r="AA252" i="2"/>
  <c r="AB252" i="2" s="1"/>
  <c r="V257" i="2" s="1"/>
  <c r="S257" i="2" s="1"/>
  <c r="U257" i="2" s="1"/>
  <c r="AA245" i="2"/>
  <c r="AB245" i="2" s="1"/>
  <c r="V250" i="2" s="1"/>
  <c r="S250" i="2" s="1"/>
  <c r="U250" i="2" s="1"/>
  <c r="Y253" i="2"/>
  <c r="X253" i="2"/>
  <c r="AE253" i="2" s="1"/>
  <c r="M337" i="2"/>
  <c r="L337" i="2"/>
  <c r="AD337" i="2" s="1"/>
  <c r="P335" i="2"/>
  <c r="Q335" i="2" s="1"/>
  <c r="J340" i="2" s="1"/>
  <c r="K340" i="2" s="1"/>
  <c r="N337" i="2" l="1"/>
  <c r="M343" i="2"/>
  <c r="L343" i="2"/>
  <c r="AD343" i="2" s="1"/>
  <c r="W250" i="2"/>
  <c r="AG250" i="2"/>
  <c r="M340" i="2"/>
  <c r="L340" i="2"/>
  <c r="AD340" i="2" s="1"/>
  <c r="W257" i="2"/>
  <c r="AG257" i="2"/>
  <c r="Z256" i="2"/>
  <c r="P344" i="2"/>
  <c r="Q344" i="2" s="1"/>
  <c r="J349" i="2" s="1"/>
  <c r="K349" i="2" s="1"/>
  <c r="Y254" i="2"/>
  <c r="X254" i="2"/>
  <c r="AE254" i="2" s="1"/>
  <c r="P356" i="2"/>
  <c r="Q356" i="2" s="1"/>
  <c r="J361" i="2" s="1"/>
  <c r="K361" i="2" s="1"/>
  <c r="P337" i="2"/>
  <c r="Q337" i="2" s="1"/>
  <c r="J342" i="2" s="1"/>
  <c r="K342" i="2" s="1"/>
  <c r="Z253" i="2"/>
  <c r="M349" i="2" l="1"/>
  <c r="L349" i="2"/>
  <c r="AD349" i="2" s="1"/>
  <c r="M342" i="2"/>
  <c r="L342" i="2"/>
  <c r="AD342" i="2" s="1"/>
  <c r="L361" i="2"/>
  <c r="AD361" i="2" s="1"/>
  <c r="M361" i="2"/>
  <c r="AA256" i="2"/>
  <c r="AB256" i="2" s="1"/>
  <c r="V261" i="2" s="1"/>
  <c r="S261" i="2" s="1"/>
  <c r="U261" i="2" s="1"/>
  <c r="Y257" i="2"/>
  <c r="X257" i="2"/>
  <c r="AE257" i="2" s="1"/>
  <c r="AA253" i="2"/>
  <c r="AB253" i="2" s="1"/>
  <c r="V258" i="2" s="1"/>
  <c r="S258" i="2" s="1"/>
  <c r="U258" i="2" s="1"/>
  <c r="N340" i="2"/>
  <c r="X250" i="2"/>
  <c r="AE250" i="2" s="1"/>
  <c r="Y250" i="2"/>
  <c r="Z254" i="2"/>
  <c r="N343" i="2"/>
  <c r="Z257" i="2" l="1"/>
  <c r="AG258" i="2"/>
  <c r="W258" i="2"/>
  <c r="AG261" i="2"/>
  <c r="W261" i="2"/>
  <c r="P343" i="2"/>
  <c r="Q343" i="2" s="1"/>
  <c r="J348" i="2" s="1"/>
  <c r="K348" i="2" s="1"/>
  <c r="P340" i="2"/>
  <c r="Q340" i="2" s="1"/>
  <c r="J345" i="2" s="1"/>
  <c r="K345" i="2" s="1"/>
  <c r="AA254" i="2"/>
  <c r="AB254" i="2"/>
  <c r="V259" i="2" s="1"/>
  <c r="S259" i="2" s="1"/>
  <c r="U259" i="2" s="1"/>
  <c r="N361" i="2"/>
  <c r="AA257" i="2"/>
  <c r="AB257" i="2" s="1"/>
  <c r="V262" i="2" s="1"/>
  <c r="S262" i="2" s="1"/>
  <c r="U262" i="2" s="1"/>
  <c r="Z250" i="2"/>
  <c r="N342" i="2"/>
  <c r="N349" i="2"/>
  <c r="L345" i="2" l="1"/>
  <c r="AD345" i="2" s="1"/>
  <c r="N345" i="2"/>
  <c r="M345" i="2"/>
  <c r="M348" i="2"/>
  <c r="L348" i="2"/>
  <c r="AD348" i="2" s="1"/>
  <c r="W259" i="2"/>
  <c r="AG259" i="2"/>
  <c r="W262" i="2"/>
  <c r="AG262" i="2"/>
  <c r="P361" i="2"/>
  <c r="Q361" i="2" s="1"/>
  <c r="J366" i="2" s="1"/>
  <c r="K366" i="2" s="1"/>
  <c r="P349" i="2"/>
  <c r="Q349" i="2" s="1"/>
  <c r="J354" i="2" s="1"/>
  <c r="K354" i="2" s="1"/>
  <c r="Y261" i="2"/>
  <c r="X261" i="2"/>
  <c r="AE261" i="2" s="1"/>
  <c r="P342" i="2"/>
  <c r="Q342" i="2" s="1"/>
  <c r="J347" i="2" s="1"/>
  <c r="K347" i="2" s="1"/>
  <c r="AA250" i="2"/>
  <c r="AB250" i="2" s="1"/>
  <c r="V255" i="2" s="1"/>
  <c r="S255" i="2" s="1"/>
  <c r="U255" i="2" s="1"/>
  <c r="X258" i="2"/>
  <c r="AE258" i="2" s="1"/>
  <c r="Y258" i="2"/>
  <c r="M366" i="2" l="1"/>
  <c r="L366" i="2"/>
  <c r="AD366" i="2" s="1"/>
  <c r="M354" i="2"/>
  <c r="L354" i="2"/>
  <c r="AD354" i="2" s="1"/>
  <c r="W255" i="2"/>
  <c r="AG255" i="2"/>
  <c r="M347" i="2"/>
  <c r="L347" i="2"/>
  <c r="AD347" i="2" s="1"/>
  <c r="Z258" i="2"/>
  <c r="Y262" i="2"/>
  <c r="X262" i="2"/>
  <c r="AE262" i="2" s="1"/>
  <c r="Y259" i="2"/>
  <c r="X259" i="2"/>
  <c r="AE259" i="2" s="1"/>
  <c r="N348" i="2"/>
  <c r="Z261" i="2"/>
  <c r="P345" i="2"/>
  <c r="Q345" i="2" s="1"/>
  <c r="J350" i="2" s="1"/>
  <c r="K350" i="2" s="1"/>
  <c r="M350" i="2" l="1"/>
  <c r="L350" i="2"/>
  <c r="AD350" i="2" s="1"/>
  <c r="AA258" i="2"/>
  <c r="AB258" i="2" s="1"/>
  <c r="V263" i="2" s="1"/>
  <c r="S263" i="2" s="1"/>
  <c r="U263" i="2" s="1"/>
  <c r="AA261" i="2"/>
  <c r="AB261" i="2" s="1"/>
  <c r="V266" i="2" s="1"/>
  <c r="S266" i="2" s="1"/>
  <c r="U266" i="2" s="1"/>
  <c r="Z259" i="2"/>
  <c r="P348" i="2"/>
  <c r="Q348" i="2" s="1"/>
  <c r="J353" i="2" s="1"/>
  <c r="K353" i="2" s="1"/>
  <c r="N347" i="2"/>
  <c r="Z255" i="2"/>
  <c r="Y255" i="2"/>
  <c r="X255" i="2"/>
  <c r="AE255" i="2" s="1"/>
  <c r="N354" i="2"/>
  <c r="Z262" i="2"/>
  <c r="N366" i="2"/>
  <c r="W266" i="2" l="1"/>
  <c r="AG266" i="2"/>
  <c r="L353" i="2"/>
  <c r="AD353" i="2" s="1"/>
  <c r="N353" i="2"/>
  <c r="M353" i="2"/>
  <c r="W263" i="2"/>
  <c r="AG263" i="2"/>
  <c r="AA259" i="2"/>
  <c r="AB259" i="2" s="1"/>
  <c r="V264" i="2" s="1"/>
  <c r="S264" i="2" s="1"/>
  <c r="U264" i="2" s="1"/>
  <c r="P347" i="2"/>
  <c r="Q347" i="2" s="1"/>
  <c r="J352" i="2" s="1"/>
  <c r="K352" i="2" s="1"/>
  <c r="AB255" i="2"/>
  <c r="V260" i="2" s="1"/>
  <c r="S260" i="2" s="1"/>
  <c r="U260" i="2" s="1"/>
  <c r="AA255" i="2"/>
  <c r="P366" i="2"/>
  <c r="Q366" i="2" s="1"/>
  <c r="J371" i="2" s="1"/>
  <c r="K371" i="2" s="1"/>
  <c r="AA262" i="2"/>
  <c r="AB262" i="2" s="1"/>
  <c r="V267" i="2" s="1"/>
  <c r="S267" i="2" s="1"/>
  <c r="U267" i="2" s="1"/>
  <c r="P354" i="2"/>
  <c r="Q354" i="2" s="1"/>
  <c r="J359" i="2" s="1"/>
  <c r="K359" i="2" s="1"/>
  <c r="N350" i="2"/>
  <c r="M352" i="2" l="1"/>
  <c r="L352" i="2"/>
  <c r="AD352" i="2" s="1"/>
  <c r="N352" i="2"/>
  <c r="M371" i="2"/>
  <c r="L371" i="2"/>
  <c r="AD371" i="2" s="1"/>
  <c r="L359" i="2"/>
  <c r="AD359" i="2" s="1"/>
  <c r="N359" i="2"/>
  <c r="M359" i="2"/>
  <c r="W264" i="2"/>
  <c r="AG264" i="2"/>
  <c r="W267" i="2"/>
  <c r="AG267" i="2"/>
  <c r="AG260" i="2"/>
  <c r="W260" i="2"/>
  <c r="P350" i="2"/>
  <c r="Q350" i="2" s="1"/>
  <c r="J355" i="2" s="1"/>
  <c r="K355" i="2" s="1"/>
  <c r="X263" i="2"/>
  <c r="AE263" i="2" s="1"/>
  <c r="Y263" i="2"/>
  <c r="P353" i="2"/>
  <c r="Q353" i="2" s="1"/>
  <c r="J358" i="2" s="1"/>
  <c r="K358" i="2" s="1"/>
  <c r="Z266" i="2"/>
  <c r="Y266" i="2"/>
  <c r="X266" i="2"/>
  <c r="AE266" i="2" s="1"/>
  <c r="M358" i="2" l="1"/>
  <c r="L358" i="2"/>
  <c r="AD358" i="2" s="1"/>
  <c r="L355" i="2"/>
  <c r="AD355" i="2" s="1"/>
  <c r="M355" i="2"/>
  <c r="AA266" i="2"/>
  <c r="AB266" i="2"/>
  <c r="V271" i="2" s="1"/>
  <c r="S271" i="2" s="1"/>
  <c r="U271" i="2" s="1"/>
  <c r="Y264" i="2"/>
  <c r="X264" i="2"/>
  <c r="AE264" i="2" s="1"/>
  <c r="Z264" i="2"/>
  <c r="Y267" i="2"/>
  <c r="X267" i="2"/>
  <c r="AE267" i="2" s="1"/>
  <c r="P359" i="2"/>
  <c r="Q359" i="2" s="1"/>
  <c r="J364" i="2" s="1"/>
  <c r="K364" i="2" s="1"/>
  <c r="Z263" i="2"/>
  <c r="N371" i="2"/>
  <c r="Y260" i="2"/>
  <c r="X260" i="2"/>
  <c r="AE260" i="2" s="1"/>
  <c r="P352" i="2"/>
  <c r="Q352" i="2" s="1"/>
  <c r="J357" i="2" s="1"/>
  <c r="K357" i="2" s="1"/>
  <c r="Z267" i="2" l="1"/>
  <c r="AA267" i="2" s="1"/>
  <c r="AB267" i="2" s="1"/>
  <c r="V272" i="2" s="1"/>
  <c r="S272" i="2" s="1"/>
  <c r="U272" i="2" s="1"/>
  <c r="L357" i="2"/>
  <c r="AD357" i="2" s="1"/>
  <c r="N357" i="2"/>
  <c r="M357" i="2"/>
  <c r="L364" i="2"/>
  <c r="AD364" i="2" s="1"/>
  <c r="M364" i="2"/>
  <c r="AG271" i="2"/>
  <c r="W271" i="2"/>
  <c r="P371" i="2"/>
  <c r="Q371" i="2" s="1"/>
  <c r="J376" i="2" s="1"/>
  <c r="K376" i="2" s="1"/>
  <c r="AA264" i="2"/>
  <c r="AB264" i="2"/>
  <c r="V269" i="2" s="1"/>
  <c r="S269" i="2" s="1"/>
  <c r="U269" i="2" s="1"/>
  <c r="Z260" i="2"/>
  <c r="AA263" i="2"/>
  <c r="AB263" i="2" s="1"/>
  <c r="V268" i="2" s="1"/>
  <c r="S268" i="2" s="1"/>
  <c r="U268" i="2" s="1"/>
  <c r="N355" i="2"/>
  <c r="N358" i="2"/>
  <c r="M376" i="2" l="1"/>
  <c r="L376" i="2"/>
  <c r="AD376" i="2" s="1"/>
  <c r="N376" i="2"/>
  <c r="AG272" i="2"/>
  <c r="W272" i="2"/>
  <c r="AG268" i="2"/>
  <c r="W268" i="2"/>
  <c r="X271" i="2"/>
  <c r="AE271" i="2" s="1"/>
  <c r="Y271" i="2"/>
  <c r="P358" i="2"/>
  <c r="Q358" i="2" s="1"/>
  <c r="J363" i="2" s="1"/>
  <c r="K363" i="2" s="1"/>
  <c r="N364" i="2"/>
  <c r="AA260" i="2"/>
  <c r="AB260" i="2" s="1"/>
  <c r="V265" i="2" s="1"/>
  <c r="S265" i="2" s="1"/>
  <c r="U265" i="2" s="1"/>
  <c r="P357" i="2"/>
  <c r="Q357" i="2" s="1"/>
  <c r="J362" i="2" s="1"/>
  <c r="K362" i="2" s="1"/>
  <c r="P355" i="2"/>
  <c r="Q355" i="2" s="1"/>
  <c r="J360" i="2" s="1"/>
  <c r="K360" i="2" s="1"/>
  <c r="W269" i="2"/>
  <c r="AG269" i="2"/>
  <c r="M363" i="2" l="1"/>
  <c r="L363" i="2"/>
  <c r="AD363" i="2" s="1"/>
  <c r="W265" i="2"/>
  <c r="AG265" i="2"/>
  <c r="M360" i="2"/>
  <c r="L360" i="2"/>
  <c r="AD360" i="2" s="1"/>
  <c r="M362" i="2"/>
  <c r="L362" i="2"/>
  <c r="AD362" i="2" s="1"/>
  <c r="Z269" i="2"/>
  <c r="Y269" i="2"/>
  <c r="X269" i="2"/>
  <c r="AE269" i="2" s="1"/>
  <c r="Z271" i="2"/>
  <c r="Y268" i="2"/>
  <c r="X268" i="2"/>
  <c r="AE268" i="2" s="1"/>
  <c r="Y272" i="2"/>
  <c r="X272" i="2"/>
  <c r="AE272" i="2" s="1"/>
  <c r="P376" i="2"/>
  <c r="Q376" i="2" s="1"/>
  <c r="J381" i="2" s="1"/>
  <c r="K381" i="2" s="1"/>
  <c r="P364" i="2"/>
  <c r="Q364" i="2" s="1"/>
  <c r="J369" i="2" s="1"/>
  <c r="K369" i="2" s="1"/>
  <c r="N362" i="2" l="1"/>
  <c r="P362" i="2" s="1"/>
  <c r="Q362" i="2" s="1"/>
  <c r="J367" i="2" s="1"/>
  <c r="K367" i="2" s="1"/>
  <c r="L369" i="2"/>
  <c r="AD369" i="2" s="1"/>
  <c r="M369" i="2"/>
  <c r="M381" i="2"/>
  <c r="L381" i="2"/>
  <c r="AD381" i="2" s="1"/>
  <c r="N381" i="2"/>
  <c r="Z272" i="2"/>
  <c r="AA269" i="2"/>
  <c r="AB269" i="2" s="1"/>
  <c r="V274" i="2" s="1"/>
  <c r="S274" i="2" s="1"/>
  <c r="U274" i="2" s="1"/>
  <c r="Z268" i="2"/>
  <c r="AA271" i="2"/>
  <c r="AB271" i="2" s="1"/>
  <c r="V276" i="2" s="1"/>
  <c r="S276" i="2" s="1"/>
  <c r="U276" i="2" s="1"/>
  <c r="N360" i="2"/>
  <c r="Y265" i="2"/>
  <c r="X265" i="2"/>
  <c r="AE265" i="2" s="1"/>
  <c r="N363" i="2"/>
  <c r="W276" i="2" l="1"/>
  <c r="AG276" i="2"/>
  <c r="L367" i="2"/>
  <c r="AD367" i="2" s="1"/>
  <c r="M367" i="2"/>
  <c r="W274" i="2"/>
  <c r="AG274" i="2"/>
  <c r="AA268" i="2"/>
  <c r="AB268" i="2" s="1"/>
  <c r="V273" i="2" s="1"/>
  <c r="S273" i="2" s="1"/>
  <c r="U273" i="2" s="1"/>
  <c r="P363" i="2"/>
  <c r="Q363" i="2" s="1"/>
  <c r="J368" i="2" s="1"/>
  <c r="K368" i="2" s="1"/>
  <c r="AA272" i="2"/>
  <c r="AB272" i="2" s="1"/>
  <c r="V277" i="2" s="1"/>
  <c r="S277" i="2" s="1"/>
  <c r="U277" i="2" s="1"/>
  <c r="P381" i="2"/>
  <c r="Q381" i="2"/>
  <c r="J386" i="2" s="1"/>
  <c r="K386" i="2" s="1"/>
  <c r="Z265" i="2"/>
  <c r="P360" i="2"/>
  <c r="Q360" i="2" s="1"/>
  <c r="J365" i="2" s="1"/>
  <c r="K365" i="2" s="1"/>
  <c r="N369" i="2"/>
  <c r="AG273" i="2" l="1"/>
  <c r="W273" i="2"/>
  <c r="M368" i="2"/>
  <c r="L368" i="2"/>
  <c r="AD368" i="2" s="1"/>
  <c r="M365" i="2"/>
  <c r="L365" i="2"/>
  <c r="AD365" i="2" s="1"/>
  <c r="N365" i="2"/>
  <c r="M386" i="2"/>
  <c r="L386" i="2"/>
  <c r="AD386" i="2" s="1"/>
  <c r="W277" i="2"/>
  <c r="AG277" i="2"/>
  <c r="P369" i="2"/>
  <c r="Q369" i="2" s="1"/>
  <c r="J374" i="2" s="1"/>
  <c r="K374" i="2" s="1"/>
  <c r="Y274" i="2"/>
  <c r="X274" i="2"/>
  <c r="AE274" i="2" s="1"/>
  <c r="AA265" i="2"/>
  <c r="AB265" i="2" s="1"/>
  <c r="V270" i="2" s="1"/>
  <c r="S270" i="2" s="1"/>
  <c r="U270" i="2" s="1"/>
  <c r="N367" i="2"/>
  <c r="Y276" i="2"/>
  <c r="X276" i="2"/>
  <c r="AE276" i="2" s="1"/>
  <c r="M374" i="2" l="1"/>
  <c r="L374" i="2"/>
  <c r="AD374" i="2" s="1"/>
  <c r="W270" i="2"/>
  <c r="AG270" i="2"/>
  <c r="N386" i="2"/>
  <c r="P365" i="2"/>
  <c r="Q365" i="2" s="1"/>
  <c r="J370" i="2" s="1"/>
  <c r="K370" i="2" s="1"/>
  <c r="N368" i="2"/>
  <c r="X277" i="2"/>
  <c r="AE277" i="2" s="1"/>
  <c r="Y277" i="2"/>
  <c r="Z276" i="2"/>
  <c r="P367" i="2"/>
  <c r="Q367" i="2"/>
  <c r="J372" i="2" s="1"/>
  <c r="K372" i="2" s="1"/>
  <c r="Z274" i="2"/>
  <c r="Y273" i="2"/>
  <c r="X273" i="2"/>
  <c r="AE273" i="2" s="1"/>
  <c r="Z273" i="2"/>
  <c r="M370" i="2" l="1"/>
  <c r="L370" i="2"/>
  <c r="AD370" i="2" s="1"/>
  <c r="Z277" i="2"/>
  <c r="X270" i="2"/>
  <c r="AE270" i="2" s="1"/>
  <c r="Y270" i="2"/>
  <c r="P368" i="2"/>
  <c r="Q368" i="2" s="1"/>
  <c r="J373" i="2" s="1"/>
  <c r="K373" i="2" s="1"/>
  <c r="AA274" i="2"/>
  <c r="AB274" i="2" s="1"/>
  <c r="V279" i="2" s="1"/>
  <c r="S279" i="2" s="1"/>
  <c r="U279" i="2" s="1"/>
  <c r="AB273" i="2"/>
  <c r="V278" i="2" s="1"/>
  <c r="S278" i="2" s="1"/>
  <c r="U278" i="2" s="1"/>
  <c r="AA273" i="2"/>
  <c r="P386" i="2"/>
  <c r="Q386" i="2"/>
  <c r="J391" i="2" s="1"/>
  <c r="K391" i="2" s="1"/>
  <c r="M372" i="2"/>
  <c r="L372" i="2"/>
  <c r="AD372" i="2" s="1"/>
  <c r="N372" i="2"/>
  <c r="N374" i="2"/>
  <c r="AA276" i="2"/>
  <c r="AB276" i="2" s="1"/>
  <c r="V281" i="2" s="1"/>
  <c r="S281" i="2" s="1"/>
  <c r="U281" i="2" s="1"/>
  <c r="W279" i="2" l="1"/>
  <c r="AG279" i="2"/>
  <c r="L373" i="2"/>
  <c r="AD373" i="2" s="1"/>
  <c r="N373" i="2"/>
  <c r="M373" i="2"/>
  <c r="AG281" i="2"/>
  <c r="W281" i="2"/>
  <c r="W278" i="2"/>
  <c r="AG278" i="2"/>
  <c r="P372" i="2"/>
  <c r="Q372" i="2" s="1"/>
  <c r="J377" i="2" s="1"/>
  <c r="K377" i="2" s="1"/>
  <c r="M391" i="2"/>
  <c r="L391" i="2"/>
  <c r="AD391" i="2" s="1"/>
  <c r="N391" i="2"/>
  <c r="P374" i="2"/>
  <c r="Q374" i="2"/>
  <c r="J379" i="2" s="1"/>
  <c r="K379" i="2" s="1"/>
  <c r="Z270" i="2"/>
  <c r="AA277" i="2"/>
  <c r="AB277" i="2" s="1"/>
  <c r="V282" i="2" s="1"/>
  <c r="S282" i="2" s="1"/>
  <c r="U282" i="2" s="1"/>
  <c r="N370" i="2"/>
  <c r="M377" i="2" l="1"/>
  <c r="L377" i="2"/>
  <c r="AD377" i="2" s="1"/>
  <c r="AG282" i="2"/>
  <c r="W282" i="2"/>
  <c r="Y278" i="2"/>
  <c r="X278" i="2"/>
  <c r="AE278" i="2" s="1"/>
  <c r="AA270" i="2"/>
  <c r="AB270" i="2" s="1"/>
  <c r="V275" i="2" s="1"/>
  <c r="S275" i="2" s="1"/>
  <c r="U275" i="2" s="1"/>
  <c r="Y281" i="2"/>
  <c r="X281" i="2"/>
  <c r="AE281" i="2" s="1"/>
  <c r="P391" i="2"/>
  <c r="Q391" i="2" s="1"/>
  <c r="J396" i="2" s="1"/>
  <c r="K396" i="2" s="1"/>
  <c r="P370" i="2"/>
  <c r="Q370" i="2"/>
  <c r="J375" i="2" s="1"/>
  <c r="K375" i="2" s="1"/>
  <c r="M379" i="2"/>
  <c r="L379" i="2"/>
  <c r="AD379" i="2" s="1"/>
  <c r="P373" i="2"/>
  <c r="Q373" i="2" s="1"/>
  <c r="J378" i="2" s="1"/>
  <c r="K378" i="2" s="1"/>
  <c r="X279" i="2"/>
  <c r="AE279" i="2" s="1"/>
  <c r="Z279" i="2"/>
  <c r="Y279" i="2"/>
  <c r="W275" i="2" l="1"/>
  <c r="AG275" i="2"/>
  <c r="M396" i="2"/>
  <c r="L396" i="2"/>
  <c r="AD396" i="2" s="1"/>
  <c r="N396" i="2"/>
  <c r="L378" i="2"/>
  <c r="AD378" i="2" s="1"/>
  <c r="M378" i="2"/>
  <c r="N378" i="2"/>
  <c r="Z278" i="2"/>
  <c r="AA279" i="2"/>
  <c r="AB279" i="2" s="1"/>
  <c r="V284" i="2" s="1"/>
  <c r="S284" i="2" s="1"/>
  <c r="U284" i="2" s="1"/>
  <c r="N379" i="2"/>
  <c r="Y282" i="2"/>
  <c r="X282" i="2"/>
  <c r="AE282" i="2" s="1"/>
  <c r="M375" i="2"/>
  <c r="L375" i="2"/>
  <c r="AD375" i="2" s="1"/>
  <c r="Z281" i="2"/>
  <c r="N377" i="2"/>
  <c r="W284" i="2" l="1"/>
  <c r="AG284" i="2"/>
  <c r="P377" i="2"/>
  <c r="Q377" i="2" s="1"/>
  <c r="J382" i="2" s="1"/>
  <c r="K382" i="2" s="1"/>
  <c r="AA278" i="2"/>
  <c r="AB278" i="2"/>
  <c r="V283" i="2" s="1"/>
  <c r="S283" i="2" s="1"/>
  <c r="U283" i="2" s="1"/>
  <c r="P379" i="2"/>
  <c r="Q379" i="2"/>
  <c r="J384" i="2" s="1"/>
  <c r="K384" i="2" s="1"/>
  <c r="P378" i="2"/>
  <c r="Q378" i="2" s="1"/>
  <c r="J383" i="2" s="1"/>
  <c r="K383" i="2" s="1"/>
  <c r="AA281" i="2"/>
  <c r="AB281" i="2" s="1"/>
  <c r="V286" i="2" s="1"/>
  <c r="S286" i="2" s="1"/>
  <c r="U286" i="2" s="1"/>
  <c r="P396" i="2"/>
  <c r="Q396" i="2" s="1"/>
  <c r="J401" i="2" s="1"/>
  <c r="K401" i="2" s="1"/>
  <c r="N375" i="2"/>
  <c r="Z282" i="2"/>
  <c r="X275" i="2"/>
  <c r="AE275" i="2" s="1"/>
  <c r="Y275" i="2"/>
  <c r="W286" i="2" l="1"/>
  <c r="AG286" i="2"/>
  <c r="L401" i="2"/>
  <c r="AD401" i="2" s="1"/>
  <c r="M401" i="2"/>
  <c r="L383" i="2"/>
  <c r="AD383" i="2" s="1"/>
  <c r="M383" i="2"/>
  <c r="M382" i="2"/>
  <c r="L382" i="2"/>
  <c r="AD382" i="2" s="1"/>
  <c r="W283" i="2"/>
  <c r="AG283" i="2"/>
  <c r="Z275" i="2"/>
  <c r="P375" i="2"/>
  <c r="Q375" i="2" s="1"/>
  <c r="J380" i="2" s="1"/>
  <c r="K380" i="2" s="1"/>
  <c r="M384" i="2"/>
  <c r="L384" i="2"/>
  <c r="AD384" i="2" s="1"/>
  <c r="N384" i="2"/>
  <c r="AA282" i="2"/>
  <c r="AB282" i="2" s="1"/>
  <c r="V287" i="2" s="1"/>
  <c r="S287" i="2" s="1"/>
  <c r="U287" i="2" s="1"/>
  <c r="X284" i="2"/>
  <c r="AE284" i="2" s="1"/>
  <c r="Y284" i="2"/>
  <c r="Z284" i="2"/>
  <c r="L380" i="2" l="1"/>
  <c r="AD380" i="2" s="1"/>
  <c r="M380" i="2"/>
  <c r="W287" i="2"/>
  <c r="AG287" i="2"/>
  <c r="Y283" i="2"/>
  <c r="X283" i="2"/>
  <c r="AE283" i="2" s="1"/>
  <c r="N383" i="2"/>
  <c r="AA284" i="2"/>
  <c r="AB284" i="2" s="1"/>
  <c r="V289" i="2" s="1"/>
  <c r="S289" i="2" s="1"/>
  <c r="U289" i="2" s="1"/>
  <c r="N382" i="2"/>
  <c r="P384" i="2"/>
  <c r="Q384" i="2" s="1"/>
  <c r="J389" i="2" s="1"/>
  <c r="K389" i="2" s="1"/>
  <c r="N401" i="2"/>
  <c r="AA275" i="2"/>
  <c r="AB275" i="2" s="1"/>
  <c r="V280" i="2" s="1"/>
  <c r="S280" i="2" s="1"/>
  <c r="U280" i="2" s="1"/>
  <c r="Y286" i="2"/>
  <c r="X286" i="2"/>
  <c r="AE286" i="2" s="1"/>
  <c r="AG280" i="2" l="1"/>
  <c r="W280" i="2"/>
  <c r="L389" i="2"/>
  <c r="AD389" i="2" s="1"/>
  <c r="M389" i="2"/>
  <c r="W289" i="2"/>
  <c r="AG289" i="2"/>
  <c r="P382" i="2"/>
  <c r="Q382" i="2" s="1"/>
  <c r="J387" i="2" s="1"/>
  <c r="K387" i="2" s="1"/>
  <c r="Z283" i="2"/>
  <c r="P383" i="2"/>
  <c r="Q383" i="2" s="1"/>
  <c r="J388" i="2" s="1"/>
  <c r="K388" i="2" s="1"/>
  <c r="Z286" i="2"/>
  <c r="Y287" i="2"/>
  <c r="X287" i="2"/>
  <c r="AE287" i="2" s="1"/>
  <c r="P401" i="2"/>
  <c r="Q401" i="2" s="1"/>
  <c r="J406" i="2" s="1"/>
  <c r="K406" i="2" s="1"/>
  <c r="N380" i="2"/>
  <c r="M387" i="2" l="1"/>
  <c r="L387" i="2"/>
  <c r="AD387" i="2" s="1"/>
  <c r="L388" i="2"/>
  <c r="AD388" i="2" s="1"/>
  <c r="M388" i="2"/>
  <c r="N388" i="2"/>
  <c r="M406" i="2"/>
  <c r="L406" i="2"/>
  <c r="AD406" i="2" s="1"/>
  <c r="P380" i="2"/>
  <c r="Q380" i="2" s="1"/>
  <c r="J385" i="2" s="1"/>
  <c r="K385" i="2" s="1"/>
  <c r="Z289" i="2"/>
  <c r="Y289" i="2"/>
  <c r="X289" i="2"/>
  <c r="AE289" i="2" s="1"/>
  <c r="AA283" i="2"/>
  <c r="AB283" i="2" s="1"/>
  <c r="V288" i="2" s="1"/>
  <c r="S288" i="2" s="1"/>
  <c r="U288" i="2" s="1"/>
  <c r="N389" i="2"/>
  <c r="Z287" i="2"/>
  <c r="X280" i="2"/>
  <c r="AE280" i="2" s="1"/>
  <c r="Z280" i="2"/>
  <c r="Y280" i="2"/>
  <c r="AA286" i="2"/>
  <c r="AB286" i="2" s="1"/>
  <c r="V291" i="2" s="1"/>
  <c r="S291" i="2" s="1"/>
  <c r="U291" i="2" s="1"/>
  <c r="M385" i="2" l="1"/>
  <c r="L385" i="2"/>
  <c r="AD385" i="2" s="1"/>
  <c r="W288" i="2"/>
  <c r="AG288" i="2"/>
  <c r="AG291" i="2"/>
  <c r="W291" i="2"/>
  <c r="AA289" i="2"/>
  <c r="AB289" i="2" s="1"/>
  <c r="V294" i="2" s="1"/>
  <c r="S294" i="2" s="1"/>
  <c r="U294" i="2" s="1"/>
  <c r="AA280" i="2"/>
  <c r="AB280" i="2" s="1"/>
  <c r="V285" i="2" s="1"/>
  <c r="S285" i="2" s="1"/>
  <c r="U285" i="2" s="1"/>
  <c r="AA287" i="2"/>
  <c r="AB287" i="2" s="1"/>
  <c r="V292" i="2" s="1"/>
  <c r="S292" i="2" s="1"/>
  <c r="U292" i="2" s="1"/>
  <c r="P389" i="2"/>
  <c r="Q389" i="2" s="1"/>
  <c r="J394" i="2" s="1"/>
  <c r="K394" i="2" s="1"/>
  <c r="N406" i="2"/>
  <c r="P388" i="2"/>
  <c r="Q388" i="2" s="1"/>
  <c r="J393" i="2" s="1"/>
  <c r="K393" i="2" s="1"/>
  <c r="N387" i="2"/>
  <c r="W285" i="2" l="1"/>
  <c r="AG285" i="2"/>
  <c r="M393" i="2"/>
  <c r="L393" i="2"/>
  <c r="AD393" i="2" s="1"/>
  <c r="N393" i="2"/>
  <c r="M394" i="2"/>
  <c r="L394" i="2"/>
  <c r="AD394" i="2" s="1"/>
  <c r="AG292" i="2"/>
  <c r="W292" i="2"/>
  <c r="AG294" i="2"/>
  <c r="W294" i="2"/>
  <c r="P387" i="2"/>
  <c r="Q387" i="2" s="1"/>
  <c r="J392" i="2" s="1"/>
  <c r="K392" i="2" s="1"/>
  <c r="Y288" i="2"/>
  <c r="X288" i="2"/>
  <c r="AE288" i="2" s="1"/>
  <c r="Y291" i="2"/>
  <c r="X291" i="2"/>
  <c r="AE291" i="2" s="1"/>
  <c r="Z291" i="2"/>
  <c r="P406" i="2"/>
  <c r="Q406" i="2" s="1"/>
  <c r="J411" i="2" s="1"/>
  <c r="K411" i="2" s="1"/>
  <c r="N385" i="2"/>
  <c r="L392" i="2" l="1"/>
  <c r="AD392" i="2" s="1"/>
  <c r="M392" i="2"/>
  <c r="M411" i="2"/>
  <c r="L411" i="2"/>
  <c r="AD411" i="2" s="1"/>
  <c r="X294" i="2"/>
  <c r="AE294" i="2" s="1"/>
  <c r="Z294" i="2"/>
  <c r="Y294" i="2"/>
  <c r="Z288" i="2"/>
  <c r="P385" i="2"/>
  <c r="Q385" i="2" s="1"/>
  <c r="J390" i="2" s="1"/>
  <c r="K390" i="2" s="1"/>
  <c r="X292" i="2"/>
  <c r="AE292" i="2" s="1"/>
  <c r="Y292" i="2"/>
  <c r="AA291" i="2"/>
  <c r="AB291" i="2" s="1"/>
  <c r="V296" i="2" s="1"/>
  <c r="S296" i="2" s="1"/>
  <c r="U296" i="2" s="1"/>
  <c r="N394" i="2"/>
  <c r="P393" i="2"/>
  <c r="Q393" i="2"/>
  <c r="J398" i="2" s="1"/>
  <c r="K398" i="2" s="1"/>
  <c r="Y285" i="2"/>
  <c r="X285" i="2"/>
  <c r="AE285" i="2" s="1"/>
  <c r="Z285" i="2"/>
  <c r="W296" i="2" l="1"/>
  <c r="AG296" i="2"/>
  <c r="L390" i="2"/>
  <c r="AD390" i="2" s="1"/>
  <c r="M390" i="2"/>
  <c r="N390" i="2"/>
  <c r="AA288" i="2"/>
  <c r="AB288" i="2" s="1"/>
  <c r="V293" i="2" s="1"/>
  <c r="S293" i="2" s="1"/>
  <c r="U293" i="2" s="1"/>
  <c r="AA285" i="2"/>
  <c r="AB285" i="2" s="1"/>
  <c r="V290" i="2" s="1"/>
  <c r="S290" i="2" s="1"/>
  <c r="U290" i="2" s="1"/>
  <c r="AA294" i="2"/>
  <c r="AB294" i="2" s="1"/>
  <c r="V299" i="2" s="1"/>
  <c r="S299" i="2" s="1"/>
  <c r="U299" i="2" s="1"/>
  <c r="Q394" i="2"/>
  <c r="J399" i="2" s="1"/>
  <c r="K399" i="2" s="1"/>
  <c r="P394" i="2"/>
  <c r="L398" i="2"/>
  <c r="AD398" i="2" s="1"/>
  <c r="M398" i="2"/>
  <c r="N411" i="2"/>
  <c r="Z292" i="2"/>
  <c r="N392" i="2"/>
  <c r="W299" i="2" l="1"/>
  <c r="AG299" i="2"/>
  <c r="AG290" i="2"/>
  <c r="W290" i="2"/>
  <c r="AG293" i="2"/>
  <c r="W293" i="2"/>
  <c r="P390" i="2"/>
  <c r="Q390" i="2" s="1"/>
  <c r="J395" i="2" s="1"/>
  <c r="K395" i="2" s="1"/>
  <c r="L399" i="2"/>
  <c r="AD399" i="2" s="1"/>
  <c r="M399" i="2"/>
  <c r="P392" i="2"/>
  <c r="Q392" i="2" s="1"/>
  <c r="J397" i="2" s="1"/>
  <c r="K397" i="2" s="1"/>
  <c r="AA292" i="2"/>
  <c r="AB292" i="2" s="1"/>
  <c r="V297" i="2" s="1"/>
  <c r="S297" i="2" s="1"/>
  <c r="U297" i="2" s="1"/>
  <c r="P411" i="2"/>
  <c r="Q411" i="2" s="1"/>
  <c r="J416" i="2" s="1"/>
  <c r="K416" i="2" s="1"/>
  <c r="N398" i="2"/>
  <c r="X296" i="2"/>
  <c r="AE296" i="2" s="1"/>
  <c r="Z296" i="2"/>
  <c r="Y296" i="2"/>
  <c r="W297" i="2" l="1"/>
  <c r="AG297" i="2"/>
  <c r="L395" i="2"/>
  <c r="AD395" i="2" s="1"/>
  <c r="M395" i="2"/>
  <c r="L416" i="2"/>
  <c r="AD416" i="2" s="1"/>
  <c r="M416" i="2"/>
  <c r="N399" i="2"/>
  <c r="X293" i="2"/>
  <c r="AE293" i="2" s="1"/>
  <c r="Z293" i="2"/>
  <c r="Y293" i="2"/>
  <c r="AA296" i="2"/>
  <c r="AB296" i="2" s="1"/>
  <c r="V301" i="2" s="1"/>
  <c r="S301" i="2" s="1"/>
  <c r="U301" i="2" s="1"/>
  <c r="P398" i="2"/>
  <c r="Q398" i="2"/>
  <c r="J403" i="2" s="1"/>
  <c r="K403" i="2" s="1"/>
  <c r="X290" i="2"/>
  <c r="AE290" i="2" s="1"/>
  <c r="Y290" i="2"/>
  <c r="M397" i="2"/>
  <c r="L397" i="2"/>
  <c r="AD397" i="2" s="1"/>
  <c r="Z299" i="2"/>
  <c r="Y299" i="2"/>
  <c r="X299" i="2"/>
  <c r="AE299" i="2" s="1"/>
  <c r="W301" i="2" l="1"/>
  <c r="AG301" i="2"/>
  <c r="P399" i="2"/>
  <c r="Q399" i="2" s="1"/>
  <c r="J404" i="2" s="1"/>
  <c r="K404" i="2" s="1"/>
  <c r="N416" i="2"/>
  <c r="AA299" i="2"/>
  <c r="AB299" i="2"/>
  <c r="V304" i="2" s="1"/>
  <c r="S304" i="2" s="1"/>
  <c r="U304" i="2" s="1"/>
  <c r="AA293" i="2"/>
  <c r="AB293" i="2"/>
  <c r="V298" i="2" s="1"/>
  <c r="S298" i="2" s="1"/>
  <c r="U298" i="2" s="1"/>
  <c r="N397" i="2"/>
  <c r="Z290" i="2"/>
  <c r="M403" i="2"/>
  <c r="L403" i="2"/>
  <c r="AD403" i="2" s="1"/>
  <c r="N395" i="2"/>
  <c r="Y297" i="2"/>
  <c r="X297" i="2"/>
  <c r="AE297" i="2" s="1"/>
  <c r="Z297" i="2"/>
  <c r="L404" i="2" l="1"/>
  <c r="AD404" i="2" s="1"/>
  <c r="M404" i="2"/>
  <c r="P397" i="2"/>
  <c r="Q397" i="2" s="1"/>
  <c r="J402" i="2" s="1"/>
  <c r="K402" i="2" s="1"/>
  <c r="W304" i="2"/>
  <c r="AG304" i="2"/>
  <c r="AA290" i="2"/>
  <c r="AB290" i="2" s="1"/>
  <c r="V295" i="2" s="1"/>
  <c r="S295" i="2" s="1"/>
  <c r="U295" i="2" s="1"/>
  <c r="W298" i="2"/>
  <c r="AG298" i="2"/>
  <c r="AA297" i="2"/>
  <c r="AB297" i="2" s="1"/>
  <c r="V302" i="2" s="1"/>
  <c r="S302" i="2" s="1"/>
  <c r="U302" i="2" s="1"/>
  <c r="P416" i="2"/>
  <c r="Q416" i="2"/>
  <c r="J421" i="2" s="1"/>
  <c r="K421" i="2" s="1"/>
  <c r="P395" i="2"/>
  <c r="Q395" i="2"/>
  <c r="J400" i="2" s="1"/>
  <c r="K400" i="2" s="1"/>
  <c r="N403" i="2"/>
  <c r="Y301" i="2"/>
  <c r="X301" i="2"/>
  <c r="AE301" i="2" s="1"/>
  <c r="W295" i="2" l="1"/>
  <c r="AG295" i="2"/>
  <c r="L402" i="2"/>
  <c r="AD402" i="2" s="1"/>
  <c r="N402" i="2"/>
  <c r="M402" i="2"/>
  <c r="W302" i="2"/>
  <c r="AG302" i="2"/>
  <c r="Y298" i="2"/>
  <c r="X298" i="2"/>
  <c r="AE298" i="2" s="1"/>
  <c r="L400" i="2"/>
  <c r="AD400" i="2" s="1"/>
  <c r="M400" i="2"/>
  <c r="Z301" i="2"/>
  <c r="Y304" i="2"/>
  <c r="X304" i="2"/>
  <c r="AE304" i="2" s="1"/>
  <c r="P403" i="2"/>
  <c r="Q403" i="2"/>
  <c r="J408" i="2" s="1"/>
  <c r="K408" i="2" s="1"/>
  <c r="L421" i="2"/>
  <c r="N421" i="2" s="1"/>
  <c r="M421" i="2"/>
  <c r="N404" i="2"/>
  <c r="P421" i="2" l="1"/>
  <c r="N400" i="2"/>
  <c r="Z304" i="2"/>
  <c r="E19" i="3"/>
  <c r="M408" i="2"/>
  <c r="L408" i="2"/>
  <c r="AD408" i="2" s="1"/>
  <c r="X302" i="2"/>
  <c r="AE302" i="2" s="1"/>
  <c r="Y302" i="2"/>
  <c r="P402" i="2"/>
  <c r="Q402" i="2" s="1"/>
  <c r="J407" i="2" s="1"/>
  <c r="K407" i="2" s="1"/>
  <c r="AA301" i="2"/>
  <c r="AB301" i="2" s="1"/>
  <c r="V306" i="2" s="1"/>
  <c r="S306" i="2" s="1"/>
  <c r="U306" i="2" s="1"/>
  <c r="Q404" i="2"/>
  <c r="J409" i="2" s="1"/>
  <c r="K409" i="2" s="1"/>
  <c r="P404" i="2"/>
  <c r="AD421" i="2"/>
  <c r="C19" i="3"/>
  <c r="Z298" i="2"/>
  <c r="X295" i="2"/>
  <c r="AE295" i="2" s="1"/>
  <c r="Z295" i="2"/>
  <c r="Y295" i="2"/>
  <c r="AG306" i="2" l="1"/>
  <c r="W306" i="2"/>
  <c r="L407" i="2"/>
  <c r="M407" i="2"/>
  <c r="AA295" i="2"/>
  <c r="AB295" i="2" s="1"/>
  <c r="V300" i="2" s="1"/>
  <c r="S300" i="2" s="1"/>
  <c r="U300" i="2" s="1"/>
  <c r="AA304" i="2"/>
  <c r="AB304" i="2" s="1"/>
  <c r="V309" i="2" s="1"/>
  <c r="S309" i="2" s="1"/>
  <c r="U309" i="2" s="1"/>
  <c r="P400" i="2"/>
  <c r="Z302" i="2"/>
  <c r="G19" i="3"/>
  <c r="M409" i="2"/>
  <c r="L409" i="2"/>
  <c r="AA298" i="2"/>
  <c r="AB298" i="2" s="1"/>
  <c r="V303" i="2" s="1"/>
  <c r="S303" i="2" s="1"/>
  <c r="U303" i="2" s="1"/>
  <c r="N408" i="2"/>
  <c r="Q421" i="2"/>
  <c r="W309" i="2" l="1"/>
  <c r="AG309" i="2"/>
  <c r="W303" i="2"/>
  <c r="AG303" i="2"/>
  <c r="W300" i="2"/>
  <c r="AG300" i="2"/>
  <c r="Q400" i="2"/>
  <c r="J405" i="2" s="1"/>
  <c r="K405" i="2" s="1"/>
  <c r="AD409" i="2"/>
  <c r="N409" i="2"/>
  <c r="AD407" i="2"/>
  <c r="N407" i="2"/>
  <c r="X306" i="2"/>
  <c r="AE306" i="2" s="1"/>
  <c r="Z306" i="2"/>
  <c r="Y306" i="2"/>
  <c r="P408" i="2"/>
  <c r="AA302" i="2"/>
  <c r="AB302" i="2" s="1"/>
  <c r="V307" i="2" s="1"/>
  <c r="S307" i="2" s="1"/>
  <c r="U307" i="2" s="1"/>
  <c r="W307" i="2" l="1"/>
  <c r="AG307" i="2"/>
  <c r="P409" i="2"/>
  <c r="Q409" i="2" s="1"/>
  <c r="J414" i="2" s="1"/>
  <c r="K414" i="2" s="1"/>
  <c r="M405" i="2"/>
  <c r="L405" i="2"/>
  <c r="N405" i="2"/>
  <c r="Q408" i="2"/>
  <c r="J413" i="2" s="1"/>
  <c r="K413" i="2" s="1"/>
  <c r="Y300" i="2"/>
  <c r="X300" i="2"/>
  <c r="AE300" i="2" s="1"/>
  <c r="AA306" i="2"/>
  <c r="AB306" i="2" s="1"/>
  <c r="V311" i="2" s="1"/>
  <c r="S311" i="2" s="1"/>
  <c r="U311" i="2" s="1"/>
  <c r="Y309" i="2"/>
  <c r="X309" i="2"/>
  <c r="AE309" i="2" s="1"/>
  <c r="Y303" i="2"/>
  <c r="X303" i="2"/>
  <c r="AE303" i="2" s="1"/>
  <c r="P407" i="2"/>
  <c r="Q407" i="2"/>
  <c r="J412" i="2" s="1"/>
  <c r="K412" i="2" s="1"/>
  <c r="W311" i="2" l="1"/>
  <c r="AG311" i="2"/>
  <c r="L414" i="2"/>
  <c r="N414" i="2"/>
  <c r="M414" i="2"/>
  <c r="M412" i="2"/>
  <c r="L412" i="2"/>
  <c r="Z300" i="2"/>
  <c r="M413" i="2"/>
  <c r="L413" i="2"/>
  <c r="N413" i="2" s="1"/>
  <c r="P405" i="2"/>
  <c r="Q405" i="2"/>
  <c r="J410" i="2" s="1"/>
  <c r="K410" i="2" s="1"/>
  <c r="AD405" i="2"/>
  <c r="Z303" i="2"/>
  <c r="Z309" i="2"/>
  <c r="X307" i="2"/>
  <c r="AE307" i="2" s="1"/>
  <c r="Y307" i="2"/>
  <c r="P413" i="2" l="1"/>
  <c r="Q413" i="2" s="1"/>
  <c r="J418" i="2" s="1"/>
  <c r="K418" i="2" s="1"/>
  <c r="AD412" i="2"/>
  <c r="AA303" i="2"/>
  <c r="AB303" i="2" s="1"/>
  <c r="V308" i="2" s="1"/>
  <c r="S308" i="2" s="1"/>
  <c r="U308" i="2" s="1"/>
  <c r="AB300" i="2"/>
  <c r="V305" i="2" s="1"/>
  <c r="S305" i="2" s="1"/>
  <c r="U305" i="2" s="1"/>
  <c r="AA300" i="2"/>
  <c r="N412" i="2"/>
  <c r="AD414" i="2"/>
  <c r="Q414" i="2"/>
  <c r="J419" i="2" s="1"/>
  <c r="K419" i="2" s="1"/>
  <c r="P414" i="2"/>
  <c r="N410" i="2"/>
  <c r="M410" i="2"/>
  <c r="L410" i="2"/>
  <c r="AD413" i="2"/>
  <c r="AB309" i="2"/>
  <c r="V314" i="2" s="1"/>
  <c r="S314" i="2" s="1"/>
  <c r="U314" i="2" s="1"/>
  <c r="AA309" i="2"/>
  <c r="Z307" i="2"/>
  <c r="Y311" i="2"/>
  <c r="X311" i="2"/>
  <c r="AE311" i="2" s="1"/>
  <c r="W308" i="2" l="1"/>
  <c r="AG308" i="2"/>
  <c r="M418" i="2"/>
  <c r="E16" i="3" s="1"/>
  <c r="L418" i="2"/>
  <c r="P412" i="2"/>
  <c r="AD410" i="2"/>
  <c r="AG305" i="2"/>
  <c r="W305" i="2"/>
  <c r="P410" i="2"/>
  <c r="Q410" i="2"/>
  <c r="J415" i="2" s="1"/>
  <c r="K415" i="2" s="1"/>
  <c r="AG314" i="2"/>
  <c r="W314" i="2"/>
  <c r="L419" i="2"/>
  <c r="M419" i="2"/>
  <c r="Z311" i="2"/>
  <c r="AA307" i="2"/>
  <c r="AB307" i="2" s="1"/>
  <c r="V312" i="2" s="1"/>
  <c r="S312" i="2" s="1"/>
  <c r="U312" i="2" s="1"/>
  <c r="AA311" i="2" l="1"/>
  <c r="AB311" i="2" s="1"/>
  <c r="V316" i="2" s="1"/>
  <c r="S316" i="2" s="1"/>
  <c r="U316" i="2" s="1"/>
  <c r="AD419" i="2"/>
  <c r="C17" i="3"/>
  <c r="N419" i="2"/>
  <c r="W312" i="2"/>
  <c r="AG312" i="2"/>
  <c r="M415" i="2"/>
  <c r="L415" i="2"/>
  <c r="N415" i="2"/>
  <c r="Z314" i="2"/>
  <c r="Y314" i="2"/>
  <c r="X314" i="2"/>
  <c r="AE314" i="2" s="1"/>
  <c r="Q412" i="2"/>
  <c r="J417" i="2" s="1"/>
  <c r="K417" i="2" s="1"/>
  <c r="AD418" i="2"/>
  <c r="C16" i="3"/>
  <c r="N418" i="2"/>
  <c r="Y305" i="2"/>
  <c r="X305" i="2"/>
  <c r="AE305" i="2" s="1"/>
  <c r="Y308" i="2"/>
  <c r="X308" i="2"/>
  <c r="AE308" i="2" s="1"/>
  <c r="Z308" i="2"/>
  <c r="AG316" i="2" l="1"/>
  <c r="W316" i="2"/>
  <c r="AA314" i="2"/>
  <c r="AB314" i="2" s="1"/>
  <c r="V319" i="2" s="1"/>
  <c r="S319" i="2" s="1"/>
  <c r="U319" i="2" s="1"/>
  <c r="P415" i="2"/>
  <c r="Z305" i="2"/>
  <c r="AD415" i="2"/>
  <c r="P418" i="2"/>
  <c r="Q418" i="2" s="1"/>
  <c r="X312" i="2"/>
  <c r="AE312" i="2" s="1"/>
  <c r="Y312" i="2"/>
  <c r="P419" i="2"/>
  <c r="Q419" i="2" s="1"/>
  <c r="M417" i="2"/>
  <c r="L417" i="2"/>
  <c r="N417" i="2" s="1"/>
  <c r="AA308" i="2"/>
  <c r="AB308" i="2" s="1"/>
  <c r="V313" i="2" s="1"/>
  <c r="S313" i="2" s="1"/>
  <c r="U313" i="2" s="1"/>
  <c r="W319" i="2" l="1"/>
  <c r="AG319" i="2"/>
  <c r="W313" i="2"/>
  <c r="AG313" i="2"/>
  <c r="P417" i="2"/>
  <c r="Q417" i="2" s="1"/>
  <c r="AD417" i="2"/>
  <c r="C15" i="3"/>
  <c r="Q415" i="2"/>
  <c r="J420" i="2" s="1"/>
  <c r="K420" i="2" s="1"/>
  <c r="Z316" i="2"/>
  <c r="Y316" i="2"/>
  <c r="X316" i="2"/>
  <c r="AE316" i="2" s="1"/>
  <c r="AA305" i="2"/>
  <c r="AB305" i="2" s="1"/>
  <c r="V310" i="2" s="1"/>
  <c r="S310" i="2" s="1"/>
  <c r="U310" i="2" s="1"/>
  <c r="Z312" i="2"/>
  <c r="W310" i="2" l="1"/>
  <c r="AG310" i="2"/>
  <c r="M420" i="2"/>
  <c r="L420" i="2"/>
  <c r="N420" i="2"/>
  <c r="AA316" i="2"/>
  <c r="AB316" i="2" s="1"/>
  <c r="V321" i="2" s="1"/>
  <c r="S321" i="2" s="1"/>
  <c r="U321" i="2" s="1"/>
  <c r="AA312" i="2"/>
  <c r="AB312" i="2" s="1"/>
  <c r="V317" i="2" s="1"/>
  <c r="S317" i="2" s="1"/>
  <c r="U317" i="2" s="1"/>
  <c r="Y313" i="2"/>
  <c r="X313" i="2"/>
  <c r="AE313" i="2" s="1"/>
  <c r="X319" i="2"/>
  <c r="AE319" i="2" s="1"/>
  <c r="Y319" i="2"/>
  <c r="AG317" i="2" l="1"/>
  <c r="W317" i="2"/>
  <c r="W321" i="2"/>
  <c r="AG321" i="2"/>
  <c r="P420" i="2"/>
  <c r="AD420" i="2"/>
  <c r="C18" i="3"/>
  <c r="B6" i="3"/>
  <c r="B7" i="3" s="1"/>
  <c r="E17" i="3"/>
  <c r="E15" i="3"/>
  <c r="E18" i="3"/>
  <c r="B8" i="3"/>
  <c r="Z319" i="2"/>
  <c r="Z313" i="2"/>
  <c r="X310" i="2"/>
  <c r="AE310" i="2" s="1"/>
  <c r="Y310" i="2"/>
  <c r="G16" i="3" l="1"/>
  <c r="G17" i="3"/>
  <c r="B9" i="3"/>
  <c r="G15" i="3"/>
  <c r="G18" i="3"/>
  <c r="Q420" i="2"/>
  <c r="Z310" i="2"/>
  <c r="AA313" i="2"/>
  <c r="AB313" i="2" s="1"/>
  <c r="V318" i="2" s="1"/>
  <c r="S318" i="2" s="1"/>
  <c r="U318" i="2" s="1"/>
  <c r="Y321" i="2"/>
  <c r="X321" i="2"/>
  <c r="AE321" i="2" s="1"/>
  <c r="AA319" i="2"/>
  <c r="AB319" i="2" s="1"/>
  <c r="V324" i="2" s="1"/>
  <c r="S324" i="2" s="1"/>
  <c r="U324" i="2" s="1"/>
  <c r="Y317" i="2"/>
  <c r="X317" i="2"/>
  <c r="AE317" i="2" s="1"/>
  <c r="AG324" i="2" l="1"/>
  <c r="W324" i="2"/>
  <c r="W318" i="2"/>
  <c r="AG318" i="2"/>
  <c r="Z321" i="2"/>
  <c r="AA310" i="2"/>
  <c r="AB310" i="2"/>
  <c r="V315" i="2" s="1"/>
  <c r="S315" i="2" s="1"/>
  <c r="U315" i="2" s="1"/>
  <c r="Z317" i="2"/>
  <c r="AA317" i="2" l="1"/>
  <c r="AB317" i="2" s="1"/>
  <c r="V322" i="2" s="1"/>
  <c r="S322" i="2" s="1"/>
  <c r="U322" i="2" s="1"/>
  <c r="AG315" i="2"/>
  <c r="W315" i="2"/>
  <c r="AA321" i="2"/>
  <c r="AB321" i="2" s="1"/>
  <c r="V326" i="2" s="1"/>
  <c r="S326" i="2" s="1"/>
  <c r="U326" i="2" s="1"/>
  <c r="Y318" i="2"/>
  <c r="X318" i="2"/>
  <c r="AE318" i="2" s="1"/>
  <c r="X324" i="2"/>
  <c r="AE324" i="2" s="1"/>
  <c r="Y324" i="2"/>
  <c r="W326" i="2" l="1"/>
  <c r="AG326" i="2"/>
  <c r="W322" i="2"/>
  <c r="AG322" i="2"/>
  <c r="Z318" i="2"/>
  <c r="Z324" i="2"/>
  <c r="Y315" i="2"/>
  <c r="X315" i="2"/>
  <c r="AE315" i="2" s="1"/>
  <c r="Z315" i="2" l="1"/>
  <c r="AA324" i="2"/>
  <c r="AB324" i="2" s="1"/>
  <c r="V329" i="2" s="1"/>
  <c r="S329" i="2" s="1"/>
  <c r="U329" i="2" s="1"/>
  <c r="AA318" i="2"/>
  <c r="AB318" i="2" s="1"/>
  <c r="V323" i="2" s="1"/>
  <c r="S323" i="2" s="1"/>
  <c r="U323" i="2" s="1"/>
  <c r="X322" i="2"/>
  <c r="AE322" i="2" s="1"/>
  <c r="Y322" i="2"/>
  <c r="X326" i="2"/>
  <c r="AE326" i="2" s="1"/>
  <c r="Y326" i="2"/>
  <c r="W323" i="2" l="1"/>
  <c r="AG323" i="2"/>
  <c r="AG329" i="2"/>
  <c r="W329" i="2"/>
  <c r="Z326" i="2"/>
  <c r="Z322" i="2"/>
  <c r="AA315" i="2"/>
  <c r="AB315" i="2" s="1"/>
  <c r="V320" i="2" s="1"/>
  <c r="S320" i="2" s="1"/>
  <c r="U320" i="2" s="1"/>
  <c r="AG320" i="2" l="1"/>
  <c r="W320" i="2"/>
  <c r="AA322" i="2"/>
  <c r="AB322" i="2" s="1"/>
  <c r="V327" i="2" s="1"/>
  <c r="S327" i="2" s="1"/>
  <c r="U327" i="2" s="1"/>
  <c r="AA326" i="2"/>
  <c r="AB326" i="2" s="1"/>
  <c r="V331" i="2" s="1"/>
  <c r="S331" i="2" s="1"/>
  <c r="U331" i="2" s="1"/>
  <c r="X329" i="2"/>
  <c r="AE329" i="2" s="1"/>
  <c r="Y329" i="2"/>
  <c r="Y323" i="2"/>
  <c r="X323" i="2"/>
  <c r="AE323" i="2" s="1"/>
  <c r="W331" i="2" l="1"/>
  <c r="AG331" i="2"/>
  <c r="AG327" i="2"/>
  <c r="W327" i="2"/>
  <c r="Z323" i="2"/>
  <c r="Y320" i="2"/>
  <c r="X320" i="2"/>
  <c r="AE320" i="2" s="1"/>
  <c r="Z320" i="2"/>
  <c r="Z329" i="2"/>
  <c r="AA320" i="2" l="1"/>
  <c r="AB320" i="2"/>
  <c r="V325" i="2" s="1"/>
  <c r="S325" i="2" s="1"/>
  <c r="U325" i="2" s="1"/>
  <c r="AA329" i="2"/>
  <c r="AB329" i="2" s="1"/>
  <c r="V334" i="2" s="1"/>
  <c r="S334" i="2" s="1"/>
  <c r="U334" i="2" s="1"/>
  <c r="AA323" i="2"/>
  <c r="AB323" i="2" s="1"/>
  <c r="V328" i="2" s="1"/>
  <c r="S328" i="2" s="1"/>
  <c r="U328" i="2" s="1"/>
  <c r="X327" i="2"/>
  <c r="AE327" i="2" s="1"/>
  <c r="Y327" i="2"/>
  <c r="X331" i="2"/>
  <c r="AE331" i="2" s="1"/>
  <c r="Z331" i="2"/>
  <c r="Y331" i="2"/>
  <c r="AG328" i="2" l="1"/>
  <c r="W328" i="2"/>
  <c r="W334" i="2"/>
  <c r="AG334" i="2"/>
  <c r="AA331" i="2"/>
  <c r="AB331" i="2" s="1"/>
  <c r="V336" i="2" s="1"/>
  <c r="S336" i="2" s="1"/>
  <c r="U336" i="2" s="1"/>
  <c r="Z327" i="2"/>
  <c r="W325" i="2"/>
  <c r="AG325" i="2"/>
  <c r="AG336" i="2" l="1"/>
  <c r="W336" i="2"/>
  <c r="AA327" i="2"/>
  <c r="AB327" i="2"/>
  <c r="V332" i="2" s="1"/>
  <c r="S332" i="2" s="1"/>
  <c r="U332" i="2" s="1"/>
  <c r="Y325" i="2"/>
  <c r="X325" i="2"/>
  <c r="AE325" i="2" s="1"/>
  <c r="Y334" i="2"/>
  <c r="X334" i="2"/>
  <c r="AE334" i="2" s="1"/>
  <c r="Y328" i="2"/>
  <c r="X328" i="2"/>
  <c r="AE328" i="2" s="1"/>
  <c r="Z325" i="2" l="1"/>
  <c r="W332" i="2"/>
  <c r="AG332" i="2"/>
  <c r="Z334" i="2"/>
  <c r="X336" i="2"/>
  <c r="AE336" i="2" s="1"/>
  <c r="Y336" i="2"/>
  <c r="Z328" i="2"/>
  <c r="AB328" i="2" l="1"/>
  <c r="V333" i="2" s="1"/>
  <c r="S333" i="2" s="1"/>
  <c r="U333" i="2" s="1"/>
  <c r="AA328" i="2"/>
  <c r="Z336" i="2"/>
  <c r="AA334" i="2"/>
  <c r="AB334" i="2" s="1"/>
  <c r="V339" i="2" s="1"/>
  <c r="S339" i="2" s="1"/>
  <c r="U339" i="2" s="1"/>
  <c r="Y332" i="2"/>
  <c r="X332" i="2"/>
  <c r="AE332" i="2" s="1"/>
  <c r="AA325" i="2"/>
  <c r="AB325" i="2" s="1"/>
  <c r="V330" i="2" s="1"/>
  <c r="S330" i="2" s="1"/>
  <c r="U330" i="2" s="1"/>
  <c r="W330" i="2" l="1"/>
  <c r="AG330" i="2"/>
  <c r="AG339" i="2"/>
  <c r="W339" i="2"/>
  <c r="Z332" i="2"/>
  <c r="AA336" i="2"/>
  <c r="AB336" i="2"/>
  <c r="V341" i="2" s="1"/>
  <c r="S341" i="2" s="1"/>
  <c r="U341" i="2" s="1"/>
  <c r="W333" i="2"/>
  <c r="AG333" i="2"/>
  <c r="X333" i="2" l="1"/>
  <c r="AE333" i="2" s="1"/>
  <c r="Y333" i="2"/>
  <c r="W341" i="2"/>
  <c r="AG341" i="2"/>
  <c r="AA332" i="2"/>
  <c r="AB332" i="2" s="1"/>
  <c r="V337" i="2" s="1"/>
  <c r="S337" i="2" s="1"/>
  <c r="U337" i="2" s="1"/>
  <c r="Y339" i="2"/>
  <c r="X339" i="2"/>
  <c r="AE339" i="2" s="1"/>
  <c r="Z330" i="2"/>
  <c r="Y330" i="2"/>
  <c r="X330" i="2"/>
  <c r="AE330" i="2" s="1"/>
  <c r="W337" i="2" l="1"/>
  <c r="AG337" i="2"/>
  <c r="Z339" i="2"/>
  <c r="AA330" i="2"/>
  <c r="AB330" i="2"/>
  <c r="V335" i="2" s="1"/>
  <c r="S335" i="2" s="1"/>
  <c r="U335" i="2" s="1"/>
  <c r="Y341" i="2"/>
  <c r="X341" i="2"/>
  <c r="AE341" i="2" s="1"/>
  <c r="Z333" i="2"/>
  <c r="AA333" i="2" l="1"/>
  <c r="AB333" i="2"/>
  <c r="V338" i="2" s="1"/>
  <c r="S338" i="2" s="1"/>
  <c r="U338" i="2" s="1"/>
  <c r="Z341" i="2"/>
  <c r="W335" i="2"/>
  <c r="AG335" i="2"/>
  <c r="AA339" i="2"/>
  <c r="AB339" i="2" s="1"/>
  <c r="V344" i="2" s="1"/>
  <c r="S344" i="2" s="1"/>
  <c r="U344" i="2" s="1"/>
  <c r="Y337" i="2"/>
  <c r="X337" i="2"/>
  <c r="AE337" i="2" s="1"/>
  <c r="W344" i="2" l="1"/>
  <c r="AG344" i="2"/>
  <c r="Z337" i="2"/>
  <c r="Y335" i="2"/>
  <c r="X335" i="2"/>
  <c r="AE335" i="2" s="1"/>
  <c r="AA341" i="2"/>
  <c r="AB341" i="2" s="1"/>
  <c r="V346" i="2" s="1"/>
  <c r="S346" i="2" s="1"/>
  <c r="U346" i="2" s="1"/>
  <c r="W338" i="2"/>
  <c r="AG338" i="2"/>
  <c r="W346" i="2" l="1"/>
  <c r="AG346" i="2"/>
  <c r="Y338" i="2"/>
  <c r="X338" i="2"/>
  <c r="AE338" i="2" s="1"/>
  <c r="Z335" i="2"/>
  <c r="AA337" i="2"/>
  <c r="AB337" i="2" s="1"/>
  <c r="V342" i="2" s="1"/>
  <c r="S342" i="2" s="1"/>
  <c r="U342" i="2" s="1"/>
  <c r="Y344" i="2"/>
  <c r="X344" i="2"/>
  <c r="AE344" i="2" s="1"/>
  <c r="W342" i="2" l="1"/>
  <c r="AG342" i="2"/>
  <c r="AA335" i="2"/>
  <c r="AB335" i="2" s="1"/>
  <c r="V340" i="2" s="1"/>
  <c r="S340" i="2" s="1"/>
  <c r="U340" i="2" s="1"/>
  <c r="Z338" i="2"/>
  <c r="Z344" i="2"/>
  <c r="Y346" i="2"/>
  <c r="X346" i="2"/>
  <c r="AE346" i="2" s="1"/>
  <c r="AG340" i="2" l="1"/>
  <c r="W340" i="2"/>
  <c r="AA344" i="2"/>
  <c r="AB344" i="2" s="1"/>
  <c r="V349" i="2" s="1"/>
  <c r="S349" i="2" s="1"/>
  <c r="U349" i="2" s="1"/>
  <c r="Z346" i="2"/>
  <c r="AA338" i="2"/>
  <c r="AB338" i="2" s="1"/>
  <c r="V343" i="2" s="1"/>
  <c r="S343" i="2" s="1"/>
  <c r="U343" i="2" s="1"/>
  <c r="X342" i="2"/>
  <c r="AE342" i="2" s="1"/>
  <c r="Y342" i="2"/>
  <c r="W343" i="2" l="1"/>
  <c r="AG343" i="2"/>
  <c r="W349" i="2"/>
  <c r="AG349" i="2"/>
  <c r="Z342" i="2"/>
  <c r="AA346" i="2"/>
  <c r="AB346" i="2" s="1"/>
  <c r="V351" i="2" s="1"/>
  <c r="S351" i="2" s="1"/>
  <c r="U351" i="2" s="1"/>
  <c r="Y340" i="2"/>
  <c r="X340" i="2"/>
  <c r="AE340" i="2" s="1"/>
  <c r="AG351" i="2" l="1"/>
  <c r="W351" i="2"/>
  <c r="Z340" i="2"/>
  <c r="AA342" i="2"/>
  <c r="AB342" i="2"/>
  <c r="V347" i="2" s="1"/>
  <c r="S347" i="2" s="1"/>
  <c r="U347" i="2" s="1"/>
  <c r="X349" i="2"/>
  <c r="AE349" i="2" s="1"/>
  <c r="Y349" i="2"/>
  <c r="Y343" i="2"/>
  <c r="X343" i="2"/>
  <c r="AE343" i="2" s="1"/>
  <c r="Z343" i="2"/>
  <c r="Z349" i="2" l="1"/>
  <c r="AA343" i="2"/>
  <c r="AB343" i="2" s="1"/>
  <c r="V348" i="2" s="1"/>
  <c r="S348" i="2" s="1"/>
  <c r="U348" i="2" s="1"/>
  <c r="W347" i="2"/>
  <c r="AG347" i="2"/>
  <c r="AA340" i="2"/>
  <c r="AB340" i="2" s="1"/>
  <c r="V345" i="2" s="1"/>
  <c r="S345" i="2" s="1"/>
  <c r="U345" i="2" s="1"/>
  <c r="Y351" i="2"/>
  <c r="X351" i="2"/>
  <c r="AE351" i="2" s="1"/>
  <c r="W345" i="2" l="1"/>
  <c r="AG345" i="2"/>
  <c r="W348" i="2"/>
  <c r="AG348" i="2"/>
  <c r="Z351" i="2"/>
  <c r="Y347" i="2"/>
  <c r="X347" i="2"/>
  <c r="AE347" i="2" s="1"/>
  <c r="AA349" i="2"/>
  <c r="AB349" i="2" s="1"/>
  <c r="V354" i="2" s="1"/>
  <c r="S354" i="2" s="1"/>
  <c r="U354" i="2" s="1"/>
  <c r="AG354" i="2" l="1"/>
  <c r="W354" i="2"/>
  <c r="Z347" i="2"/>
  <c r="AA351" i="2"/>
  <c r="AB351" i="2" s="1"/>
  <c r="V356" i="2" s="1"/>
  <c r="S356" i="2" s="1"/>
  <c r="U356" i="2" s="1"/>
  <c r="Y348" i="2"/>
  <c r="X348" i="2"/>
  <c r="AE348" i="2" s="1"/>
  <c r="Y345" i="2"/>
  <c r="X345" i="2"/>
  <c r="AE345" i="2" s="1"/>
  <c r="AG356" i="2" l="1"/>
  <c r="W356" i="2"/>
  <c r="Z345" i="2"/>
  <c r="Z348" i="2"/>
  <c r="AA347" i="2"/>
  <c r="AB347" i="2" s="1"/>
  <c r="V352" i="2" s="1"/>
  <c r="S352" i="2" s="1"/>
  <c r="U352" i="2" s="1"/>
  <c r="X354" i="2"/>
  <c r="AE354" i="2" s="1"/>
  <c r="Y354" i="2"/>
  <c r="Z354" i="2"/>
  <c r="AG352" i="2" l="1"/>
  <c r="W352" i="2"/>
  <c r="AA354" i="2"/>
  <c r="AB354" i="2" s="1"/>
  <c r="V359" i="2" s="1"/>
  <c r="S359" i="2" s="1"/>
  <c r="U359" i="2" s="1"/>
  <c r="AA348" i="2"/>
  <c r="AB348" i="2" s="1"/>
  <c r="V353" i="2" s="1"/>
  <c r="S353" i="2" s="1"/>
  <c r="U353" i="2" s="1"/>
  <c r="AA345" i="2"/>
  <c r="AB345" i="2" s="1"/>
  <c r="V350" i="2" s="1"/>
  <c r="S350" i="2" s="1"/>
  <c r="U350" i="2" s="1"/>
  <c r="Y356" i="2"/>
  <c r="X356" i="2"/>
  <c r="AE356" i="2" s="1"/>
  <c r="W353" i="2" l="1"/>
  <c r="AG353" i="2"/>
  <c r="AG350" i="2"/>
  <c r="W350" i="2"/>
  <c r="AG359" i="2"/>
  <c r="W359" i="2"/>
  <c r="Z356" i="2"/>
  <c r="Y352" i="2"/>
  <c r="X352" i="2"/>
  <c r="AE352" i="2" s="1"/>
  <c r="Z352" i="2" l="1"/>
  <c r="AA356" i="2"/>
  <c r="AB356" i="2" s="1"/>
  <c r="V361" i="2" s="1"/>
  <c r="S361" i="2" s="1"/>
  <c r="U361" i="2" s="1"/>
  <c r="Y359" i="2"/>
  <c r="X359" i="2"/>
  <c r="AE359" i="2" s="1"/>
  <c r="Z359" i="2"/>
  <c r="X350" i="2"/>
  <c r="AE350" i="2" s="1"/>
  <c r="Z350" i="2"/>
  <c r="Y350" i="2"/>
  <c r="Y353" i="2"/>
  <c r="X353" i="2"/>
  <c r="AE353" i="2" s="1"/>
  <c r="W361" i="2" l="1"/>
  <c r="AG361" i="2"/>
  <c r="Z353" i="2"/>
  <c r="AA350" i="2"/>
  <c r="AB350" i="2" s="1"/>
  <c r="V355" i="2" s="1"/>
  <c r="S355" i="2" s="1"/>
  <c r="U355" i="2" s="1"/>
  <c r="AA359" i="2"/>
  <c r="AB359" i="2" s="1"/>
  <c r="V364" i="2" s="1"/>
  <c r="S364" i="2" s="1"/>
  <c r="U364" i="2" s="1"/>
  <c r="AA352" i="2"/>
  <c r="AB352" i="2" s="1"/>
  <c r="V357" i="2" s="1"/>
  <c r="S357" i="2" s="1"/>
  <c r="U357" i="2" s="1"/>
  <c r="W364" i="2" l="1"/>
  <c r="AG364" i="2"/>
  <c r="W357" i="2"/>
  <c r="AG357" i="2"/>
  <c r="AG355" i="2"/>
  <c r="W355" i="2"/>
  <c r="AA353" i="2"/>
  <c r="AB353" i="2" s="1"/>
  <c r="V358" i="2" s="1"/>
  <c r="S358" i="2" s="1"/>
  <c r="U358" i="2" s="1"/>
  <c r="Y361" i="2"/>
  <c r="X361" i="2"/>
  <c r="AE361" i="2" s="1"/>
  <c r="W358" i="2" l="1"/>
  <c r="AG358" i="2"/>
  <c r="Z361" i="2"/>
  <c r="Y355" i="2"/>
  <c r="X355" i="2"/>
  <c r="AE355" i="2" s="1"/>
  <c r="Z355" i="2"/>
  <c r="Y357" i="2"/>
  <c r="X357" i="2"/>
  <c r="AE357" i="2" s="1"/>
  <c r="Z357" i="2"/>
  <c r="X364" i="2"/>
  <c r="AE364" i="2" s="1"/>
  <c r="Y364" i="2"/>
  <c r="AA357" i="2" l="1"/>
  <c r="AB357" i="2" s="1"/>
  <c r="V362" i="2" s="1"/>
  <c r="S362" i="2" s="1"/>
  <c r="U362" i="2" s="1"/>
  <c r="Z364" i="2"/>
  <c r="AA355" i="2"/>
  <c r="AB355" i="2"/>
  <c r="V360" i="2" s="1"/>
  <c r="S360" i="2" s="1"/>
  <c r="U360" i="2" s="1"/>
  <c r="AA361" i="2"/>
  <c r="AB361" i="2"/>
  <c r="V366" i="2" s="1"/>
  <c r="S366" i="2" s="1"/>
  <c r="U366" i="2" s="1"/>
  <c r="X358" i="2"/>
  <c r="AE358" i="2" s="1"/>
  <c r="Z358" i="2"/>
  <c r="Y358" i="2"/>
  <c r="AG362" i="2" l="1"/>
  <c r="W362" i="2"/>
  <c r="W366" i="2"/>
  <c r="AG366" i="2"/>
  <c r="AA358" i="2"/>
  <c r="AB358" i="2" s="1"/>
  <c r="V363" i="2" s="1"/>
  <c r="S363" i="2" s="1"/>
  <c r="U363" i="2" s="1"/>
  <c r="AG360" i="2"/>
  <c r="W360" i="2"/>
  <c r="AA364" i="2"/>
  <c r="AB364" i="2" s="1"/>
  <c r="V369" i="2" s="1"/>
  <c r="S369" i="2" s="1"/>
  <c r="U369" i="2" s="1"/>
  <c r="W369" i="2" l="1"/>
  <c r="AG369" i="2"/>
  <c r="W363" i="2"/>
  <c r="AG363" i="2"/>
  <c r="Y360" i="2"/>
  <c r="X360" i="2"/>
  <c r="AE360" i="2" s="1"/>
  <c r="X366" i="2"/>
  <c r="AE366" i="2" s="1"/>
  <c r="Y366" i="2"/>
  <c r="Y362" i="2"/>
  <c r="X362" i="2"/>
  <c r="AE362" i="2" s="1"/>
  <c r="Z366" i="2" l="1"/>
  <c r="Z360" i="2"/>
  <c r="Y363" i="2"/>
  <c r="X363" i="2"/>
  <c r="AE363" i="2" s="1"/>
  <c r="Z362" i="2"/>
  <c r="X369" i="2"/>
  <c r="AE369" i="2" s="1"/>
  <c r="Z369" i="2"/>
  <c r="Y369" i="2"/>
  <c r="AA369" i="2" l="1"/>
  <c r="AB369" i="2"/>
  <c r="V374" i="2" s="1"/>
  <c r="S374" i="2" s="1"/>
  <c r="U374" i="2" s="1"/>
  <c r="AA360" i="2"/>
  <c r="AB360" i="2" s="1"/>
  <c r="V365" i="2" s="1"/>
  <c r="S365" i="2" s="1"/>
  <c r="U365" i="2" s="1"/>
  <c r="AA362" i="2"/>
  <c r="AB362" i="2" s="1"/>
  <c r="V367" i="2" s="1"/>
  <c r="S367" i="2" s="1"/>
  <c r="U367" i="2" s="1"/>
  <c r="Z363" i="2"/>
  <c r="AA366" i="2"/>
  <c r="AB366" i="2" s="1"/>
  <c r="V371" i="2" s="1"/>
  <c r="S371" i="2" s="1"/>
  <c r="U371" i="2" s="1"/>
  <c r="AG367" i="2" l="1"/>
  <c r="W367" i="2"/>
  <c r="AG371" i="2"/>
  <c r="W371" i="2"/>
  <c r="W365" i="2"/>
  <c r="AG365" i="2"/>
  <c r="AA363" i="2"/>
  <c r="AB363" i="2" s="1"/>
  <c r="V368" i="2" s="1"/>
  <c r="S368" i="2" s="1"/>
  <c r="U368" i="2" s="1"/>
  <c r="AG374" i="2"/>
  <c r="W374" i="2"/>
  <c r="AG368" i="2" l="1"/>
  <c r="W368" i="2"/>
  <c r="Y374" i="2"/>
  <c r="X374" i="2"/>
  <c r="AE374" i="2" s="1"/>
  <c r="Z374" i="2"/>
  <c r="Y365" i="2"/>
  <c r="X365" i="2"/>
  <c r="AE365" i="2" s="1"/>
  <c r="Y371" i="2"/>
  <c r="X371" i="2"/>
  <c r="AE371" i="2" s="1"/>
  <c r="Y367" i="2"/>
  <c r="X367" i="2"/>
  <c r="AE367" i="2" s="1"/>
  <c r="Z365" i="2" l="1"/>
  <c r="AA374" i="2"/>
  <c r="AB374" i="2" s="1"/>
  <c r="V379" i="2" s="1"/>
  <c r="S379" i="2" s="1"/>
  <c r="U379" i="2" s="1"/>
  <c r="Y368" i="2"/>
  <c r="X368" i="2"/>
  <c r="AE368" i="2" s="1"/>
  <c r="Z371" i="2"/>
  <c r="Z367" i="2"/>
  <c r="W379" i="2" l="1"/>
  <c r="AG379" i="2"/>
  <c r="AA367" i="2"/>
  <c r="AB367" i="2" s="1"/>
  <c r="V372" i="2" s="1"/>
  <c r="S372" i="2" s="1"/>
  <c r="U372" i="2" s="1"/>
  <c r="Z368" i="2"/>
  <c r="AA371" i="2"/>
  <c r="AB371" i="2"/>
  <c r="V376" i="2" s="1"/>
  <c r="S376" i="2" s="1"/>
  <c r="U376" i="2" s="1"/>
  <c r="AA365" i="2"/>
  <c r="AB365" i="2" s="1"/>
  <c r="V370" i="2" s="1"/>
  <c r="S370" i="2" s="1"/>
  <c r="U370" i="2" s="1"/>
  <c r="W370" i="2" l="1"/>
  <c r="AG370" i="2"/>
  <c r="W372" i="2"/>
  <c r="AG372" i="2"/>
  <c r="W376" i="2"/>
  <c r="AG376" i="2"/>
  <c r="AA368" i="2"/>
  <c r="AB368" i="2" s="1"/>
  <c r="V373" i="2" s="1"/>
  <c r="S373" i="2" s="1"/>
  <c r="U373" i="2" s="1"/>
  <c r="Y379" i="2"/>
  <c r="X379" i="2"/>
  <c r="AE379" i="2" s="1"/>
  <c r="W373" i="2" l="1"/>
  <c r="AG373" i="2"/>
  <c r="Z379" i="2"/>
  <c r="Y376" i="2"/>
  <c r="X376" i="2"/>
  <c r="AE376" i="2" s="1"/>
  <c r="Y372" i="2"/>
  <c r="X372" i="2"/>
  <c r="AE372" i="2" s="1"/>
  <c r="X370" i="2"/>
  <c r="AE370" i="2" s="1"/>
  <c r="Z370" i="2"/>
  <c r="Y370" i="2"/>
  <c r="AA370" i="2" l="1"/>
  <c r="AB370" i="2" s="1"/>
  <c r="V375" i="2" s="1"/>
  <c r="S375" i="2" s="1"/>
  <c r="U375" i="2" s="1"/>
  <c r="Z372" i="2"/>
  <c r="Z376" i="2"/>
  <c r="AA379" i="2"/>
  <c r="AB379" i="2" s="1"/>
  <c r="V384" i="2" s="1"/>
  <c r="S384" i="2" s="1"/>
  <c r="U384" i="2" s="1"/>
  <c r="X373" i="2"/>
  <c r="AE373" i="2" s="1"/>
  <c r="Y373" i="2"/>
  <c r="W375" i="2" l="1"/>
  <c r="AG375" i="2"/>
  <c r="AG384" i="2"/>
  <c r="W384" i="2"/>
  <c r="AA376" i="2"/>
  <c r="AB376" i="2" s="1"/>
  <c r="V381" i="2" s="1"/>
  <c r="S381" i="2" s="1"/>
  <c r="U381" i="2" s="1"/>
  <c r="AA372" i="2"/>
  <c r="AB372" i="2" s="1"/>
  <c r="V377" i="2" s="1"/>
  <c r="S377" i="2" s="1"/>
  <c r="U377" i="2" s="1"/>
  <c r="Z373" i="2"/>
  <c r="W377" i="2" l="1"/>
  <c r="AG377" i="2"/>
  <c r="AG381" i="2"/>
  <c r="W381" i="2"/>
  <c r="AA373" i="2"/>
  <c r="AB373" i="2"/>
  <c r="V378" i="2" s="1"/>
  <c r="S378" i="2" s="1"/>
  <c r="U378" i="2" s="1"/>
  <c r="Y384" i="2"/>
  <c r="X384" i="2"/>
  <c r="AE384" i="2" s="1"/>
  <c r="Z384" i="2"/>
  <c r="Y375" i="2"/>
  <c r="X375" i="2"/>
  <c r="AE375" i="2" s="1"/>
  <c r="Z375" i="2" l="1"/>
  <c r="AA384" i="2"/>
  <c r="AB384" i="2" s="1"/>
  <c r="V389" i="2" s="1"/>
  <c r="S389" i="2" s="1"/>
  <c r="U389" i="2" s="1"/>
  <c r="AG378" i="2"/>
  <c r="W378" i="2"/>
  <c r="Y381" i="2"/>
  <c r="X381" i="2"/>
  <c r="AE381" i="2" s="1"/>
  <c r="Z381" i="2"/>
  <c r="X377" i="2"/>
  <c r="AE377" i="2" s="1"/>
  <c r="Y377" i="2"/>
  <c r="W389" i="2" l="1"/>
  <c r="AG389" i="2"/>
  <c r="Y378" i="2"/>
  <c r="X378" i="2"/>
  <c r="AE378" i="2" s="1"/>
  <c r="Z378" i="2"/>
  <c r="Z377" i="2"/>
  <c r="AA381" i="2"/>
  <c r="AB381" i="2" s="1"/>
  <c r="V386" i="2" s="1"/>
  <c r="S386" i="2" s="1"/>
  <c r="U386" i="2" s="1"/>
  <c r="AA375" i="2"/>
  <c r="AB375" i="2" s="1"/>
  <c r="V380" i="2" s="1"/>
  <c r="S380" i="2" s="1"/>
  <c r="U380" i="2" s="1"/>
  <c r="W380" i="2" l="1"/>
  <c r="AG380" i="2"/>
  <c r="W386" i="2"/>
  <c r="AG386" i="2"/>
  <c r="AA377" i="2"/>
  <c r="AB377" i="2" s="1"/>
  <c r="V382" i="2" s="1"/>
  <c r="S382" i="2" s="1"/>
  <c r="U382" i="2" s="1"/>
  <c r="AA378" i="2"/>
  <c r="AB378" i="2"/>
  <c r="V383" i="2" s="1"/>
  <c r="S383" i="2" s="1"/>
  <c r="U383" i="2" s="1"/>
  <c r="X389" i="2"/>
  <c r="AE389" i="2" s="1"/>
  <c r="Y389" i="2"/>
  <c r="AG382" i="2" l="1"/>
  <c r="W382" i="2"/>
  <c r="Z389" i="2"/>
  <c r="AG383" i="2"/>
  <c r="W383" i="2"/>
  <c r="X386" i="2"/>
  <c r="AE386" i="2" s="1"/>
  <c r="Z386" i="2"/>
  <c r="Y386" i="2"/>
  <c r="X380" i="2"/>
  <c r="AE380" i="2" s="1"/>
  <c r="Y380" i="2"/>
  <c r="AA386" i="2" l="1"/>
  <c r="AB386" i="2" s="1"/>
  <c r="V391" i="2" s="1"/>
  <c r="S391" i="2" s="1"/>
  <c r="U391" i="2" s="1"/>
  <c r="Z380" i="2"/>
  <c r="X383" i="2"/>
  <c r="AE383" i="2" s="1"/>
  <c r="Y383" i="2"/>
  <c r="AA389" i="2"/>
  <c r="AB389" i="2" s="1"/>
  <c r="V394" i="2" s="1"/>
  <c r="S394" i="2" s="1"/>
  <c r="U394" i="2" s="1"/>
  <c r="Y382" i="2"/>
  <c r="X382" i="2"/>
  <c r="AE382" i="2" s="1"/>
  <c r="AG394" i="2" l="1"/>
  <c r="W394" i="2"/>
  <c r="W391" i="2"/>
  <c r="AG391" i="2"/>
  <c r="AA380" i="2"/>
  <c r="AB380" i="2" s="1"/>
  <c r="V385" i="2" s="1"/>
  <c r="S385" i="2" s="1"/>
  <c r="U385" i="2" s="1"/>
  <c r="Z382" i="2"/>
  <c r="Z383" i="2"/>
  <c r="W385" i="2" l="1"/>
  <c r="AG385" i="2"/>
  <c r="AA383" i="2"/>
  <c r="AB383" i="2"/>
  <c r="V388" i="2" s="1"/>
  <c r="S388" i="2" s="1"/>
  <c r="U388" i="2" s="1"/>
  <c r="AA382" i="2"/>
  <c r="AB382" i="2" s="1"/>
  <c r="V387" i="2" s="1"/>
  <c r="S387" i="2" s="1"/>
  <c r="U387" i="2" s="1"/>
  <c r="Y391" i="2"/>
  <c r="X391" i="2"/>
  <c r="AE391" i="2" s="1"/>
  <c r="Y394" i="2"/>
  <c r="X394" i="2"/>
  <c r="AE394" i="2" s="1"/>
  <c r="AG387" i="2" l="1"/>
  <c r="W387" i="2"/>
  <c r="Z394" i="2"/>
  <c r="Z391" i="2"/>
  <c r="W388" i="2"/>
  <c r="AG388" i="2"/>
  <c r="X385" i="2"/>
  <c r="AE385" i="2" s="1"/>
  <c r="Y385" i="2"/>
  <c r="Z385" i="2" l="1"/>
  <c r="AA391" i="2"/>
  <c r="AB391" i="2" s="1"/>
  <c r="V396" i="2" s="1"/>
  <c r="S396" i="2" s="1"/>
  <c r="U396" i="2" s="1"/>
  <c r="Y388" i="2"/>
  <c r="X388" i="2"/>
  <c r="AE388" i="2" s="1"/>
  <c r="AA394" i="2"/>
  <c r="AB394" i="2" s="1"/>
  <c r="V399" i="2" s="1"/>
  <c r="S399" i="2" s="1"/>
  <c r="U399" i="2" s="1"/>
  <c r="X387" i="2"/>
  <c r="AE387" i="2" s="1"/>
  <c r="Y387" i="2"/>
  <c r="AG399" i="2" l="1"/>
  <c r="W399" i="2"/>
  <c r="AG396" i="2"/>
  <c r="W396" i="2"/>
  <c r="Z387" i="2"/>
  <c r="Z388" i="2"/>
  <c r="AA385" i="2"/>
  <c r="AB385" i="2" s="1"/>
  <c r="V390" i="2" s="1"/>
  <c r="S390" i="2" s="1"/>
  <c r="U390" i="2" s="1"/>
  <c r="AG390" i="2" l="1"/>
  <c r="W390" i="2"/>
  <c r="AA388" i="2"/>
  <c r="AB388" i="2" s="1"/>
  <c r="V393" i="2" s="1"/>
  <c r="S393" i="2" s="1"/>
  <c r="U393" i="2" s="1"/>
  <c r="AA387" i="2"/>
  <c r="AB387" i="2" s="1"/>
  <c r="V392" i="2" s="1"/>
  <c r="S392" i="2" s="1"/>
  <c r="U392" i="2" s="1"/>
  <c r="X396" i="2"/>
  <c r="AE396" i="2" s="1"/>
  <c r="Z396" i="2"/>
  <c r="Y396" i="2"/>
  <c r="X399" i="2"/>
  <c r="AE399" i="2" s="1"/>
  <c r="Y399" i="2"/>
  <c r="W392" i="2" l="1"/>
  <c r="AG392" i="2"/>
  <c r="AG393" i="2"/>
  <c r="W393" i="2"/>
  <c r="Z399" i="2"/>
  <c r="Y390" i="2"/>
  <c r="X390" i="2"/>
  <c r="AE390" i="2" s="1"/>
  <c r="AA396" i="2"/>
  <c r="AB396" i="2" s="1"/>
  <c r="V401" i="2" s="1"/>
  <c r="S401" i="2" s="1"/>
  <c r="U401" i="2" s="1"/>
  <c r="W401" i="2" l="1"/>
  <c r="AG401" i="2"/>
  <c r="Z390" i="2"/>
  <c r="AA399" i="2"/>
  <c r="AB399" i="2" s="1"/>
  <c r="V404" i="2" s="1"/>
  <c r="S404" i="2" s="1"/>
  <c r="U404" i="2" s="1"/>
  <c r="Y393" i="2"/>
  <c r="X393" i="2"/>
  <c r="AE393" i="2" s="1"/>
  <c r="X392" i="2"/>
  <c r="AE392" i="2" s="1"/>
  <c r="Y392" i="2"/>
  <c r="W404" i="2" l="1"/>
  <c r="AG404" i="2"/>
  <c r="Z392" i="2"/>
  <c r="Z393" i="2"/>
  <c r="AA390" i="2"/>
  <c r="AB390" i="2"/>
  <c r="V395" i="2" s="1"/>
  <c r="S395" i="2" s="1"/>
  <c r="U395" i="2" s="1"/>
  <c r="X401" i="2"/>
  <c r="AE401" i="2" s="1"/>
  <c r="Y401" i="2"/>
  <c r="Z401" i="2" l="1"/>
  <c r="W395" i="2"/>
  <c r="AG395" i="2"/>
  <c r="AA393" i="2"/>
  <c r="AB393" i="2" s="1"/>
  <c r="V398" i="2" s="1"/>
  <c r="S398" i="2" s="1"/>
  <c r="U398" i="2" s="1"/>
  <c r="AA392" i="2"/>
  <c r="AB392" i="2" s="1"/>
  <c r="V397" i="2" s="1"/>
  <c r="S397" i="2" s="1"/>
  <c r="U397" i="2" s="1"/>
  <c r="X404" i="2"/>
  <c r="AE404" i="2" s="1"/>
  <c r="Y404" i="2"/>
  <c r="W398" i="2" l="1"/>
  <c r="AG398" i="2"/>
  <c r="Z404" i="2"/>
  <c r="W397" i="2"/>
  <c r="AG397" i="2"/>
  <c r="Y395" i="2"/>
  <c r="X395" i="2"/>
  <c r="AE395" i="2" s="1"/>
  <c r="AA401" i="2"/>
  <c r="AB401" i="2" s="1"/>
  <c r="V406" i="2" s="1"/>
  <c r="S406" i="2" s="1"/>
  <c r="U406" i="2" s="1"/>
  <c r="W406" i="2" l="1"/>
  <c r="AG406" i="2"/>
  <c r="Z395" i="2"/>
  <c r="X397" i="2"/>
  <c r="AE397" i="2" s="1"/>
  <c r="Y397" i="2"/>
  <c r="Z397" i="2"/>
  <c r="AA404" i="2"/>
  <c r="AB404" i="2" s="1"/>
  <c r="V409" i="2" s="1"/>
  <c r="S409" i="2" s="1"/>
  <c r="U409" i="2" s="1"/>
  <c r="X398" i="2"/>
  <c r="AE398" i="2" s="1"/>
  <c r="Y398" i="2"/>
  <c r="AG409" i="2" l="1"/>
  <c r="W409" i="2"/>
  <c r="Z398" i="2"/>
  <c r="AA397" i="2"/>
  <c r="AB397" i="2" s="1"/>
  <c r="V402" i="2" s="1"/>
  <c r="S402" i="2" s="1"/>
  <c r="U402" i="2" s="1"/>
  <c r="AA395" i="2"/>
  <c r="AB395" i="2" s="1"/>
  <c r="V400" i="2" s="1"/>
  <c r="S400" i="2" s="1"/>
  <c r="U400" i="2" s="1"/>
  <c r="Y406" i="2"/>
  <c r="X406" i="2"/>
  <c r="AE406" i="2" s="1"/>
  <c r="W400" i="2" l="1"/>
  <c r="AG400" i="2"/>
  <c r="AG402" i="2"/>
  <c r="W402" i="2"/>
  <c r="Z406" i="2"/>
  <c r="AA398" i="2"/>
  <c r="AB398" i="2" s="1"/>
  <c r="V403" i="2" s="1"/>
  <c r="S403" i="2" s="1"/>
  <c r="U403" i="2" s="1"/>
  <c r="X409" i="2"/>
  <c r="AE409" i="2" s="1"/>
  <c r="Y409" i="2"/>
  <c r="W403" i="2" l="1"/>
  <c r="AG403" i="2"/>
  <c r="Y402" i="2"/>
  <c r="X402" i="2"/>
  <c r="AE402" i="2" s="1"/>
  <c r="Z409" i="2"/>
  <c r="AA406" i="2"/>
  <c r="AB406" i="2" s="1"/>
  <c r="V411" i="2" s="1"/>
  <c r="S411" i="2" s="1"/>
  <c r="U411" i="2" s="1"/>
  <c r="Y400" i="2"/>
  <c r="X400" i="2"/>
  <c r="AE400" i="2" s="1"/>
  <c r="Z402" i="2" l="1"/>
  <c r="AG411" i="2"/>
  <c r="W411" i="2"/>
  <c r="Z400" i="2"/>
  <c r="AA409" i="2"/>
  <c r="AB409" i="2" s="1"/>
  <c r="V414" i="2" s="1"/>
  <c r="S414" i="2" s="1"/>
  <c r="U414" i="2" s="1"/>
  <c r="AA402" i="2"/>
  <c r="AB402" i="2" s="1"/>
  <c r="V407" i="2" s="1"/>
  <c r="S407" i="2" s="1"/>
  <c r="U407" i="2" s="1"/>
  <c r="Y403" i="2"/>
  <c r="X403" i="2"/>
  <c r="AE403" i="2" s="1"/>
  <c r="AG414" i="2" l="1"/>
  <c r="W414" i="2"/>
  <c r="Z403" i="2"/>
  <c r="W407" i="2"/>
  <c r="AG407" i="2"/>
  <c r="AA400" i="2"/>
  <c r="AB400" i="2" s="1"/>
  <c r="V405" i="2" s="1"/>
  <c r="S405" i="2" s="1"/>
  <c r="U405" i="2" s="1"/>
  <c r="X411" i="2"/>
  <c r="AE411" i="2" s="1"/>
  <c r="Z411" i="2"/>
  <c r="Y411" i="2"/>
  <c r="W405" i="2" l="1"/>
  <c r="AG405" i="2"/>
  <c r="AA411" i="2"/>
  <c r="AB411" i="2"/>
  <c r="V416" i="2" s="1"/>
  <c r="S416" i="2" s="1"/>
  <c r="U416" i="2" s="1"/>
  <c r="X407" i="2"/>
  <c r="AE407" i="2" s="1"/>
  <c r="Y407" i="2"/>
  <c r="AA403" i="2"/>
  <c r="AB403" i="2" s="1"/>
  <c r="V408" i="2" s="1"/>
  <c r="S408" i="2" s="1"/>
  <c r="U408" i="2" s="1"/>
  <c r="Y414" i="2"/>
  <c r="X414" i="2"/>
  <c r="AE414" i="2" s="1"/>
  <c r="Z414" i="2"/>
  <c r="AG408" i="2" l="1"/>
  <c r="W408" i="2"/>
  <c r="Z407" i="2"/>
  <c r="AA414" i="2"/>
  <c r="AB414" i="2" s="1"/>
  <c r="V419" i="2" s="1"/>
  <c r="S419" i="2" s="1"/>
  <c r="U419" i="2" s="1"/>
  <c r="W416" i="2"/>
  <c r="AG416" i="2"/>
  <c r="Y405" i="2"/>
  <c r="X405" i="2"/>
  <c r="AE405" i="2" s="1"/>
  <c r="W419" i="2" l="1"/>
  <c r="AG419" i="2"/>
  <c r="Z405" i="2"/>
  <c r="X416" i="2"/>
  <c r="AE416" i="2" s="1"/>
  <c r="Y416" i="2"/>
  <c r="AA407" i="2"/>
  <c r="AB407" i="2" s="1"/>
  <c r="V412" i="2" s="1"/>
  <c r="S412" i="2" s="1"/>
  <c r="U412" i="2" s="1"/>
  <c r="Y408" i="2"/>
  <c r="X408" i="2"/>
  <c r="AE408" i="2" s="1"/>
  <c r="Z408" i="2"/>
  <c r="W412" i="2" l="1"/>
  <c r="AG412" i="2"/>
  <c r="AA408" i="2"/>
  <c r="AB408" i="2" s="1"/>
  <c r="V413" i="2" s="1"/>
  <c r="S413" i="2" s="1"/>
  <c r="U413" i="2" s="1"/>
  <c r="Z416" i="2"/>
  <c r="AA405" i="2"/>
  <c r="AB405" i="2" s="1"/>
  <c r="V410" i="2" s="1"/>
  <c r="S410" i="2" s="1"/>
  <c r="U410" i="2" s="1"/>
  <c r="Y419" i="2"/>
  <c r="X419" i="2"/>
  <c r="AE419" i="2" s="1"/>
  <c r="Z419" i="2"/>
  <c r="W410" i="2" l="1"/>
  <c r="AG410" i="2"/>
  <c r="W413" i="2"/>
  <c r="AG413" i="2"/>
  <c r="AA419" i="2"/>
  <c r="AB419" i="2" s="1"/>
  <c r="AA416" i="2"/>
  <c r="AB416" i="2" s="1"/>
  <c r="V421" i="2" s="1"/>
  <c r="S421" i="2" s="1"/>
  <c r="U421" i="2" s="1"/>
  <c r="Y412" i="2"/>
  <c r="X412" i="2"/>
  <c r="AE412" i="2" s="1"/>
  <c r="Z412" i="2"/>
  <c r="W421" i="2" l="1"/>
  <c r="AG421" i="2"/>
  <c r="AA412" i="2"/>
  <c r="AB412" i="2" s="1"/>
  <c r="V417" i="2" s="1"/>
  <c r="S417" i="2" s="1"/>
  <c r="U417" i="2" s="1"/>
  <c r="X413" i="2"/>
  <c r="AE413" i="2" s="1"/>
  <c r="Y413" i="2"/>
  <c r="Y410" i="2"/>
  <c r="X410" i="2"/>
  <c r="AE410" i="2" s="1"/>
  <c r="W417" i="2" l="1"/>
  <c r="AG417" i="2"/>
  <c r="Z413" i="2"/>
  <c r="Z410" i="2"/>
  <c r="Y421" i="2"/>
  <c r="X421" i="2"/>
  <c r="AE421" i="2" l="1"/>
  <c r="D19" i="3"/>
  <c r="D17" i="3"/>
  <c r="F19" i="3"/>
  <c r="F17" i="3"/>
  <c r="F15" i="3"/>
  <c r="Z421" i="2"/>
  <c r="AB410" i="2"/>
  <c r="V415" i="2" s="1"/>
  <c r="S415" i="2" s="1"/>
  <c r="U415" i="2" s="1"/>
  <c r="AA410" i="2"/>
  <c r="AA413" i="2"/>
  <c r="AB413" i="2"/>
  <c r="V418" i="2" s="1"/>
  <c r="S418" i="2" s="1"/>
  <c r="U418" i="2" s="1"/>
  <c r="Y417" i="2"/>
  <c r="X417" i="2"/>
  <c r="AE417" i="2" s="1"/>
  <c r="Z417" i="2"/>
  <c r="W418" i="2" l="1"/>
  <c r="AG418" i="2"/>
  <c r="W415" i="2"/>
  <c r="AG415" i="2"/>
  <c r="AA417" i="2"/>
  <c r="AB417" i="2" s="1"/>
  <c r="AA421" i="2"/>
  <c r="AB421" i="2"/>
  <c r="D15" i="3"/>
  <c r="H19" i="3" l="1"/>
  <c r="H17" i="3"/>
  <c r="H15" i="3"/>
  <c r="Y415" i="2"/>
  <c r="X415" i="2"/>
  <c r="X418" i="2"/>
  <c r="Z418" i="2"/>
  <c r="Y418" i="2"/>
  <c r="F16" i="3" s="1"/>
  <c r="AA418" i="2" l="1"/>
  <c r="H16" i="3" s="1"/>
  <c r="AE418" i="2"/>
  <c r="D16" i="3"/>
  <c r="AE415" i="2"/>
  <c r="Z415" i="2"/>
  <c r="AA415" i="2" l="1"/>
  <c r="AB418" i="2"/>
  <c r="AB415" i="2" l="1"/>
  <c r="V420" i="2" s="1"/>
  <c r="S420" i="2" s="1"/>
  <c r="U420" i="2" s="1"/>
  <c r="W420" i="2" l="1"/>
  <c r="AG420" i="2"/>
  <c r="D10" i="3" s="1"/>
  <c r="Y420" i="2" l="1"/>
  <c r="X420" i="2"/>
  <c r="AE420" i="2" l="1"/>
  <c r="D6" i="3"/>
  <c r="D7" i="3" s="1"/>
  <c r="F5" i="3" s="1"/>
  <c r="D18" i="3"/>
  <c r="F18" i="3"/>
  <c r="D8" i="3"/>
  <c r="F6" i="3" s="1"/>
  <c r="Z420" i="2"/>
  <c r="AA420" i="2" l="1"/>
  <c r="D9" i="3" l="1"/>
  <c r="F7" i="3" s="1"/>
  <c r="H18" i="3"/>
  <c r="AB420" i="2"/>
</calcChain>
</file>

<file path=xl/sharedStrings.xml><?xml version="1.0" encoding="utf-8"?>
<sst xmlns="http://schemas.openxmlformats.org/spreadsheetml/2006/main" count="557" uniqueCount="122">
  <si>
    <t>DAIRY PRODUCTION &amp; INVENTORY PLANNING CASE STUDY</t>
  </si>
  <si>
    <t>Independent portfolio project | All demand, capacity, inventory and scenario records are synthetic; not Sudha Dairy operational data.</t>
  </si>
  <si>
    <t>Business question</t>
  </si>
  <si>
    <t>How can a dairy operation align production with demand while managing inventory, stockout risk, capacity and estimated write-offs?</t>
  </si>
  <si>
    <t>Scope</t>
  </si>
  <si>
    <t>84 days × 5 product categories = 420 synthetic SKU-day records.</t>
  </si>
  <si>
    <t>Product mix</t>
  </si>
  <si>
    <t>Toned milk, full cream milk, curd, lassi and paneer.</t>
  </si>
  <si>
    <t>Baseline scenario</t>
  </si>
  <si>
    <t>Plan production at 97% of forecast demand, carry opening inventory forward, and apply small execution variation.</t>
  </si>
  <si>
    <t>Improvement scenario</t>
  </si>
  <si>
    <t>Plan for forecast demand plus a product-specific target closing-stock buffer, less opening stock, capped by assumed daily capacity.</t>
  </si>
  <si>
    <t>Decision objective</t>
  </si>
  <si>
    <t>Compare service level, stockouts, estimated write-offs, forecast error and capacity utilisation before recommending a planning rule.</t>
  </si>
  <si>
    <t>Synthetic scenario result</t>
  </si>
  <si>
    <t>Value</t>
  </si>
  <si>
    <t>SKU-day records</t>
  </si>
  <si>
    <t>Mean absolute percentage error (MAPE)</t>
  </si>
  <si>
    <t>Baseline fill rate</t>
  </si>
  <si>
    <t>Inventory-aware scenario fill rate</t>
  </si>
  <si>
    <t>Baseline stockout units</t>
  </si>
  <si>
    <t>Inventory-aware scenario stockout units</t>
  </si>
  <si>
    <t>Modelled stockout reduction</t>
  </si>
  <si>
    <t>Baseline estimated write-off units</t>
  </si>
  <si>
    <t>Scenario estimated write-off units</t>
  </si>
  <si>
    <t>Modelled write-off change</t>
  </si>
  <si>
    <t>Important limitation: This is a learning model, not evidence of real-world savings. The write-off rate is an assumption, not observed expiry/FEFO data. In a real operation, validate the approach with actual forecast, batch, shelf-life, production and dispatch data before taking action.</t>
  </si>
  <si>
    <t>Date</t>
  </si>
  <si>
    <t>Product</t>
  </si>
  <si>
    <t>Shelf Life (days)</t>
  </si>
  <si>
    <t>Forecast Demand (units)</t>
  </si>
  <si>
    <t>Actual Demand (units)</t>
  </si>
  <si>
    <t>Daily Capacity (units)</t>
  </si>
  <si>
    <t>Baseline Planned Production</t>
  </si>
  <si>
    <t>Baseline Execution Factor</t>
  </si>
  <si>
    <t>Baseline Actual Production</t>
  </si>
  <si>
    <t>Baseline Opening Stock</t>
  </si>
  <si>
    <t>Baseline Available Stock</t>
  </si>
  <si>
    <t>Baseline Dispatched</t>
  </si>
  <si>
    <t>Baseline Stockout</t>
  </si>
  <si>
    <t>Baseline Pre-write-off Stock</t>
  </si>
  <si>
    <t>Write-off Rate Assumption</t>
  </si>
  <si>
    <t>Baseline Est. Write-off</t>
  </si>
  <si>
    <t>Baseline Closing Stock</t>
  </si>
  <si>
    <t>Target Closing Stock</t>
  </si>
  <si>
    <t>Recommended Planned Production</t>
  </si>
  <si>
    <t>Recommended Execution Factor</t>
  </si>
  <si>
    <t>Recommended Actual Production</t>
  </si>
  <si>
    <t>Recommended Opening Stock</t>
  </si>
  <si>
    <t>Recommended Available Stock</t>
  </si>
  <si>
    <t>Recommended Dispatched</t>
  </si>
  <si>
    <t>Recommended Stockout</t>
  </si>
  <si>
    <t>Recommended Pre-write-off Stock</t>
  </si>
  <si>
    <t>Recommended Est. Write-off</t>
  </si>
  <si>
    <t>Recommended Closing Stock</t>
  </si>
  <si>
    <t>Forecast Abs. % Error</t>
  </si>
  <si>
    <t>Baseline Fill Rate</t>
  </si>
  <si>
    <t>Recommended Fill Rate</t>
  </si>
  <si>
    <t>Baseline Capacity Utilisation</t>
  </si>
  <si>
    <t>Recommended Capacity Utilisation</t>
  </si>
  <si>
    <t>Toned Milk</t>
  </si>
  <si>
    <t>Full Cream Milk</t>
  </si>
  <si>
    <t>Curd</t>
  </si>
  <si>
    <t>Lassi</t>
  </si>
  <si>
    <t>Paneer</t>
  </si>
  <si>
    <t>DAIRY OPERATIONS: BASELINE VS INVENTORY-AWARE PLANNING</t>
  </si>
  <si>
    <t>Synthetic case study only | Not actual Sudha Dairy results</t>
  </si>
  <si>
    <t>Metric</t>
  </si>
  <si>
    <t>Baseline</t>
  </si>
  <si>
    <t>Recommended</t>
  </si>
  <si>
    <t>Comparison</t>
  </si>
  <si>
    <t>Result</t>
  </si>
  <si>
    <t>Demand units</t>
  </si>
  <si>
    <t>Fill rate change (pp)</t>
  </si>
  <si>
    <t>Dispatched units</t>
  </si>
  <si>
    <t>Stockout reduction</t>
  </si>
  <si>
    <t>Fill rate</t>
  </si>
  <si>
    <t>Write-off change</t>
  </si>
  <si>
    <t>Stockouts</t>
  </si>
  <si>
    <t>Planning rule</t>
  </si>
  <si>
    <t>Forecast + target-stock buffer</t>
  </si>
  <si>
    <t>Est. write-offs</t>
  </si>
  <si>
    <t>Dataset</t>
  </si>
  <si>
    <t>420 synthetic SKU-day records</t>
  </si>
  <si>
    <t>Avg. capacity util.</t>
  </si>
  <si>
    <t>Forecast MAPE</t>
  </si>
  <si>
    <t>Total Demand</t>
  </si>
  <si>
    <t>Baseline Write-off</t>
  </si>
  <si>
    <t>Recommended Write-off</t>
  </si>
  <si>
    <t>Planning logic: baseline = 97% of forecast demand. Recommended = forecast + target closing-stock buffer - opening stock, capped by capacity. Write-offs are assumed, not measured. Validate with actual batch, shelf-life, production and dispatch data before implementation.</t>
  </si>
  <si>
    <t>ROOT-CAUSE REVIEW &amp; ACTION PLAN</t>
  </si>
  <si>
    <t>Use these as hypotheses to investigate in this synthetic case. Confirm root causes with evidence; do not infer real Sudha Dairy performance.</t>
  </si>
  <si>
    <t>Issue / signal</t>
  </si>
  <si>
    <t>Evidence in scenario</t>
  </si>
  <si>
    <t>Possible explanation (hypothesis)</t>
  </si>
  <si>
    <t>Additional data to validate</t>
  </si>
  <si>
    <t>Potential action to test</t>
  </si>
  <si>
    <t>KPI to monitor</t>
  </si>
  <si>
    <t>High-volume milk contributes most baseline stockouts</t>
  </si>
  <si>
    <t>Toned milk is the largest demand and baseline-stockout category in the simulated dataset.</t>
  </si>
  <si>
    <t>A near-forecast plan may not leave enough buffer for demand variability or execution misses.</t>
  </si>
  <si>
    <t>Daily forecast, order cut-off, actual dispatch, capacity, downtime and shift-level plan adherence.</t>
  </si>
  <si>
    <t>Test a small demand- and service-level-based buffer for selected high-volume days; check cold-storage and shelf-life constraints.</t>
  </si>
  <si>
    <t>Fill rate, stockout units, forecast error, inventory cover</t>
  </si>
  <si>
    <t>Longer shelf-life products can carry extra stock in the scenario</t>
  </si>
  <si>
    <t>The planning rule can change write-off estimates differently by product; some categories increase.</t>
  </si>
  <si>
    <t>One buffer rule may not be suitable for all shelf-life groups; scenario assumptions may overstate benefit.</t>
  </si>
  <si>
    <t>Batch-level manufacture/expiry dates, FEFO dispatch, returns, write-offs and actual demand history.</t>
  </si>
  <si>
    <t>Use differentiated buffers by shelf life and validate through batch-age tracking before adoption.</t>
  </si>
  <si>
    <t>Expiry/waste units, days of inventory, service level</t>
  </si>
  <si>
    <t>Forecast misses vary by product and date</t>
  </si>
  <si>
    <t>The dataset deliberately includes demand variability; use the forecast-error column and sort by largest absolute error.</t>
  </si>
  <si>
    <t>Weekday patterns, promotions or unusual orders may explain repeated deviations; this synthetic dataset cannot confirm them.</t>
  </si>
  <si>
    <t>Order history, calendar/promotions, distributor demand, weather or local event information when available.</t>
  </si>
  <si>
    <t>Review repeated high-error periods and update assumptions or forecast segmentation.</t>
  </si>
  <si>
    <t>MAPE, bias, forecast variance</t>
  </si>
  <si>
    <t>Capacity can constrain an inventory-aware plan</t>
  </si>
  <si>
    <t>Recommended production is capped by the assumed daily capacity.</t>
  </si>
  <si>
    <t>The stock target may be infeasible on peak days even when the planning rule is sensible.</t>
  </si>
  <si>
    <t>Line capacity by shift, planned maintenance, changeover time, labour, packaging material and quality holds.</t>
  </si>
  <si>
    <t>Flag capacity-constrained days in the plan and align production sequencing with demand priority.</t>
  </si>
  <si>
    <t>Capacity utilisation, plan adherence, missed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</si>
</sst>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\-mmm\-yyyy"/>
    <numFmt numFmtId="166" formatCode="0.0"/>
  </numFmts>
  <fonts count="1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sz val="9"/>
      <name val="Carlito"/>
    </font>
    <font>
      <b/>
      <sz val="15"/>
      <color rgb="FFFFFFFF"/>
      <name val="Carlito"/>
    </font>
    <font>
      <i/>
      <sz val="11"/>
      <color rgb="FF333333"/>
      <name val="Carlito"/>
    </font>
    <font>
      <b/>
      <sz val="11"/>
      <color theme="9" tint="-0.499984740745262"/>
      <name val="Bahnschrift Light"/>
      <family val="2"/>
    </font>
    <font>
      <i/>
      <sz val="12"/>
      <color rgb="FF333333"/>
      <name val="Aparajita"/>
      <family val="1"/>
    </font>
    <font>
      <b/>
      <sz val="11"/>
      <color theme="9" tint="-0.499984740745262"/>
      <name val="Bahnschrift"/>
      <family val="2"/>
    </font>
    <font>
      <b/>
      <sz val="12"/>
      <name val="Carlito"/>
    </font>
    <font>
      <b/>
      <sz val="11"/>
      <name val="Cambria"/>
      <family val="1"/>
    </font>
    <font>
      <sz val="10"/>
      <color rgb="FFFF0000"/>
      <name val="Carlito"/>
    </font>
    <font>
      <sz val="9"/>
      <color rgb="FFFF0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0E5484"/>
      </patternFill>
    </fill>
    <fill>
      <patternFill patternType="solid">
        <fgColor rgb="FFFFF2C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/>
    <xf numFmtId="165" fontId="4" fillId="0" borderId="0" xfId="0" applyNumberFormat="1" applyFont="1" applyFill="1" applyBorder="1"/>
    <xf numFmtId="164" fontId="4" fillId="0" borderId="0" xfId="0" applyNumberFormat="1" applyFont="1" applyFill="1" applyBorder="1"/>
    <xf numFmtId="3" fontId="4" fillId="0" borderId="0" xfId="0" applyNumberFormat="1" applyFont="1" applyFill="1" applyBorder="1"/>
    <xf numFmtId="164" fontId="0" fillId="0" borderId="0" xfId="0" applyNumberFormat="1" applyFont="1" applyFill="1" applyBorder="1" applyAlignment="1">
      <alignment wrapText="1"/>
    </xf>
    <xf numFmtId="166" fontId="0" fillId="0" borderId="0" xfId="0" applyNumberFormat="1" applyFont="1" applyFill="1" applyBorder="1" applyAlignment="1">
      <alignment wrapText="1"/>
    </xf>
    <xf numFmtId="3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top" wrapText="1"/>
    </xf>
    <xf numFmtId="0" fontId="1" fillId="4" borderId="0" xfId="0" applyNumberFormat="1" applyFont="1" applyFill="1" applyBorder="1" applyAlignment="1">
      <alignment vertical="center"/>
    </xf>
    <xf numFmtId="0" fontId="8" fillId="5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/>
    <xf numFmtId="0" fontId="7" fillId="6" borderId="1" xfId="0" applyNumberFormat="1" applyFont="1" applyFill="1" applyBorder="1" applyAlignment="1">
      <alignment vertical="center" wrapText="1"/>
    </xf>
    <xf numFmtId="0" fontId="11" fillId="0" borderId="0" xfId="0" applyNumberFormat="1" applyFont="1" applyFill="1" applyBorder="1" applyAlignment="1">
      <alignment horizontal="center" wrapText="1"/>
    </xf>
    <xf numFmtId="0" fontId="9" fillId="6" borderId="0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164" fontId="10" fillId="0" borderId="0" xfId="0" applyNumberFormat="1" applyFont="1" applyFill="1" applyBorder="1" applyAlignment="1">
      <alignment vertical="center"/>
    </xf>
    <xf numFmtId="0" fontId="12" fillId="3" borderId="0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 applyAlignment="1">
      <alignment vertical="center"/>
    </xf>
    <xf numFmtId="0" fontId="6" fillId="6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horizontal="center"/>
    </xf>
    <xf numFmtId="0" fontId="3" fillId="4" borderId="1" xfId="0" applyNumberFormat="1" applyFont="1" applyFill="1" applyBorder="1" applyAlignment="1">
      <alignment horizontal="center" wrapText="1"/>
    </xf>
    <xf numFmtId="0" fontId="13" fillId="3" borderId="0" xfId="0" applyNumberFormat="1" applyFont="1" applyFill="1" applyBorder="1" applyAlignment="1">
      <alignment vertical="center" wrapText="1"/>
    </xf>
    <xf numFmtId="0" fontId="6" fillId="7" borderId="0" xfId="0" applyNumberFormat="1" applyFont="1" applyFill="1" applyBorder="1" applyAlignment="1">
      <alignment wrapText="1"/>
    </xf>
    <xf numFmtId="0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Baseline Fill Rate</c:v>
          </c:tx>
          <c:invertIfNegative val="1"/>
          <c:cat>
            <c:strRef>
              <c:f>'Operations Dashboard'!$A$15:$A$19</c:f>
              <c:strCache>
                <c:ptCount val="5"/>
                <c:pt idx="0">
                  <c:v>Toned Milk</c:v>
                </c:pt>
                <c:pt idx="1">
                  <c:v>Full Cream Milk</c:v>
                </c:pt>
                <c:pt idx="2">
                  <c:v>Curd</c:v>
                </c:pt>
                <c:pt idx="3">
                  <c:v>Lassi</c:v>
                </c:pt>
                <c:pt idx="4">
                  <c:v>Paneer</c:v>
                </c:pt>
              </c:strCache>
            </c:strRef>
          </c:cat>
          <c:val>
            <c:numRef>
              <c:f>'Operations Dashboard'!$C$15:$C$19</c:f>
              <c:numCache>
                <c:formatCode>0.0%</c:formatCode>
                <c:ptCount val="5"/>
                <c:pt idx="0">
                  <c:v>0.96644290828128232</c:v>
                </c:pt>
                <c:pt idx="1">
                  <c:v>0.96505404973640774</c:v>
                </c:pt>
                <c:pt idx="2">
                  <c:v>0.95736512426752884</c:v>
                </c:pt>
                <c:pt idx="3">
                  <c:v>0.94963866940359365</c:v>
                </c:pt>
                <c:pt idx="4">
                  <c:v>0.96949906703028566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8F-455F-B904-4D60C44ADAB2}"/>
            </c:ext>
          </c:extLst>
        </c:ser>
        <c:ser>
          <c:idx val="1"/>
          <c:order val="1"/>
          <c:tx>
            <c:v>Recommended Fill Rate</c:v>
          </c:tx>
          <c:invertIfNegative val="1"/>
          <c:cat>
            <c:strRef>
              <c:f>'Operations Dashboard'!$A$15:$A$19</c:f>
              <c:strCache>
                <c:ptCount val="5"/>
                <c:pt idx="0">
                  <c:v>Toned Milk</c:v>
                </c:pt>
                <c:pt idx="1">
                  <c:v>Full Cream Milk</c:v>
                </c:pt>
                <c:pt idx="2">
                  <c:v>Curd</c:v>
                </c:pt>
                <c:pt idx="3">
                  <c:v>Lassi</c:v>
                </c:pt>
                <c:pt idx="4">
                  <c:v>Paneer</c:v>
                </c:pt>
              </c:strCache>
            </c:strRef>
          </c:cat>
          <c:val>
            <c:numRef>
              <c:f>'Operations Dashboard'!$D$15:$D$19</c:f>
              <c:numCache>
                <c:formatCode>0.0%</c:formatCode>
                <c:ptCount val="5"/>
                <c:pt idx="0">
                  <c:v>0.99291394745788697</c:v>
                </c:pt>
                <c:pt idx="1">
                  <c:v>0.99451514990148571</c:v>
                </c:pt>
                <c:pt idx="2">
                  <c:v>0.9998652926517142</c:v>
                </c:pt>
                <c:pt idx="3">
                  <c:v>0.99985940443719601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8F-455F-B904-4D60C44A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rySKUData" displayName="DairySKUData" ref="A1:AG421" totalsRowShown="0">
  <tableColumns count="33">
    <tableColumn id="1" xr3:uid="{00000000-0010-0000-0000-000001000000}" name="Date"/>
    <tableColumn id="2" xr3:uid="{00000000-0010-0000-0000-000002000000}" name="Product"/>
    <tableColumn id="3" xr3:uid="{00000000-0010-0000-0000-000003000000}" name="Shelf Life (days)"/>
    <tableColumn id="4" xr3:uid="{00000000-0010-0000-0000-000004000000}" name="Forecast Demand (units)"/>
    <tableColumn id="5" xr3:uid="{00000000-0010-0000-0000-000005000000}" name="Actual Demand (units)"/>
    <tableColumn id="6" xr3:uid="{00000000-0010-0000-0000-000006000000}" name="Daily Capacity (units)"/>
    <tableColumn id="7" xr3:uid="{00000000-0010-0000-0000-000007000000}" name="Baseline Planned Production"/>
    <tableColumn id="8" xr3:uid="{00000000-0010-0000-0000-000008000000}" name="Baseline Execution Factor"/>
    <tableColumn id="9" xr3:uid="{00000000-0010-0000-0000-000009000000}" name="Baseline Actual Production"/>
    <tableColumn id="10" xr3:uid="{00000000-0010-0000-0000-00000A000000}" name="Baseline Opening Stock"/>
    <tableColumn id="11" xr3:uid="{00000000-0010-0000-0000-00000B000000}" name="Baseline Available Stock"/>
    <tableColumn id="12" xr3:uid="{00000000-0010-0000-0000-00000C000000}" name="Baseline Dispatched"/>
    <tableColumn id="13" xr3:uid="{00000000-0010-0000-0000-00000D000000}" name="Baseline Stockout"/>
    <tableColumn id="14" xr3:uid="{00000000-0010-0000-0000-00000E000000}" name="Baseline Pre-write-off Stock"/>
    <tableColumn id="15" xr3:uid="{00000000-0010-0000-0000-00000F000000}" name="Write-off Rate Assumption"/>
    <tableColumn id="16" xr3:uid="{00000000-0010-0000-0000-000010000000}" name="Baseline Est. Write-off"/>
    <tableColumn id="17" xr3:uid="{00000000-0010-0000-0000-000011000000}" name="Baseline Closing Stock"/>
    <tableColumn id="18" xr3:uid="{00000000-0010-0000-0000-000012000000}" name="Target Closing Stock"/>
    <tableColumn id="19" xr3:uid="{00000000-0010-0000-0000-000013000000}" name="Recommended Planned Production"/>
    <tableColumn id="20" xr3:uid="{00000000-0010-0000-0000-000014000000}" name="Recommended Execution Factor"/>
    <tableColumn id="21" xr3:uid="{00000000-0010-0000-0000-000015000000}" name="Recommended Actual Production"/>
    <tableColumn id="22" xr3:uid="{00000000-0010-0000-0000-000016000000}" name="Recommended Opening Stock"/>
    <tableColumn id="23" xr3:uid="{00000000-0010-0000-0000-000017000000}" name="Recommended Available Stock"/>
    <tableColumn id="24" xr3:uid="{00000000-0010-0000-0000-000018000000}" name="Recommended Dispatched"/>
    <tableColumn id="25" xr3:uid="{00000000-0010-0000-0000-000019000000}" name="Recommended Stockout"/>
    <tableColumn id="26" xr3:uid="{00000000-0010-0000-0000-00001A000000}" name="Recommended Pre-write-off Stock"/>
    <tableColumn id="27" xr3:uid="{00000000-0010-0000-0000-00001B000000}" name="Recommended Est. Write-off"/>
    <tableColumn id="28" xr3:uid="{00000000-0010-0000-0000-00001C000000}" name="Recommended Closing Stock"/>
    <tableColumn id="29" xr3:uid="{00000000-0010-0000-0000-00001D000000}" name="Forecast Abs. % Error"/>
    <tableColumn id="30" xr3:uid="{00000000-0010-0000-0000-00001E000000}" name="Baseline Fill Rate"/>
    <tableColumn id="31" xr3:uid="{00000000-0010-0000-0000-00001F000000}" name="Recommended Fill Rate"/>
    <tableColumn id="32" xr3:uid="{00000000-0010-0000-0000-000020000000}" name="Baseline Capacity Utilisation"/>
    <tableColumn id="33" xr3:uid="{00000000-0010-0000-0000-000021000000}" name="Recommended Capacity Utilis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zoomScale="70" workbookViewId="0">
      <pane ySplit="2" topLeftCell="A9" activePane="bottomLeft" state="frozen"/>
      <selection pane="bottomLeft" activeCell="A23" sqref="A23:F24"/>
    </sheetView>
  </sheetViews>
  <sheetFormatPr defaultRowHeight="14"/>
  <cols>
    <col min="1" max="1" width="39" customWidth="1"/>
    <col min="2" max="2" width="84" customWidth="1"/>
  </cols>
  <sheetData>
    <row r="1" spans="1:6" ht="30" customHeight="1">
      <c r="A1" s="11" t="s">
        <v>0</v>
      </c>
      <c r="B1" s="11"/>
      <c r="C1" s="11"/>
      <c r="D1" s="11"/>
      <c r="E1" s="11"/>
      <c r="F1" s="11"/>
    </row>
    <row r="2" spans="1:6" ht="27" customHeight="1">
      <c r="A2" s="12" t="s">
        <v>1</v>
      </c>
      <c r="B2" s="12"/>
      <c r="C2" s="12"/>
      <c r="D2" s="12"/>
      <c r="E2" s="12"/>
      <c r="F2" s="12"/>
    </row>
    <row r="4" spans="1:6" ht="36" customHeight="1">
      <c r="A4" s="14" t="s">
        <v>2</v>
      </c>
      <c r="B4" s="15" t="s">
        <v>3</v>
      </c>
    </row>
    <row r="5" spans="1:6" ht="36" customHeight="1">
      <c r="A5" s="14" t="s">
        <v>4</v>
      </c>
      <c r="B5" s="15" t="s">
        <v>5</v>
      </c>
    </row>
    <row r="6" spans="1:6" ht="36" customHeight="1">
      <c r="A6" s="14" t="s">
        <v>6</v>
      </c>
      <c r="B6" s="15" t="s">
        <v>7</v>
      </c>
    </row>
    <row r="7" spans="1:6" ht="36" customHeight="1">
      <c r="A7" s="14" t="s">
        <v>8</v>
      </c>
      <c r="B7" s="15" t="s">
        <v>9</v>
      </c>
    </row>
    <row r="8" spans="1:6" ht="36" customHeight="1">
      <c r="A8" s="14" t="s">
        <v>10</v>
      </c>
      <c r="B8" s="15" t="s">
        <v>11</v>
      </c>
    </row>
    <row r="9" spans="1:6" ht="36" customHeight="1">
      <c r="A9" s="14" t="s">
        <v>12</v>
      </c>
      <c r="B9" s="15" t="s">
        <v>13</v>
      </c>
    </row>
    <row r="11" spans="1:6">
      <c r="A11" s="13" t="s">
        <v>14</v>
      </c>
      <c r="B11" s="13" t="s">
        <v>15</v>
      </c>
    </row>
    <row r="12" spans="1:6" ht="22" customHeight="1">
      <c r="A12" s="16" t="s">
        <v>16</v>
      </c>
      <c r="B12" s="17">
        <v>420</v>
      </c>
    </row>
    <row r="13" spans="1:6" ht="22" customHeight="1">
      <c r="A13" s="16" t="s">
        <v>17</v>
      </c>
      <c r="B13" s="18">
        <v>9.7894959789144295E-2</v>
      </c>
    </row>
    <row r="14" spans="1:6" ht="22" customHeight="1">
      <c r="A14" s="16" t="s">
        <v>18</v>
      </c>
      <c r="B14" s="18">
        <v>0.9631133544508047</v>
      </c>
    </row>
    <row r="15" spans="1:6" ht="22" customHeight="1">
      <c r="A15" s="16" t="s">
        <v>19</v>
      </c>
      <c r="B15" s="18">
        <v>0.995344130188898</v>
      </c>
    </row>
    <row r="16" spans="1:6" ht="22" customHeight="1">
      <c r="A16" s="16" t="s">
        <v>20</v>
      </c>
      <c r="B16" s="17">
        <v>11773</v>
      </c>
    </row>
    <row r="17" spans="1:6" ht="22" customHeight="1">
      <c r="A17" s="16" t="s">
        <v>21</v>
      </c>
      <c r="B17" s="17">
        <v>1486</v>
      </c>
    </row>
    <row r="18" spans="1:6" ht="22" customHeight="1">
      <c r="A18" s="16" t="s">
        <v>22</v>
      </c>
      <c r="B18" s="18">
        <v>0.87377898581500046</v>
      </c>
    </row>
    <row r="19" spans="1:6" ht="22" customHeight="1">
      <c r="A19" s="16" t="s">
        <v>23</v>
      </c>
      <c r="B19" s="17">
        <v>1260</v>
      </c>
    </row>
    <row r="20" spans="1:6" ht="22" customHeight="1">
      <c r="A20" s="16" t="s">
        <v>24</v>
      </c>
      <c r="B20" s="17">
        <v>1039</v>
      </c>
    </row>
    <row r="21" spans="1:6" ht="22" customHeight="1">
      <c r="A21" s="16" t="s">
        <v>25</v>
      </c>
      <c r="B21" s="18">
        <v>-0.17539682539682538</v>
      </c>
    </row>
    <row r="23" spans="1:6" ht="25" customHeight="1">
      <c r="A23" s="19" t="s">
        <v>26</v>
      </c>
      <c r="B23" s="19"/>
      <c r="C23" s="19"/>
      <c r="D23" s="19"/>
      <c r="E23" s="19"/>
      <c r="F23" s="19"/>
    </row>
    <row r="24" spans="1:6" ht="25" customHeight="1">
      <c r="A24" s="19"/>
      <c r="B24" s="19"/>
      <c r="C24" s="19"/>
      <c r="D24" s="19"/>
      <c r="E24" s="19"/>
      <c r="F24" s="19"/>
    </row>
  </sheetData>
  <mergeCells count="3">
    <mergeCell ref="A1:F1"/>
    <mergeCell ref="A2:F2"/>
    <mergeCell ref="A23:F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21"/>
  <sheetViews>
    <sheetView workbookViewId="0">
      <pane xSplit="2" ySplit="1" topLeftCell="C2" activePane="bottomRight" state="frozen"/>
      <selection pane="topRight"/>
      <selection pane="bottomLeft"/>
      <selection pane="bottomRight" sqref="A1:AG1"/>
    </sheetView>
  </sheetViews>
  <sheetFormatPr defaultRowHeight="14"/>
  <cols>
    <col min="1" max="1" width="13" customWidth="1"/>
    <col min="2" max="2" width="18" customWidth="1"/>
    <col min="3" max="3" width="12" customWidth="1"/>
    <col min="4" max="7" width="14" customWidth="1"/>
    <col min="8" max="8" width="12" customWidth="1"/>
    <col min="9" max="14" width="14" customWidth="1"/>
    <col min="15" max="15" width="12" customWidth="1"/>
    <col min="16" max="19" width="14" customWidth="1"/>
    <col min="20" max="20" width="12" customWidth="1"/>
    <col min="21" max="28" width="14" customWidth="1"/>
    <col min="29" max="33" width="12" customWidth="1"/>
  </cols>
  <sheetData>
    <row r="1" spans="1:33" ht="44" customHeight="1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38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</row>
    <row r="2" spans="1:33">
      <c r="A2" s="4">
        <v>46162</v>
      </c>
      <c r="B2" s="3" t="s">
        <v>60</v>
      </c>
      <c r="C2" s="3">
        <v>2</v>
      </c>
      <c r="D2" s="6">
        <v>1683</v>
      </c>
      <c r="E2" s="6">
        <v>1626</v>
      </c>
      <c r="F2" s="6">
        <v>2250</v>
      </c>
      <c r="G2" s="6">
        <f t="shared" ref="G2:G65" si="0">ROUND(D2*0.97,0)</f>
        <v>1633</v>
      </c>
      <c r="H2" s="5">
        <v>1.011562525347006</v>
      </c>
      <c r="I2" s="6">
        <f t="shared" ref="I2:I65" si="1">MIN(F2,ROUND(G2*H2,0))</f>
        <v>1652</v>
      </c>
      <c r="J2" s="6">
        <v>425</v>
      </c>
      <c r="K2" s="6">
        <f t="shared" ref="K2:K65" si="2">I2+J2</f>
        <v>2077</v>
      </c>
      <c r="L2" s="6">
        <f t="shared" ref="L2:L65" si="3">MIN(E2,K2)</f>
        <v>1626</v>
      </c>
      <c r="M2" s="6">
        <f t="shared" ref="M2:M65" si="4">MAX(E2-K2,0)</f>
        <v>0</v>
      </c>
      <c r="N2" s="6">
        <f t="shared" ref="N2:N65" si="5">MAX(K2-L2,0)</f>
        <v>451</v>
      </c>
      <c r="O2" s="5">
        <v>2.5000000000000001E-2</v>
      </c>
      <c r="P2" s="6">
        <f t="shared" ref="P2:P65" si="6">MIN(N2,ROUND(N2*O2,0))</f>
        <v>11</v>
      </c>
      <c r="Q2" s="6">
        <f t="shared" ref="Q2:Q65" si="7">N2-P2</f>
        <v>440</v>
      </c>
      <c r="R2" s="6">
        <v>202</v>
      </c>
      <c r="S2" s="6">
        <f t="shared" ref="S2:S65" si="8">MIN(F2,MAX(0,ROUND(D2+R2-V2,0)))</f>
        <v>1460</v>
      </c>
      <c r="T2" s="5">
        <v>0.98005691050620525</v>
      </c>
      <c r="U2" s="6">
        <f t="shared" ref="U2:U65" si="9">MIN(F2,MAX(0,ROUND(S2*T2,0)))</f>
        <v>1431</v>
      </c>
      <c r="V2" s="6">
        <v>425</v>
      </c>
      <c r="W2" s="6">
        <f t="shared" ref="W2:W65" si="10">U2+V2</f>
        <v>1856</v>
      </c>
      <c r="X2" s="6">
        <f t="shared" ref="X2:X65" si="11">MIN(E2,W2)</f>
        <v>1626</v>
      </c>
      <c r="Y2" s="6">
        <f t="shared" ref="Y2:Y65" si="12">MAX(E2-W2,0)</f>
        <v>0</v>
      </c>
      <c r="Z2" s="6">
        <f t="shared" ref="Z2:Z65" si="13">MAX(W2-X2,0)</f>
        <v>230</v>
      </c>
      <c r="AA2" s="6">
        <f t="shared" ref="AA2:AA65" si="14">MIN(Z2,ROUND(Z2*O2,0))</f>
        <v>6</v>
      </c>
      <c r="AB2" s="6">
        <f t="shared" ref="AB2:AB65" si="15">Z2-AA2</f>
        <v>224</v>
      </c>
      <c r="AC2" s="5">
        <f t="shared" ref="AC2:AC65" si="16">IFERROR(ABS(E2-D2)/E2,0)</f>
        <v>3.5055350553505532E-2</v>
      </c>
      <c r="AD2" s="5">
        <f t="shared" ref="AD2:AD65" si="17">IFERROR(L2/E2,1)</f>
        <v>1</v>
      </c>
      <c r="AE2" s="5">
        <f t="shared" ref="AE2:AE65" si="18">IFERROR(X2/E2,1)</f>
        <v>1</v>
      </c>
      <c r="AF2" s="5">
        <f t="shared" ref="AF2:AF65" si="19">IFERROR(I2/F2,0)</f>
        <v>0.73422222222222222</v>
      </c>
      <c r="AG2" s="5">
        <f t="shared" ref="AG2:AG65" si="20">IFERROR(U2/F2,0)</f>
        <v>0.63600000000000001</v>
      </c>
    </row>
    <row r="3" spans="1:33">
      <c r="A3" s="4">
        <v>46162</v>
      </c>
      <c r="B3" s="3" t="s">
        <v>61</v>
      </c>
      <c r="C3" s="3">
        <v>2</v>
      </c>
      <c r="D3" s="6">
        <v>842</v>
      </c>
      <c r="E3" s="6">
        <v>704</v>
      </c>
      <c r="F3" s="6">
        <v>1200</v>
      </c>
      <c r="G3" s="6">
        <f t="shared" si="0"/>
        <v>817</v>
      </c>
      <c r="H3" s="5">
        <v>1.0126741846682157</v>
      </c>
      <c r="I3" s="6">
        <f t="shared" si="1"/>
        <v>827</v>
      </c>
      <c r="J3" s="6">
        <v>212</v>
      </c>
      <c r="K3" s="6">
        <f t="shared" si="2"/>
        <v>1039</v>
      </c>
      <c r="L3" s="6">
        <f t="shared" si="3"/>
        <v>704</v>
      </c>
      <c r="M3" s="6">
        <f t="shared" si="4"/>
        <v>0</v>
      </c>
      <c r="N3" s="6">
        <f t="shared" si="5"/>
        <v>335</v>
      </c>
      <c r="O3" s="5">
        <v>0.03</v>
      </c>
      <c r="P3" s="6">
        <f t="shared" si="6"/>
        <v>10</v>
      </c>
      <c r="Q3" s="6">
        <f t="shared" si="7"/>
        <v>325</v>
      </c>
      <c r="R3" s="6">
        <v>101</v>
      </c>
      <c r="S3" s="6">
        <f t="shared" si="8"/>
        <v>731</v>
      </c>
      <c r="T3" s="5">
        <v>1.0012440299000733</v>
      </c>
      <c r="U3" s="6">
        <f t="shared" si="9"/>
        <v>732</v>
      </c>
      <c r="V3" s="6">
        <v>212</v>
      </c>
      <c r="W3" s="6">
        <f t="shared" si="10"/>
        <v>944</v>
      </c>
      <c r="X3" s="6">
        <f t="shared" si="11"/>
        <v>704</v>
      </c>
      <c r="Y3" s="6">
        <f t="shared" si="12"/>
        <v>0</v>
      </c>
      <c r="Z3" s="6">
        <f t="shared" si="13"/>
        <v>240</v>
      </c>
      <c r="AA3" s="6">
        <f t="shared" si="14"/>
        <v>7</v>
      </c>
      <c r="AB3" s="6">
        <f t="shared" si="15"/>
        <v>233</v>
      </c>
      <c r="AC3" s="5">
        <f t="shared" si="16"/>
        <v>0.19602272727272727</v>
      </c>
      <c r="AD3" s="5">
        <f t="shared" si="17"/>
        <v>1</v>
      </c>
      <c r="AE3" s="5">
        <f t="shared" si="18"/>
        <v>1</v>
      </c>
      <c r="AF3" s="5">
        <f t="shared" si="19"/>
        <v>0.68916666666666671</v>
      </c>
      <c r="AG3" s="5">
        <f t="shared" si="20"/>
        <v>0.61</v>
      </c>
    </row>
    <row r="4" spans="1:33">
      <c r="A4" s="4">
        <v>46162</v>
      </c>
      <c r="B4" s="3" t="s">
        <v>62</v>
      </c>
      <c r="C4" s="3">
        <v>7</v>
      </c>
      <c r="D4" s="6">
        <v>490</v>
      </c>
      <c r="E4" s="6">
        <v>414</v>
      </c>
      <c r="F4" s="6">
        <v>700</v>
      </c>
      <c r="G4" s="6">
        <f t="shared" si="0"/>
        <v>475</v>
      </c>
      <c r="H4" s="5">
        <v>0.98890318882281458</v>
      </c>
      <c r="I4" s="6">
        <f t="shared" si="1"/>
        <v>470</v>
      </c>
      <c r="J4" s="6">
        <v>125</v>
      </c>
      <c r="K4" s="6">
        <f t="shared" si="2"/>
        <v>595</v>
      </c>
      <c r="L4" s="6">
        <f t="shared" si="3"/>
        <v>414</v>
      </c>
      <c r="M4" s="6">
        <f t="shared" si="4"/>
        <v>0</v>
      </c>
      <c r="N4" s="6">
        <f t="shared" si="5"/>
        <v>181</v>
      </c>
      <c r="O4" s="5">
        <v>1.7999999999999999E-2</v>
      </c>
      <c r="P4" s="6">
        <f t="shared" si="6"/>
        <v>3</v>
      </c>
      <c r="Q4" s="6">
        <f t="shared" si="7"/>
        <v>178</v>
      </c>
      <c r="R4" s="6">
        <v>88</v>
      </c>
      <c r="S4" s="6">
        <f t="shared" si="8"/>
        <v>453</v>
      </c>
      <c r="T4" s="5">
        <v>0.98200901781642291</v>
      </c>
      <c r="U4" s="6">
        <f t="shared" si="9"/>
        <v>445</v>
      </c>
      <c r="V4" s="6">
        <v>125</v>
      </c>
      <c r="W4" s="6">
        <f t="shared" si="10"/>
        <v>570</v>
      </c>
      <c r="X4" s="6">
        <f t="shared" si="11"/>
        <v>414</v>
      </c>
      <c r="Y4" s="6">
        <f t="shared" si="12"/>
        <v>0</v>
      </c>
      <c r="Z4" s="6">
        <f t="shared" si="13"/>
        <v>156</v>
      </c>
      <c r="AA4" s="6">
        <f t="shared" si="14"/>
        <v>3</v>
      </c>
      <c r="AB4" s="6">
        <f t="shared" si="15"/>
        <v>153</v>
      </c>
      <c r="AC4" s="5">
        <f t="shared" si="16"/>
        <v>0.18357487922705315</v>
      </c>
      <c r="AD4" s="5">
        <f t="shared" si="17"/>
        <v>1</v>
      </c>
      <c r="AE4" s="5">
        <f t="shared" si="18"/>
        <v>1</v>
      </c>
      <c r="AF4" s="5">
        <f t="shared" si="19"/>
        <v>0.67142857142857137</v>
      </c>
      <c r="AG4" s="5">
        <f t="shared" si="20"/>
        <v>0.63571428571428568</v>
      </c>
    </row>
    <row r="5" spans="1:33">
      <c r="A5" s="4">
        <v>46162</v>
      </c>
      <c r="B5" s="3" t="s">
        <v>63</v>
      </c>
      <c r="C5" s="3">
        <v>7</v>
      </c>
      <c r="D5" s="6">
        <v>392</v>
      </c>
      <c r="E5" s="6">
        <v>354</v>
      </c>
      <c r="F5" s="6">
        <v>560</v>
      </c>
      <c r="G5" s="6">
        <f t="shared" si="0"/>
        <v>380</v>
      </c>
      <c r="H5" s="5">
        <v>1.0155453312042866</v>
      </c>
      <c r="I5" s="6">
        <f t="shared" si="1"/>
        <v>386</v>
      </c>
      <c r="J5" s="6">
        <v>100</v>
      </c>
      <c r="K5" s="6">
        <f t="shared" si="2"/>
        <v>486</v>
      </c>
      <c r="L5" s="6">
        <f t="shared" si="3"/>
        <v>354</v>
      </c>
      <c r="M5" s="6">
        <f t="shared" si="4"/>
        <v>0</v>
      </c>
      <c r="N5" s="6">
        <f t="shared" si="5"/>
        <v>132</v>
      </c>
      <c r="O5" s="5">
        <v>0.02</v>
      </c>
      <c r="P5" s="6">
        <f t="shared" si="6"/>
        <v>3</v>
      </c>
      <c r="Q5" s="6">
        <f t="shared" si="7"/>
        <v>129</v>
      </c>
      <c r="R5" s="6">
        <v>71</v>
      </c>
      <c r="S5" s="6">
        <f t="shared" si="8"/>
        <v>363</v>
      </c>
      <c r="T5" s="5">
        <v>1.0023906085589511</v>
      </c>
      <c r="U5" s="6">
        <f t="shared" si="9"/>
        <v>364</v>
      </c>
      <c r="V5" s="6">
        <v>100</v>
      </c>
      <c r="W5" s="6">
        <f t="shared" si="10"/>
        <v>464</v>
      </c>
      <c r="X5" s="6">
        <f t="shared" si="11"/>
        <v>354</v>
      </c>
      <c r="Y5" s="6">
        <f t="shared" si="12"/>
        <v>0</v>
      </c>
      <c r="Z5" s="6">
        <f t="shared" si="13"/>
        <v>110</v>
      </c>
      <c r="AA5" s="6">
        <f t="shared" si="14"/>
        <v>2</v>
      </c>
      <c r="AB5" s="6">
        <f t="shared" si="15"/>
        <v>108</v>
      </c>
      <c r="AC5" s="5">
        <f t="shared" si="16"/>
        <v>0.10734463276836158</v>
      </c>
      <c r="AD5" s="5">
        <f t="shared" si="17"/>
        <v>1</v>
      </c>
      <c r="AE5" s="5">
        <f t="shared" si="18"/>
        <v>1</v>
      </c>
      <c r="AF5" s="5">
        <f t="shared" si="19"/>
        <v>0.68928571428571428</v>
      </c>
      <c r="AG5" s="5">
        <f t="shared" si="20"/>
        <v>0.65</v>
      </c>
    </row>
    <row r="6" spans="1:33">
      <c r="A6" s="4">
        <v>46162</v>
      </c>
      <c r="B6" s="3" t="s">
        <v>64</v>
      </c>
      <c r="C6" s="3">
        <v>5</v>
      </c>
      <c r="D6" s="6">
        <v>157</v>
      </c>
      <c r="E6" s="6">
        <v>133</v>
      </c>
      <c r="F6" s="6">
        <v>230</v>
      </c>
      <c r="G6" s="6">
        <f t="shared" si="0"/>
        <v>152</v>
      </c>
      <c r="H6" s="5">
        <v>1.0018655579999849</v>
      </c>
      <c r="I6" s="6">
        <f t="shared" si="1"/>
        <v>152</v>
      </c>
      <c r="J6" s="6">
        <v>40</v>
      </c>
      <c r="K6" s="6">
        <f t="shared" si="2"/>
        <v>192</v>
      </c>
      <c r="L6" s="6">
        <f t="shared" si="3"/>
        <v>133</v>
      </c>
      <c r="M6" s="6">
        <f t="shared" si="4"/>
        <v>0</v>
      </c>
      <c r="N6" s="6">
        <f t="shared" si="5"/>
        <v>59</v>
      </c>
      <c r="O6" s="5">
        <v>2.5000000000000001E-2</v>
      </c>
      <c r="P6" s="6">
        <f t="shared" si="6"/>
        <v>1</v>
      </c>
      <c r="Q6" s="6">
        <f t="shared" si="7"/>
        <v>58</v>
      </c>
      <c r="R6" s="6">
        <v>31</v>
      </c>
      <c r="S6" s="6">
        <f t="shared" si="8"/>
        <v>148</v>
      </c>
      <c r="T6" s="5">
        <v>1.0062361753927997</v>
      </c>
      <c r="U6" s="6">
        <f t="shared" si="9"/>
        <v>149</v>
      </c>
      <c r="V6" s="6">
        <v>40</v>
      </c>
      <c r="W6" s="6">
        <f t="shared" si="10"/>
        <v>189</v>
      </c>
      <c r="X6" s="6">
        <f t="shared" si="11"/>
        <v>133</v>
      </c>
      <c r="Y6" s="6">
        <f t="shared" si="12"/>
        <v>0</v>
      </c>
      <c r="Z6" s="6">
        <f t="shared" si="13"/>
        <v>56</v>
      </c>
      <c r="AA6" s="6">
        <f t="shared" si="14"/>
        <v>1</v>
      </c>
      <c r="AB6" s="6">
        <f t="shared" si="15"/>
        <v>55</v>
      </c>
      <c r="AC6" s="5">
        <f t="shared" si="16"/>
        <v>0.18045112781954886</v>
      </c>
      <c r="AD6" s="5">
        <f t="shared" si="17"/>
        <v>1</v>
      </c>
      <c r="AE6" s="5">
        <f t="shared" si="18"/>
        <v>1</v>
      </c>
      <c r="AF6" s="5">
        <f t="shared" si="19"/>
        <v>0.66086956521739126</v>
      </c>
      <c r="AG6" s="5">
        <f t="shared" si="20"/>
        <v>0.64782608695652177</v>
      </c>
    </row>
    <row r="7" spans="1:33">
      <c r="A7" s="4">
        <v>46163</v>
      </c>
      <c r="B7" s="3" t="s">
        <v>60</v>
      </c>
      <c r="C7" s="3">
        <v>2</v>
      </c>
      <c r="D7" s="6">
        <v>1701</v>
      </c>
      <c r="E7" s="6">
        <v>1663</v>
      </c>
      <c r="F7" s="6">
        <v>2250</v>
      </c>
      <c r="G7" s="6">
        <f t="shared" si="0"/>
        <v>1650</v>
      </c>
      <c r="H7" s="5">
        <v>1.0094284583746245</v>
      </c>
      <c r="I7" s="6">
        <f t="shared" si="1"/>
        <v>1666</v>
      </c>
      <c r="J7" s="6">
        <f t="shared" ref="J7:J70" si="21">Q2</f>
        <v>440</v>
      </c>
      <c r="K7" s="6">
        <f t="shared" si="2"/>
        <v>2106</v>
      </c>
      <c r="L7" s="6">
        <f t="shared" si="3"/>
        <v>1663</v>
      </c>
      <c r="M7" s="6">
        <f t="shared" si="4"/>
        <v>0</v>
      </c>
      <c r="N7" s="6">
        <f t="shared" si="5"/>
        <v>443</v>
      </c>
      <c r="O7" s="5">
        <v>2.5000000000000001E-2</v>
      </c>
      <c r="P7" s="6">
        <f t="shared" si="6"/>
        <v>11</v>
      </c>
      <c r="Q7" s="6">
        <f t="shared" si="7"/>
        <v>432</v>
      </c>
      <c r="R7" s="6">
        <v>204</v>
      </c>
      <c r="S7" s="6">
        <f t="shared" si="8"/>
        <v>1681</v>
      </c>
      <c r="T7" s="5">
        <v>0.98511061939095945</v>
      </c>
      <c r="U7" s="6">
        <f t="shared" si="9"/>
        <v>1656</v>
      </c>
      <c r="V7" s="6">
        <f t="shared" ref="V7:V70" si="22">AB2</f>
        <v>224</v>
      </c>
      <c r="W7" s="6">
        <f t="shared" si="10"/>
        <v>1880</v>
      </c>
      <c r="X7" s="6">
        <f t="shared" si="11"/>
        <v>1663</v>
      </c>
      <c r="Y7" s="6">
        <f t="shared" si="12"/>
        <v>0</v>
      </c>
      <c r="Z7" s="6">
        <f t="shared" si="13"/>
        <v>217</v>
      </c>
      <c r="AA7" s="6">
        <f t="shared" si="14"/>
        <v>5</v>
      </c>
      <c r="AB7" s="6">
        <f t="shared" si="15"/>
        <v>212</v>
      </c>
      <c r="AC7" s="5">
        <f t="shared" si="16"/>
        <v>2.2850270595309682E-2</v>
      </c>
      <c r="AD7" s="5">
        <f t="shared" si="17"/>
        <v>1</v>
      </c>
      <c r="AE7" s="5">
        <f t="shared" si="18"/>
        <v>1</v>
      </c>
      <c r="AF7" s="5">
        <f t="shared" si="19"/>
        <v>0.74044444444444446</v>
      </c>
      <c r="AG7" s="5">
        <f t="shared" si="20"/>
        <v>0.73599999999999999</v>
      </c>
    </row>
    <row r="8" spans="1:33">
      <c r="A8" s="4">
        <v>46163</v>
      </c>
      <c r="B8" s="3" t="s">
        <v>61</v>
      </c>
      <c r="C8" s="3">
        <v>2</v>
      </c>
      <c r="D8" s="6">
        <v>850</v>
      </c>
      <c r="E8" s="6">
        <v>965</v>
      </c>
      <c r="F8" s="6">
        <v>1200</v>
      </c>
      <c r="G8" s="6">
        <f t="shared" si="0"/>
        <v>825</v>
      </c>
      <c r="H8" s="5">
        <v>1.0140602187145846</v>
      </c>
      <c r="I8" s="6">
        <f t="shared" si="1"/>
        <v>837</v>
      </c>
      <c r="J8" s="6">
        <f t="shared" si="21"/>
        <v>325</v>
      </c>
      <c r="K8" s="6">
        <f t="shared" si="2"/>
        <v>1162</v>
      </c>
      <c r="L8" s="6">
        <f t="shared" si="3"/>
        <v>965</v>
      </c>
      <c r="M8" s="6">
        <f t="shared" si="4"/>
        <v>0</v>
      </c>
      <c r="N8" s="6">
        <f t="shared" si="5"/>
        <v>197</v>
      </c>
      <c r="O8" s="5">
        <v>0.03</v>
      </c>
      <c r="P8" s="6">
        <f t="shared" si="6"/>
        <v>6</v>
      </c>
      <c r="Q8" s="6">
        <f t="shared" si="7"/>
        <v>191</v>
      </c>
      <c r="R8" s="6">
        <v>102</v>
      </c>
      <c r="S8" s="6">
        <f t="shared" si="8"/>
        <v>719</v>
      </c>
      <c r="T8" s="5">
        <v>1.0037948952839224</v>
      </c>
      <c r="U8" s="6">
        <f t="shared" si="9"/>
        <v>722</v>
      </c>
      <c r="V8" s="6">
        <f t="shared" si="22"/>
        <v>233</v>
      </c>
      <c r="W8" s="6">
        <f t="shared" si="10"/>
        <v>955</v>
      </c>
      <c r="X8" s="6">
        <f t="shared" si="11"/>
        <v>955</v>
      </c>
      <c r="Y8" s="6">
        <f t="shared" si="12"/>
        <v>10</v>
      </c>
      <c r="Z8" s="6">
        <f t="shared" si="13"/>
        <v>0</v>
      </c>
      <c r="AA8" s="6">
        <f t="shared" si="14"/>
        <v>0</v>
      </c>
      <c r="AB8" s="6">
        <f t="shared" si="15"/>
        <v>0</v>
      </c>
      <c r="AC8" s="5">
        <f t="shared" si="16"/>
        <v>0.11917098445595854</v>
      </c>
      <c r="AD8" s="5">
        <f t="shared" si="17"/>
        <v>1</v>
      </c>
      <c r="AE8" s="5">
        <f t="shared" si="18"/>
        <v>0.98963730569948183</v>
      </c>
      <c r="AF8" s="5">
        <f t="shared" si="19"/>
        <v>0.69750000000000001</v>
      </c>
      <c r="AG8" s="5">
        <f t="shared" si="20"/>
        <v>0.60166666666666668</v>
      </c>
    </row>
    <row r="9" spans="1:33">
      <c r="A9" s="4">
        <v>46163</v>
      </c>
      <c r="B9" s="3" t="s">
        <v>62</v>
      </c>
      <c r="C9" s="3">
        <v>7</v>
      </c>
      <c r="D9" s="6">
        <v>500</v>
      </c>
      <c r="E9" s="6">
        <v>538</v>
      </c>
      <c r="F9" s="6">
        <v>700</v>
      </c>
      <c r="G9" s="6">
        <f t="shared" si="0"/>
        <v>485</v>
      </c>
      <c r="H9" s="5">
        <v>0.99803752470604479</v>
      </c>
      <c r="I9" s="6">
        <f t="shared" si="1"/>
        <v>484</v>
      </c>
      <c r="J9" s="6">
        <f t="shared" si="21"/>
        <v>178</v>
      </c>
      <c r="K9" s="6">
        <f t="shared" si="2"/>
        <v>662</v>
      </c>
      <c r="L9" s="6">
        <f t="shared" si="3"/>
        <v>538</v>
      </c>
      <c r="M9" s="6">
        <f t="shared" si="4"/>
        <v>0</v>
      </c>
      <c r="N9" s="6">
        <f t="shared" si="5"/>
        <v>124</v>
      </c>
      <c r="O9" s="5">
        <v>1.7999999999999999E-2</v>
      </c>
      <c r="P9" s="6">
        <f t="shared" si="6"/>
        <v>2</v>
      </c>
      <c r="Q9" s="6">
        <f t="shared" si="7"/>
        <v>122</v>
      </c>
      <c r="R9" s="6">
        <v>90</v>
      </c>
      <c r="S9" s="6">
        <f t="shared" si="8"/>
        <v>437</v>
      </c>
      <c r="T9" s="5">
        <v>0.98250233927104125</v>
      </c>
      <c r="U9" s="6">
        <f t="shared" si="9"/>
        <v>429</v>
      </c>
      <c r="V9" s="6">
        <f t="shared" si="22"/>
        <v>153</v>
      </c>
      <c r="W9" s="6">
        <f t="shared" si="10"/>
        <v>582</v>
      </c>
      <c r="X9" s="6">
        <f t="shared" si="11"/>
        <v>538</v>
      </c>
      <c r="Y9" s="6">
        <f t="shared" si="12"/>
        <v>0</v>
      </c>
      <c r="Z9" s="6">
        <f t="shared" si="13"/>
        <v>44</v>
      </c>
      <c r="AA9" s="6">
        <f t="shared" si="14"/>
        <v>1</v>
      </c>
      <c r="AB9" s="6">
        <f t="shared" si="15"/>
        <v>43</v>
      </c>
      <c r="AC9" s="5">
        <f t="shared" si="16"/>
        <v>7.0631970260223054E-2</v>
      </c>
      <c r="AD9" s="5">
        <f t="shared" si="17"/>
        <v>1</v>
      </c>
      <c r="AE9" s="5">
        <f t="shared" si="18"/>
        <v>1</v>
      </c>
      <c r="AF9" s="5">
        <f t="shared" si="19"/>
        <v>0.69142857142857139</v>
      </c>
      <c r="AG9" s="5">
        <f t="shared" si="20"/>
        <v>0.61285714285714288</v>
      </c>
    </row>
    <row r="10" spans="1:33">
      <c r="A10" s="4">
        <v>46163</v>
      </c>
      <c r="B10" s="3" t="s">
        <v>63</v>
      </c>
      <c r="C10" s="3">
        <v>7</v>
      </c>
      <c r="D10" s="6">
        <v>400</v>
      </c>
      <c r="E10" s="6">
        <v>429</v>
      </c>
      <c r="F10" s="6">
        <v>560</v>
      </c>
      <c r="G10" s="6">
        <f t="shared" si="0"/>
        <v>388</v>
      </c>
      <c r="H10" s="5">
        <v>0.98379507246253539</v>
      </c>
      <c r="I10" s="6">
        <f t="shared" si="1"/>
        <v>382</v>
      </c>
      <c r="J10" s="6">
        <f t="shared" si="21"/>
        <v>129</v>
      </c>
      <c r="K10" s="6">
        <f t="shared" si="2"/>
        <v>511</v>
      </c>
      <c r="L10" s="6">
        <f t="shared" si="3"/>
        <v>429</v>
      </c>
      <c r="M10" s="6">
        <f t="shared" si="4"/>
        <v>0</v>
      </c>
      <c r="N10" s="6">
        <f t="shared" si="5"/>
        <v>82</v>
      </c>
      <c r="O10" s="5">
        <v>0.02</v>
      </c>
      <c r="P10" s="6">
        <f t="shared" si="6"/>
        <v>2</v>
      </c>
      <c r="Q10" s="6">
        <f t="shared" si="7"/>
        <v>80</v>
      </c>
      <c r="R10" s="6">
        <v>72</v>
      </c>
      <c r="S10" s="6">
        <f t="shared" si="8"/>
        <v>364</v>
      </c>
      <c r="T10" s="5">
        <v>0.9956359701842713</v>
      </c>
      <c r="U10" s="6">
        <f t="shared" si="9"/>
        <v>362</v>
      </c>
      <c r="V10" s="6">
        <f t="shared" si="22"/>
        <v>108</v>
      </c>
      <c r="W10" s="6">
        <f t="shared" si="10"/>
        <v>470</v>
      </c>
      <c r="X10" s="6">
        <f t="shared" si="11"/>
        <v>429</v>
      </c>
      <c r="Y10" s="6">
        <f t="shared" si="12"/>
        <v>0</v>
      </c>
      <c r="Z10" s="6">
        <f t="shared" si="13"/>
        <v>41</v>
      </c>
      <c r="AA10" s="6">
        <f t="shared" si="14"/>
        <v>1</v>
      </c>
      <c r="AB10" s="6">
        <f t="shared" si="15"/>
        <v>40</v>
      </c>
      <c r="AC10" s="5">
        <f t="shared" si="16"/>
        <v>6.75990675990676E-2</v>
      </c>
      <c r="AD10" s="5">
        <f t="shared" si="17"/>
        <v>1</v>
      </c>
      <c r="AE10" s="5">
        <f t="shared" si="18"/>
        <v>1</v>
      </c>
      <c r="AF10" s="5">
        <f t="shared" si="19"/>
        <v>0.68214285714285716</v>
      </c>
      <c r="AG10" s="5">
        <f t="shared" si="20"/>
        <v>0.64642857142857146</v>
      </c>
    </row>
    <row r="11" spans="1:33">
      <c r="A11" s="4">
        <v>46163</v>
      </c>
      <c r="B11" s="3" t="s">
        <v>64</v>
      </c>
      <c r="C11" s="3">
        <v>5</v>
      </c>
      <c r="D11" s="6">
        <v>160</v>
      </c>
      <c r="E11" s="6">
        <v>158</v>
      </c>
      <c r="F11" s="6">
        <v>230</v>
      </c>
      <c r="G11" s="6">
        <f t="shared" si="0"/>
        <v>155</v>
      </c>
      <c r="H11" s="5">
        <v>1.0147175234412731</v>
      </c>
      <c r="I11" s="6">
        <f t="shared" si="1"/>
        <v>157</v>
      </c>
      <c r="J11" s="6">
        <f t="shared" si="21"/>
        <v>58</v>
      </c>
      <c r="K11" s="6">
        <f t="shared" si="2"/>
        <v>215</v>
      </c>
      <c r="L11" s="6">
        <f t="shared" si="3"/>
        <v>158</v>
      </c>
      <c r="M11" s="6">
        <f t="shared" si="4"/>
        <v>0</v>
      </c>
      <c r="N11" s="6">
        <f t="shared" si="5"/>
        <v>57</v>
      </c>
      <c r="O11" s="5">
        <v>2.5000000000000001E-2</v>
      </c>
      <c r="P11" s="6">
        <f t="shared" si="6"/>
        <v>1</v>
      </c>
      <c r="Q11" s="6">
        <f t="shared" si="7"/>
        <v>56</v>
      </c>
      <c r="R11" s="6">
        <v>32</v>
      </c>
      <c r="S11" s="6">
        <f t="shared" si="8"/>
        <v>137</v>
      </c>
      <c r="T11" s="5">
        <v>0.99347063215726628</v>
      </c>
      <c r="U11" s="6">
        <f t="shared" si="9"/>
        <v>136</v>
      </c>
      <c r="V11" s="6">
        <f t="shared" si="22"/>
        <v>55</v>
      </c>
      <c r="W11" s="6">
        <f t="shared" si="10"/>
        <v>191</v>
      </c>
      <c r="X11" s="6">
        <f t="shared" si="11"/>
        <v>158</v>
      </c>
      <c r="Y11" s="6">
        <f t="shared" si="12"/>
        <v>0</v>
      </c>
      <c r="Z11" s="6">
        <f t="shared" si="13"/>
        <v>33</v>
      </c>
      <c r="AA11" s="6">
        <f t="shared" si="14"/>
        <v>1</v>
      </c>
      <c r="AB11" s="6">
        <f t="shared" si="15"/>
        <v>32</v>
      </c>
      <c r="AC11" s="5">
        <f t="shared" si="16"/>
        <v>1.2658227848101266E-2</v>
      </c>
      <c r="AD11" s="5">
        <f t="shared" si="17"/>
        <v>1</v>
      </c>
      <c r="AE11" s="5">
        <f t="shared" si="18"/>
        <v>1</v>
      </c>
      <c r="AF11" s="5">
        <f t="shared" si="19"/>
        <v>0.68260869565217386</v>
      </c>
      <c r="AG11" s="5">
        <f t="shared" si="20"/>
        <v>0.59130434782608698</v>
      </c>
    </row>
    <row r="12" spans="1:33">
      <c r="A12" s="4">
        <v>46164</v>
      </c>
      <c r="B12" s="3" t="s">
        <v>60</v>
      </c>
      <c r="C12" s="3">
        <v>2</v>
      </c>
      <c r="D12" s="6">
        <v>1769</v>
      </c>
      <c r="E12" s="6">
        <v>1637</v>
      </c>
      <c r="F12" s="6">
        <v>2250</v>
      </c>
      <c r="G12" s="6">
        <f t="shared" si="0"/>
        <v>1716</v>
      </c>
      <c r="H12" s="5">
        <v>0.98135578751732333</v>
      </c>
      <c r="I12" s="6">
        <f t="shared" si="1"/>
        <v>1684</v>
      </c>
      <c r="J12" s="6">
        <f t="shared" si="21"/>
        <v>432</v>
      </c>
      <c r="K12" s="6">
        <f t="shared" si="2"/>
        <v>2116</v>
      </c>
      <c r="L12" s="6">
        <f t="shared" si="3"/>
        <v>1637</v>
      </c>
      <c r="M12" s="6">
        <f t="shared" si="4"/>
        <v>0</v>
      </c>
      <c r="N12" s="6">
        <f t="shared" si="5"/>
        <v>479</v>
      </c>
      <c r="O12" s="5">
        <v>2.5000000000000001E-2</v>
      </c>
      <c r="P12" s="6">
        <f t="shared" si="6"/>
        <v>12</v>
      </c>
      <c r="Q12" s="6">
        <f t="shared" si="7"/>
        <v>467</v>
      </c>
      <c r="R12" s="6">
        <v>212</v>
      </c>
      <c r="S12" s="6">
        <f t="shared" si="8"/>
        <v>1769</v>
      </c>
      <c r="T12" s="5">
        <v>0.99169529430227177</v>
      </c>
      <c r="U12" s="6">
        <f t="shared" si="9"/>
        <v>1754</v>
      </c>
      <c r="V12" s="6">
        <f t="shared" si="22"/>
        <v>212</v>
      </c>
      <c r="W12" s="6">
        <f t="shared" si="10"/>
        <v>1966</v>
      </c>
      <c r="X12" s="6">
        <f t="shared" si="11"/>
        <v>1637</v>
      </c>
      <c r="Y12" s="6">
        <f t="shared" si="12"/>
        <v>0</v>
      </c>
      <c r="Z12" s="6">
        <f t="shared" si="13"/>
        <v>329</v>
      </c>
      <c r="AA12" s="6">
        <f t="shared" si="14"/>
        <v>8</v>
      </c>
      <c r="AB12" s="6">
        <f t="shared" si="15"/>
        <v>321</v>
      </c>
      <c r="AC12" s="5">
        <f t="shared" si="16"/>
        <v>8.0635308491142338E-2</v>
      </c>
      <c r="AD12" s="5">
        <f t="shared" si="17"/>
        <v>1</v>
      </c>
      <c r="AE12" s="5">
        <f t="shared" si="18"/>
        <v>1</v>
      </c>
      <c r="AF12" s="5">
        <f t="shared" si="19"/>
        <v>0.74844444444444447</v>
      </c>
      <c r="AG12" s="5">
        <f t="shared" si="20"/>
        <v>0.77955555555555556</v>
      </c>
    </row>
    <row r="13" spans="1:33">
      <c r="A13" s="4">
        <v>46164</v>
      </c>
      <c r="B13" s="3" t="s">
        <v>61</v>
      </c>
      <c r="C13" s="3">
        <v>2</v>
      </c>
      <c r="D13" s="6">
        <v>885</v>
      </c>
      <c r="E13" s="6">
        <v>766</v>
      </c>
      <c r="F13" s="6">
        <v>1200</v>
      </c>
      <c r="G13" s="6">
        <f t="shared" si="0"/>
        <v>858</v>
      </c>
      <c r="H13" s="5">
        <v>0.99284898268260846</v>
      </c>
      <c r="I13" s="6">
        <f t="shared" si="1"/>
        <v>852</v>
      </c>
      <c r="J13" s="6">
        <f t="shared" si="21"/>
        <v>191</v>
      </c>
      <c r="K13" s="6">
        <f t="shared" si="2"/>
        <v>1043</v>
      </c>
      <c r="L13" s="6">
        <f t="shared" si="3"/>
        <v>766</v>
      </c>
      <c r="M13" s="6">
        <f t="shared" si="4"/>
        <v>0</v>
      </c>
      <c r="N13" s="6">
        <f t="shared" si="5"/>
        <v>277</v>
      </c>
      <c r="O13" s="5">
        <v>0.03</v>
      </c>
      <c r="P13" s="6">
        <f t="shared" si="6"/>
        <v>8</v>
      </c>
      <c r="Q13" s="6">
        <f t="shared" si="7"/>
        <v>269</v>
      </c>
      <c r="R13" s="6">
        <v>106</v>
      </c>
      <c r="S13" s="6">
        <f t="shared" si="8"/>
        <v>991</v>
      </c>
      <c r="T13" s="5">
        <v>1.0011386195283078</v>
      </c>
      <c r="U13" s="6">
        <f t="shared" si="9"/>
        <v>992</v>
      </c>
      <c r="V13" s="6">
        <f t="shared" si="22"/>
        <v>0</v>
      </c>
      <c r="W13" s="6">
        <f t="shared" si="10"/>
        <v>992</v>
      </c>
      <c r="X13" s="6">
        <f t="shared" si="11"/>
        <v>766</v>
      </c>
      <c r="Y13" s="6">
        <f t="shared" si="12"/>
        <v>0</v>
      </c>
      <c r="Z13" s="6">
        <f t="shared" si="13"/>
        <v>226</v>
      </c>
      <c r="AA13" s="6">
        <f t="shared" si="14"/>
        <v>7</v>
      </c>
      <c r="AB13" s="6">
        <f t="shared" si="15"/>
        <v>219</v>
      </c>
      <c r="AC13" s="5">
        <f t="shared" si="16"/>
        <v>0.15535248041775457</v>
      </c>
      <c r="AD13" s="5">
        <f t="shared" si="17"/>
        <v>1</v>
      </c>
      <c r="AE13" s="5">
        <f t="shared" si="18"/>
        <v>1</v>
      </c>
      <c r="AF13" s="5">
        <f t="shared" si="19"/>
        <v>0.71</v>
      </c>
      <c r="AG13" s="5">
        <f t="shared" si="20"/>
        <v>0.82666666666666666</v>
      </c>
    </row>
    <row r="14" spans="1:33">
      <c r="A14" s="4">
        <v>46164</v>
      </c>
      <c r="B14" s="3" t="s">
        <v>62</v>
      </c>
      <c r="C14" s="3">
        <v>7</v>
      </c>
      <c r="D14" s="6">
        <v>520</v>
      </c>
      <c r="E14" s="6">
        <v>503</v>
      </c>
      <c r="F14" s="6">
        <v>700</v>
      </c>
      <c r="G14" s="6">
        <f t="shared" si="0"/>
        <v>504</v>
      </c>
      <c r="H14" s="5">
        <v>1.0083063614073287</v>
      </c>
      <c r="I14" s="6">
        <f t="shared" si="1"/>
        <v>508</v>
      </c>
      <c r="J14" s="6">
        <f t="shared" si="21"/>
        <v>122</v>
      </c>
      <c r="K14" s="6">
        <f t="shared" si="2"/>
        <v>630</v>
      </c>
      <c r="L14" s="6">
        <f t="shared" si="3"/>
        <v>503</v>
      </c>
      <c r="M14" s="6">
        <f t="shared" si="4"/>
        <v>0</v>
      </c>
      <c r="N14" s="6">
        <f t="shared" si="5"/>
        <v>127</v>
      </c>
      <c r="O14" s="5">
        <v>1.7999999999999999E-2</v>
      </c>
      <c r="P14" s="6">
        <f t="shared" si="6"/>
        <v>2</v>
      </c>
      <c r="Q14" s="6">
        <f t="shared" si="7"/>
        <v>125</v>
      </c>
      <c r="R14" s="6">
        <v>94</v>
      </c>
      <c r="S14" s="6">
        <f t="shared" si="8"/>
        <v>571</v>
      </c>
      <c r="T14" s="5">
        <v>0.98297488876994799</v>
      </c>
      <c r="U14" s="6">
        <f t="shared" si="9"/>
        <v>561</v>
      </c>
      <c r="V14" s="6">
        <f t="shared" si="22"/>
        <v>43</v>
      </c>
      <c r="W14" s="6">
        <f t="shared" si="10"/>
        <v>604</v>
      </c>
      <c r="X14" s="6">
        <f t="shared" si="11"/>
        <v>503</v>
      </c>
      <c r="Y14" s="6">
        <f t="shared" si="12"/>
        <v>0</v>
      </c>
      <c r="Z14" s="6">
        <f t="shared" si="13"/>
        <v>101</v>
      </c>
      <c r="AA14" s="6">
        <f t="shared" si="14"/>
        <v>2</v>
      </c>
      <c r="AB14" s="6">
        <f t="shared" si="15"/>
        <v>99</v>
      </c>
      <c r="AC14" s="5">
        <f t="shared" si="16"/>
        <v>3.3797216699801194E-2</v>
      </c>
      <c r="AD14" s="5">
        <f t="shared" si="17"/>
        <v>1</v>
      </c>
      <c r="AE14" s="5">
        <f t="shared" si="18"/>
        <v>1</v>
      </c>
      <c r="AF14" s="5">
        <f t="shared" si="19"/>
        <v>0.72571428571428576</v>
      </c>
      <c r="AG14" s="5">
        <f t="shared" si="20"/>
        <v>0.80142857142857138</v>
      </c>
    </row>
    <row r="15" spans="1:33">
      <c r="A15" s="4">
        <v>46164</v>
      </c>
      <c r="B15" s="3" t="s">
        <v>63</v>
      </c>
      <c r="C15" s="3">
        <v>7</v>
      </c>
      <c r="D15" s="6">
        <v>416</v>
      </c>
      <c r="E15" s="6">
        <v>466</v>
      </c>
      <c r="F15" s="6">
        <v>560</v>
      </c>
      <c r="G15" s="6">
        <f t="shared" si="0"/>
        <v>404</v>
      </c>
      <c r="H15" s="5">
        <v>0.98161490585912681</v>
      </c>
      <c r="I15" s="6">
        <f t="shared" si="1"/>
        <v>397</v>
      </c>
      <c r="J15" s="6">
        <f t="shared" si="21"/>
        <v>80</v>
      </c>
      <c r="K15" s="6">
        <f t="shared" si="2"/>
        <v>477</v>
      </c>
      <c r="L15" s="6">
        <f t="shared" si="3"/>
        <v>466</v>
      </c>
      <c r="M15" s="6">
        <f t="shared" si="4"/>
        <v>0</v>
      </c>
      <c r="N15" s="6">
        <f t="shared" si="5"/>
        <v>11</v>
      </c>
      <c r="O15" s="5">
        <v>0.02</v>
      </c>
      <c r="P15" s="6">
        <f t="shared" si="6"/>
        <v>0</v>
      </c>
      <c r="Q15" s="6">
        <f t="shared" si="7"/>
        <v>11</v>
      </c>
      <c r="R15" s="6">
        <v>75</v>
      </c>
      <c r="S15" s="6">
        <f t="shared" si="8"/>
        <v>451</v>
      </c>
      <c r="T15" s="5">
        <v>0.99602535650737101</v>
      </c>
      <c r="U15" s="6">
        <f t="shared" si="9"/>
        <v>449</v>
      </c>
      <c r="V15" s="6">
        <f t="shared" si="22"/>
        <v>40</v>
      </c>
      <c r="W15" s="6">
        <f t="shared" si="10"/>
        <v>489</v>
      </c>
      <c r="X15" s="6">
        <f t="shared" si="11"/>
        <v>466</v>
      </c>
      <c r="Y15" s="6">
        <f t="shared" si="12"/>
        <v>0</v>
      </c>
      <c r="Z15" s="6">
        <f t="shared" si="13"/>
        <v>23</v>
      </c>
      <c r="AA15" s="6">
        <f t="shared" si="14"/>
        <v>0</v>
      </c>
      <c r="AB15" s="6">
        <f t="shared" si="15"/>
        <v>23</v>
      </c>
      <c r="AC15" s="5">
        <f t="shared" si="16"/>
        <v>0.1072961373390558</v>
      </c>
      <c r="AD15" s="5">
        <f t="shared" si="17"/>
        <v>1</v>
      </c>
      <c r="AE15" s="5">
        <f t="shared" si="18"/>
        <v>1</v>
      </c>
      <c r="AF15" s="5">
        <f t="shared" si="19"/>
        <v>0.70892857142857146</v>
      </c>
      <c r="AG15" s="5">
        <f t="shared" si="20"/>
        <v>0.80178571428571432</v>
      </c>
    </row>
    <row r="16" spans="1:33">
      <c r="A16" s="4">
        <v>46164</v>
      </c>
      <c r="B16" s="3" t="s">
        <v>64</v>
      </c>
      <c r="C16" s="3">
        <v>5</v>
      </c>
      <c r="D16" s="6">
        <v>167</v>
      </c>
      <c r="E16" s="6">
        <v>193</v>
      </c>
      <c r="F16" s="6">
        <v>230</v>
      </c>
      <c r="G16" s="6">
        <f t="shared" si="0"/>
        <v>162</v>
      </c>
      <c r="H16" s="5">
        <v>1.0078041243481468</v>
      </c>
      <c r="I16" s="6">
        <f t="shared" si="1"/>
        <v>163</v>
      </c>
      <c r="J16" s="6">
        <f t="shared" si="21"/>
        <v>56</v>
      </c>
      <c r="K16" s="6">
        <f t="shared" si="2"/>
        <v>219</v>
      </c>
      <c r="L16" s="6">
        <f t="shared" si="3"/>
        <v>193</v>
      </c>
      <c r="M16" s="6">
        <f t="shared" si="4"/>
        <v>0</v>
      </c>
      <c r="N16" s="6">
        <f t="shared" si="5"/>
        <v>26</v>
      </c>
      <c r="O16" s="5">
        <v>2.5000000000000001E-2</v>
      </c>
      <c r="P16" s="6">
        <f t="shared" si="6"/>
        <v>1</v>
      </c>
      <c r="Q16" s="6">
        <f t="shared" si="7"/>
        <v>25</v>
      </c>
      <c r="R16" s="6">
        <v>33</v>
      </c>
      <c r="S16" s="6">
        <f t="shared" si="8"/>
        <v>168</v>
      </c>
      <c r="T16" s="5">
        <v>0.98313211864986871</v>
      </c>
      <c r="U16" s="6">
        <f t="shared" si="9"/>
        <v>165</v>
      </c>
      <c r="V16" s="6">
        <f t="shared" si="22"/>
        <v>32</v>
      </c>
      <c r="W16" s="6">
        <f t="shared" si="10"/>
        <v>197</v>
      </c>
      <c r="X16" s="6">
        <f t="shared" si="11"/>
        <v>193</v>
      </c>
      <c r="Y16" s="6">
        <f t="shared" si="12"/>
        <v>0</v>
      </c>
      <c r="Z16" s="6">
        <f t="shared" si="13"/>
        <v>4</v>
      </c>
      <c r="AA16" s="6">
        <f t="shared" si="14"/>
        <v>0</v>
      </c>
      <c r="AB16" s="6">
        <f t="shared" si="15"/>
        <v>4</v>
      </c>
      <c r="AC16" s="5">
        <f t="shared" si="16"/>
        <v>0.13471502590673576</v>
      </c>
      <c r="AD16" s="5">
        <f t="shared" si="17"/>
        <v>1</v>
      </c>
      <c r="AE16" s="5">
        <f t="shared" si="18"/>
        <v>1</v>
      </c>
      <c r="AF16" s="5">
        <f t="shared" si="19"/>
        <v>0.70869565217391306</v>
      </c>
      <c r="AG16" s="5">
        <f t="shared" si="20"/>
        <v>0.71739130434782605</v>
      </c>
    </row>
    <row r="17" spans="1:33">
      <c r="A17" s="4">
        <v>46165</v>
      </c>
      <c r="B17" s="3" t="s">
        <v>60</v>
      </c>
      <c r="C17" s="3">
        <v>2</v>
      </c>
      <c r="D17" s="6">
        <v>1940</v>
      </c>
      <c r="E17" s="6">
        <v>1812</v>
      </c>
      <c r="F17" s="6">
        <v>2250</v>
      </c>
      <c r="G17" s="6">
        <f t="shared" si="0"/>
        <v>1882</v>
      </c>
      <c r="H17" s="5">
        <v>1.0129823088019083</v>
      </c>
      <c r="I17" s="6">
        <f t="shared" si="1"/>
        <v>1906</v>
      </c>
      <c r="J17" s="6">
        <f t="shared" si="21"/>
        <v>467</v>
      </c>
      <c r="K17" s="6">
        <f t="shared" si="2"/>
        <v>2373</v>
      </c>
      <c r="L17" s="6">
        <f t="shared" si="3"/>
        <v>1812</v>
      </c>
      <c r="M17" s="6">
        <f t="shared" si="4"/>
        <v>0</v>
      </c>
      <c r="N17" s="6">
        <f t="shared" si="5"/>
        <v>561</v>
      </c>
      <c r="O17" s="5">
        <v>2.5000000000000001E-2</v>
      </c>
      <c r="P17" s="6">
        <f t="shared" si="6"/>
        <v>14</v>
      </c>
      <c r="Q17" s="6">
        <f t="shared" si="7"/>
        <v>547</v>
      </c>
      <c r="R17" s="6">
        <v>233</v>
      </c>
      <c r="S17" s="6">
        <f t="shared" si="8"/>
        <v>1852</v>
      </c>
      <c r="T17" s="5">
        <v>0.98243117156816018</v>
      </c>
      <c r="U17" s="6">
        <f t="shared" si="9"/>
        <v>1819</v>
      </c>
      <c r="V17" s="6">
        <f t="shared" si="22"/>
        <v>321</v>
      </c>
      <c r="W17" s="6">
        <f t="shared" si="10"/>
        <v>2140</v>
      </c>
      <c r="X17" s="6">
        <f t="shared" si="11"/>
        <v>1812</v>
      </c>
      <c r="Y17" s="6">
        <f t="shared" si="12"/>
        <v>0</v>
      </c>
      <c r="Z17" s="6">
        <f t="shared" si="13"/>
        <v>328</v>
      </c>
      <c r="AA17" s="6">
        <f t="shared" si="14"/>
        <v>8</v>
      </c>
      <c r="AB17" s="6">
        <f t="shared" si="15"/>
        <v>320</v>
      </c>
      <c r="AC17" s="5">
        <f t="shared" si="16"/>
        <v>7.0640176600441501E-2</v>
      </c>
      <c r="AD17" s="5">
        <f t="shared" si="17"/>
        <v>1</v>
      </c>
      <c r="AE17" s="5">
        <f t="shared" si="18"/>
        <v>1</v>
      </c>
      <c r="AF17" s="5">
        <f t="shared" si="19"/>
        <v>0.84711111111111115</v>
      </c>
      <c r="AG17" s="5">
        <f t="shared" si="20"/>
        <v>0.80844444444444441</v>
      </c>
    </row>
    <row r="18" spans="1:33">
      <c r="A18" s="4">
        <v>46165</v>
      </c>
      <c r="B18" s="3" t="s">
        <v>61</v>
      </c>
      <c r="C18" s="3">
        <v>2</v>
      </c>
      <c r="D18" s="6">
        <v>970</v>
      </c>
      <c r="E18" s="6">
        <v>922</v>
      </c>
      <c r="F18" s="6">
        <v>1200</v>
      </c>
      <c r="G18" s="6">
        <f t="shared" si="0"/>
        <v>941</v>
      </c>
      <c r="H18" s="5">
        <v>1.0011800336959413</v>
      </c>
      <c r="I18" s="6">
        <f t="shared" si="1"/>
        <v>942</v>
      </c>
      <c r="J18" s="6">
        <f t="shared" si="21"/>
        <v>269</v>
      </c>
      <c r="K18" s="6">
        <f t="shared" si="2"/>
        <v>1211</v>
      </c>
      <c r="L18" s="6">
        <f t="shared" si="3"/>
        <v>922</v>
      </c>
      <c r="M18" s="6">
        <f t="shared" si="4"/>
        <v>0</v>
      </c>
      <c r="N18" s="6">
        <f t="shared" si="5"/>
        <v>289</v>
      </c>
      <c r="O18" s="5">
        <v>0.03</v>
      </c>
      <c r="P18" s="6">
        <f t="shared" si="6"/>
        <v>9</v>
      </c>
      <c r="Q18" s="6">
        <f t="shared" si="7"/>
        <v>280</v>
      </c>
      <c r="R18" s="6">
        <v>116</v>
      </c>
      <c r="S18" s="6">
        <f t="shared" si="8"/>
        <v>867</v>
      </c>
      <c r="T18" s="5">
        <v>1.0081582458251823</v>
      </c>
      <c r="U18" s="6">
        <f t="shared" si="9"/>
        <v>874</v>
      </c>
      <c r="V18" s="6">
        <f t="shared" si="22"/>
        <v>219</v>
      </c>
      <c r="W18" s="6">
        <f t="shared" si="10"/>
        <v>1093</v>
      </c>
      <c r="X18" s="6">
        <f t="shared" si="11"/>
        <v>922</v>
      </c>
      <c r="Y18" s="6">
        <f t="shared" si="12"/>
        <v>0</v>
      </c>
      <c r="Z18" s="6">
        <f t="shared" si="13"/>
        <v>171</v>
      </c>
      <c r="AA18" s="6">
        <f t="shared" si="14"/>
        <v>5</v>
      </c>
      <c r="AB18" s="6">
        <f t="shared" si="15"/>
        <v>166</v>
      </c>
      <c r="AC18" s="5">
        <f t="shared" si="16"/>
        <v>5.2060737527114966E-2</v>
      </c>
      <c r="AD18" s="5">
        <f t="shared" si="17"/>
        <v>1</v>
      </c>
      <c r="AE18" s="5">
        <f t="shared" si="18"/>
        <v>1</v>
      </c>
      <c r="AF18" s="5">
        <f t="shared" si="19"/>
        <v>0.78500000000000003</v>
      </c>
      <c r="AG18" s="5">
        <f t="shared" si="20"/>
        <v>0.72833333333333339</v>
      </c>
    </row>
    <row r="19" spans="1:33">
      <c r="A19" s="4">
        <v>46165</v>
      </c>
      <c r="B19" s="3" t="s">
        <v>62</v>
      </c>
      <c r="C19" s="3">
        <v>7</v>
      </c>
      <c r="D19" s="6">
        <v>571</v>
      </c>
      <c r="E19" s="6">
        <v>506</v>
      </c>
      <c r="F19" s="6">
        <v>700</v>
      </c>
      <c r="G19" s="6">
        <f t="shared" si="0"/>
        <v>554</v>
      </c>
      <c r="H19" s="5">
        <v>1.0147385072401498</v>
      </c>
      <c r="I19" s="6">
        <f t="shared" si="1"/>
        <v>562</v>
      </c>
      <c r="J19" s="6">
        <f t="shared" si="21"/>
        <v>125</v>
      </c>
      <c r="K19" s="6">
        <f t="shared" si="2"/>
        <v>687</v>
      </c>
      <c r="L19" s="6">
        <f t="shared" si="3"/>
        <v>506</v>
      </c>
      <c r="M19" s="6">
        <f t="shared" si="4"/>
        <v>0</v>
      </c>
      <c r="N19" s="6">
        <f t="shared" si="5"/>
        <v>181</v>
      </c>
      <c r="O19" s="5">
        <v>1.7999999999999999E-2</v>
      </c>
      <c r="P19" s="6">
        <f t="shared" si="6"/>
        <v>3</v>
      </c>
      <c r="Q19" s="6">
        <f t="shared" si="7"/>
        <v>178</v>
      </c>
      <c r="R19" s="6">
        <v>103</v>
      </c>
      <c r="S19" s="6">
        <f t="shared" si="8"/>
        <v>575</v>
      </c>
      <c r="T19" s="5">
        <v>0.99648667012705805</v>
      </c>
      <c r="U19" s="6">
        <f t="shared" si="9"/>
        <v>573</v>
      </c>
      <c r="V19" s="6">
        <f t="shared" si="22"/>
        <v>99</v>
      </c>
      <c r="W19" s="6">
        <f t="shared" si="10"/>
        <v>672</v>
      </c>
      <c r="X19" s="6">
        <f t="shared" si="11"/>
        <v>506</v>
      </c>
      <c r="Y19" s="6">
        <f t="shared" si="12"/>
        <v>0</v>
      </c>
      <c r="Z19" s="6">
        <f t="shared" si="13"/>
        <v>166</v>
      </c>
      <c r="AA19" s="6">
        <f t="shared" si="14"/>
        <v>3</v>
      </c>
      <c r="AB19" s="6">
        <f t="shared" si="15"/>
        <v>163</v>
      </c>
      <c r="AC19" s="5">
        <f t="shared" si="16"/>
        <v>0.12845849802371542</v>
      </c>
      <c r="AD19" s="5">
        <f t="shared" si="17"/>
        <v>1</v>
      </c>
      <c r="AE19" s="5">
        <f t="shared" si="18"/>
        <v>1</v>
      </c>
      <c r="AF19" s="5">
        <f t="shared" si="19"/>
        <v>0.80285714285714282</v>
      </c>
      <c r="AG19" s="5">
        <f t="shared" si="20"/>
        <v>0.81857142857142862</v>
      </c>
    </row>
    <row r="20" spans="1:33">
      <c r="A20" s="4">
        <v>46165</v>
      </c>
      <c r="B20" s="3" t="s">
        <v>63</v>
      </c>
      <c r="C20" s="3">
        <v>7</v>
      </c>
      <c r="D20" s="6">
        <v>452</v>
      </c>
      <c r="E20" s="6">
        <v>488</v>
      </c>
      <c r="F20" s="6">
        <v>560</v>
      </c>
      <c r="G20" s="6">
        <f t="shared" si="0"/>
        <v>438</v>
      </c>
      <c r="H20" s="5">
        <v>0.99932039136615536</v>
      </c>
      <c r="I20" s="6">
        <f t="shared" si="1"/>
        <v>438</v>
      </c>
      <c r="J20" s="6">
        <f t="shared" si="21"/>
        <v>11</v>
      </c>
      <c r="K20" s="6">
        <f t="shared" si="2"/>
        <v>449</v>
      </c>
      <c r="L20" s="6">
        <f t="shared" si="3"/>
        <v>449</v>
      </c>
      <c r="M20" s="6">
        <f t="shared" si="4"/>
        <v>39</v>
      </c>
      <c r="N20" s="6">
        <f t="shared" si="5"/>
        <v>0</v>
      </c>
      <c r="O20" s="5">
        <v>0.02</v>
      </c>
      <c r="P20" s="6">
        <f t="shared" si="6"/>
        <v>0</v>
      </c>
      <c r="Q20" s="6">
        <f t="shared" si="7"/>
        <v>0</v>
      </c>
      <c r="R20" s="6">
        <v>81</v>
      </c>
      <c r="S20" s="6">
        <f t="shared" si="8"/>
        <v>510</v>
      </c>
      <c r="T20" s="5">
        <v>0.98763667422663404</v>
      </c>
      <c r="U20" s="6">
        <f t="shared" si="9"/>
        <v>504</v>
      </c>
      <c r="V20" s="6">
        <f t="shared" si="22"/>
        <v>23</v>
      </c>
      <c r="W20" s="6">
        <f t="shared" si="10"/>
        <v>527</v>
      </c>
      <c r="X20" s="6">
        <f t="shared" si="11"/>
        <v>488</v>
      </c>
      <c r="Y20" s="6">
        <f t="shared" si="12"/>
        <v>0</v>
      </c>
      <c r="Z20" s="6">
        <f t="shared" si="13"/>
        <v>39</v>
      </c>
      <c r="AA20" s="6">
        <f t="shared" si="14"/>
        <v>1</v>
      </c>
      <c r="AB20" s="6">
        <f t="shared" si="15"/>
        <v>38</v>
      </c>
      <c r="AC20" s="5">
        <f t="shared" si="16"/>
        <v>7.3770491803278687E-2</v>
      </c>
      <c r="AD20" s="5">
        <f t="shared" si="17"/>
        <v>0.92008196721311475</v>
      </c>
      <c r="AE20" s="5">
        <f t="shared" si="18"/>
        <v>1</v>
      </c>
      <c r="AF20" s="5">
        <f t="shared" si="19"/>
        <v>0.78214285714285714</v>
      </c>
      <c r="AG20" s="5">
        <f t="shared" si="20"/>
        <v>0.9</v>
      </c>
    </row>
    <row r="21" spans="1:33">
      <c r="A21" s="4">
        <v>46165</v>
      </c>
      <c r="B21" s="3" t="s">
        <v>64</v>
      </c>
      <c r="C21" s="3">
        <v>5</v>
      </c>
      <c r="D21" s="6">
        <v>179</v>
      </c>
      <c r="E21" s="6">
        <v>152</v>
      </c>
      <c r="F21" s="6">
        <v>230</v>
      </c>
      <c r="G21" s="6">
        <f t="shared" si="0"/>
        <v>174</v>
      </c>
      <c r="H21" s="5">
        <v>0.98347579675283736</v>
      </c>
      <c r="I21" s="6">
        <f t="shared" si="1"/>
        <v>171</v>
      </c>
      <c r="J21" s="6">
        <f t="shared" si="21"/>
        <v>25</v>
      </c>
      <c r="K21" s="6">
        <f t="shared" si="2"/>
        <v>196</v>
      </c>
      <c r="L21" s="6">
        <f t="shared" si="3"/>
        <v>152</v>
      </c>
      <c r="M21" s="6">
        <f t="shared" si="4"/>
        <v>0</v>
      </c>
      <c r="N21" s="6">
        <f t="shared" si="5"/>
        <v>44</v>
      </c>
      <c r="O21" s="5">
        <v>2.5000000000000001E-2</v>
      </c>
      <c r="P21" s="6">
        <f t="shared" si="6"/>
        <v>1</v>
      </c>
      <c r="Q21" s="6">
        <f t="shared" si="7"/>
        <v>43</v>
      </c>
      <c r="R21" s="6">
        <v>36</v>
      </c>
      <c r="S21" s="6">
        <f t="shared" si="8"/>
        <v>211</v>
      </c>
      <c r="T21" s="5">
        <v>1.0004045510562605</v>
      </c>
      <c r="U21" s="6">
        <f t="shared" si="9"/>
        <v>211</v>
      </c>
      <c r="V21" s="6">
        <f t="shared" si="22"/>
        <v>4</v>
      </c>
      <c r="W21" s="6">
        <f t="shared" si="10"/>
        <v>215</v>
      </c>
      <c r="X21" s="6">
        <f t="shared" si="11"/>
        <v>152</v>
      </c>
      <c r="Y21" s="6">
        <f t="shared" si="12"/>
        <v>0</v>
      </c>
      <c r="Z21" s="6">
        <f t="shared" si="13"/>
        <v>63</v>
      </c>
      <c r="AA21" s="6">
        <f t="shared" si="14"/>
        <v>2</v>
      </c>
      <c r="AB21" s="6">
        <f t="shared" si="15"/>
        <v>61</v>
      </c>
      <c r="AC21" s="5">
        <f t="shared" si="16"/>
        <v>0.17763157894736842</v>
      </c>
      <c r="AD21" s="5">
        <f t="shared" si="17"/>
        <v>1</v>
      </c>
      <c r="AE21" s="5">
        <f t="shared" si="18"/>
        <v>1</v>
      </c>
      <c r="AF21" s="5">
        <f t="shared" si="19"/>
        <v>0.74347826086956526</v>
      </c>
      <c r="AG21" s="5">
        <f t="shared" si="20"/>
        <v>0.91739130434782612</v>
      </c>
    </row>
    <row r="22" spans="1:33">
      <c r="A22" s="4">
        <v>46166</v>
      </c>
      <c r="B22" s="3" t="s">
        <v>60</v>
      </c>
      <c r="C22" s="3">
        <v>2</v>
      </c>
      <c r="D22" s="6">
        <v>1907</v>
      </c>
      <c r="E22" s="6">
        <v>1583</v>
      </c>
      <c r="F22" s="6">
        <v>2250</v>
      </c>
      <c r="G22" s="6">
        <f t="shared" si="0"/>
        <v>1850</v>
      </c>
      <c r="H22" s="5">
        <v>1.0143076128257857</v>
      </c>
      <c r="I22" s="6">
        <f t="shared" si="1"/>
        <v>1876</v>
      </c>
      <c r="J22" s="6">
        <f t="shared" si="21"/>
        <v>547</v>
      </c>
      <c r="K22" s="6">
        <f t="shared" si="2"/>
        <v>2423</v>
      </c>
      <c r="L22" s="6">
        <f t="shared" si="3"/>
        <v>1583</v>
      </c>
      <c r="M22" s="6">
        <f t="shared" si="4"/>
        <v>0</v>
      </c>
      <c r="N22" s="6">
        <f t="shared" si="5"/>
        <v>840</v>
      </c>
      <c r="O22" s="5">
        <v>2.5000000000000001E-2</v>
      </c>
      <c r="P22" s="6">
        <f t="shared" si="6"/>
        <v>21</v>
      </c>
      <c r="Q22" s="6">
        <f t="shared" si="7"/>
        <v>819</v>
      </c>
      <c r="R22" s="6">
        <v>229</v>
      </c>
      <c r="S22" s="6">
        <f t="shared" si="8"/>
        <v>1816</v>
      </c>
      <c r="T22" s="5">
        <v>1.0192482150288771</v>
      </c>
      <c r="U22" s="6">
        <f t="shared" si="9"/>
        <v>1851</v>
      </c>
      <c r="V22" s="6">
        <f t="shared" si="22"/>
        <v>320</v>
      </c>
      <c r="W22" s="6">
        <f t="shared" si="10"/>
        <v>2171</v>
      </c>
      <c r="X22" s="6">
        <f t="shared" si="11"/>
        <v>1583</v>
      </c>
      <c r="Y22" s="6">
        <f t="shared" si="12"/>
        <v>0</v>
      </c>
      <c r="Z22" s="6">
        <f t="shared" si="13"/>
        <v>588</v>
      </c>
      <c r="AA22" s="6">
        <f t="shared" si="14"/>
        <v>15</v>
      </c>
      <c r="AB22" s="6">
        <f t="shared" si="15"/>
        <v>573</v>
      </c>
      <c r="AC22" s="5">
        <f t="shared" si="16"/>
        <v>0.20467466835123183</v>
      </c>
      <c r="AD22" s="5">
        <f t="shared" si="17"/>
        <v>1</v>
      </c>
      <c r="AE22" s="5">
        <f t="shared" si="18"/>
        <v>1</v>
      </c>
      <c r="AF22" s="5">
        <f t="shared" si="19"/>
        <v>0.83377777777777773</v>
      </c>
      <c r="AG22" s="5">
        <f t="shared" si="20"/>
        <v>0.82266666666666666</v>
      </c>
    </row>
    <row r="23" spans="1:33">
      <c r="A23" s="4">
        <v>46166</v>
      </c>
      <c r="B23" s="3" t="s">
        <v>61</v>
      </c>
      <c r="C23" s="3">
        <v>2</v>
      </c>
      <c r="D23" s="6">
        <v>953</v>
      </c>
      <c r="E23" s="6">
        <v>830</v>
      </c>
      <c r="F23" s="6">
        <v>1200</v>
      </c>
      <c r="G23" s="6">
        <f t="shared" si="0"/>
        <v>924</v>
      </c>
      <c r="H23" s="5">
        <v>0.99884193433930601</v>
      </c>
      <c r="I23" s="6">
        <f t="shared" si="1"/>
        <v>923</v>
      </c>
      <c r="J23" s="6">
        <f t="shared" si="21"/>
        <v>280</v>
      </c>
      <c r="K23" s="6">
        <f t="shared" si="2"/>
        <v>1203</v>
      </c>
      <c r="L23" s="6">
        <f t="shared" si="3"/>
        <v>830</v>
      </c>
      <c r="M23" s="6">
        <f t="shared" si="4"/>
        <v>0</v>
      </c>
      <c r="N23" s="6">
        <f t="shared" si="5"/>
        <v>373</v>
      </c>
      <c r="O23" s="5">
        <v>0.03</v>
      </c>
      <c r="P23" s="6">
        <f t="shared" si="6"/>
        <v>11</v>
      </c>
      <c r="Q23" s="6">
        <f t="shared" si="7"/>
        <v>362</v>
      </c>
      <c r="R23" s="6">
        <v>114</v>
      </c>
      <c r="S23" s="6">
        <f t="shared" si="8"/>
        <v>901</v>
      </c>
      <c r="T23" s="5">
        <v>0.99023980588429505</v>
      </c>
      <c r="U23" s="6">
        <f t="shared" si="9"/>
        <v>892</v>
      </c>
      <c r="V23" s="6">
        <f t="shared" si="22"/>
        <v>166</v>
      </c>
      <c r="W23" s="6">
        <f t="shared" si="10"/>
        <v>1058</v>
      </c>
      <c r="X23" s="6">
        <f t="shared" si="11"/>
        <v>830</v>
      </c>
      <c r="Y23" s="6">
        <f t="shared" si="12"/>
        <v>0</v>
      </c>
      <c r="Z23" s="6">
        <f t="shared" si="13"/>
        <v>228</v>
      </c>
      <c r="AA23" s="6">
        <f t="shared" si="14"/>
        <v>7</v>
      </c>
      <c r="AB23" s="6">
        <f t="shared" si="15"/>
        <v>221</v>
      </c>
      <c r="AC23" s="5">
        <f t="shared" si="16"/>
        <v>0.14819277108433734</v>
      </c>
      <c r="AD23" s="5">
        <f t="shared" si="17"/>
        <v>1</v>
      </c>
      <c r="AE23" s="5">
        <f t="shared" si="18"/>
        <v>1</v>
      </c>
      <c r="AF23" s="5">
        <f t="shared" si="19"/>
        <v>0.76916666666666667</v>
      </c>
      <c r="AG23" s="5">
        <f t="shared" si="20"/>
        <v>0.74333333333333329</v>
      </c>
    </row>
    <row r="24" spans="1:33">
      <c r="A24" s="4">
        <v>46166</v>
      </c>
      <c r="B24" s="3" t="s">
        <v>62</v>
      </c>
      <c r="C24" s="3">
        <v>7</v>
      </c>
      <c r="D24" s="6">
        <v>581</v>
      </c>
      <c r="E24" s="6">
        <v>676</v>
      </c>
      <c r="F24" s="6">
        <v>700</v>
      </c>
      <c r="G24" s="6">
        <f t="shared" si="0"/>
        <v>564</v>
      </c>
      <c r="H24" s="5">
        <v>0.98609978652665387</v>
      </c>
      <c r="I24" s="6">
        <f t="shared" si="1"/>
        <v>556</v>
      </c>
      <c r="J24" s="6">
        <f t="shared" si="21"/>
        <v>178</v>
      </c>
      <c r="K24" s="6">
        <f t="shared" si="2"/>
        <v>734</v>
      </c>
      <c r="L24" s="6">
        <f t="shared" si="3"/>
        <v>676</v>
      </c>
      <c r="M24" s="6">
        <f t="shared" si="4"/>
        <v>0</v>
      </c>
      <c r="N24" s="6">
        <f t="shared" si="5"/>
        <v>58</v>
      </c>
      <c r="O24" s="5">
        <v>1.7999999999999999E-2</v>
      </c>
      <c r="P24" s="6">
        <f t="shared" si="6"/>
        <v>1</v>
      </c>
      <c r="Q24" s="6">
        <f t="shared" si="7"/>
        <v>57</v>
      </c>
      <c r="R24" s="6">
        <v>105</v>
      </c>
      <c r="S24" s="6">
        <f t="shared" si="8"/>
        <v>523</v>
      </c>
      <c r="T24" s="5">
        <v>1.0126264984681148</v>
      </c>
      <c r="U24" s="6">
        <f t="shared" si="9"/>
        <v>530</v>
      </c>
      <c r="V24" s="6">
        <f t="shared" si="22"/>
        <v>163</v>
      </c>
      <c r="W24" s="6">
        <f t="shared" si="10"/>
        <v>693</v>
      </c>
      <c r="X24" s="6">
        <f t="shared" si="11"/>
        <v>676</v>
      </c>
      <c r="Y24" s="6">
        <f t="shared" si="12"/>
        <v>0</v>
      </c>
      <c r="Z24" s="6">
        <f t="shared" si="13"/>
        <v>17</v>
      </c>
      <c r="AA24" s="6">
        <f t="shared" si="14"/>
        <v>0</v>
      </c>
      <c r="AB24" s="6">
        <f t="shared" si="15"/>
        <v>17</v>
      </c>
      <c r="AC24" s="5">
        <f t="shared" si="16"/>
        <v>0.14053254437869822</v>
      </c>
      <c r="AD24" s="5">
        <f t="shared" si="17"/>
        <v>1</v>
      </c>
      <c r="AE24" s="5">
        <f t="shared" si="18"/>
        <v>1</v>
      </c>
      <c r="AF24" s="5">
        <f t="shared" si="19"/>
        <v>0.79428571428571426</v>
      </c>
      <c r="AG24" s="5">
        <f t="shared" si="20"/>
        <v>0.75714285714285712</v>
      </c>
    </row>
    <row r="25" spans="1:33">
      <c r="A25" s="4">
        <v>46166</v>
      </c>
      <c r="B25" s="3" t="s">
        <v>63</v>
      </c>
      <c r="C25" s="3">
        <v>7</v>
      </c>
      <c r="D25" s="6">
        <v>465</v>
      </c>
      <c r="E25" s="6">
        <v>387</v>
      </c>
      <c r="F25" s="6">
        <v>560</v>
      </c>
      <c r="G25" s="6">
        <f t="shared" si="0"/>
        <v>451</v>
      </c>
      <c r="H25" s="5">
        <v>1.0031725934185487</v>
      </c>
      <c r="I25" s="6">
        <f t="shared" si="1"/>
        <v>452</v>
      </c>
      <c r="J25" s="6">
        <f t="shared" si="21"/>
        <v>0</v>
      </c>
      <c r="K25" s="6">
        <f t="shared" si="2"/>
        <v>452</v>
      </c>
      <c r="L25" s="6">
        <f t="shared" si="3"/>
        <v>387</v>
      </c>
      <c r="M25" s="6">
        <f t="shared" si="4"/>
        <v>0</v>
      </c>
      <c r="N25" s="6">
        <f t="shared" si="5"/>
        <v>65</v>
      </c>
      <c r="O25" s="5">
        <v>0.02</v>
      </c>
      <c r="P25" s="6">
        <f t="shared" si="6"/>
        <v>1</v>
      </c>
      <c r="Q25" s="6">
        <f t="shared" si="7"/>
        <v>64</v>
      </c>
      <c r="R25" s="6">
        <v>84</v>
      </c>
      <c r="S25" s="6">
        <f t="shared" si="8"/>
        <v>511</v>
      </c>
      <c r="T25" s="5">
        <v>0.98922096364314016</v>
      </c>
      <c r="U25" s="6">
        <f t="shared" si="9"/>
        <v>505</v>
      </c>
      <c r="V25" s="6">
        <f t="shared" si="22"/>
        <v>38</v>
      </c>
      <c r="W25" s="6">
        <f t="shared" si="10"/>
        <v>543</v>
      </c>
      <c r="X25" s="6">
        <f t="shared" si="11"/>
        <v>387</v>
      </c>
      <c r="Y25" s="6">
        <f t="shared" si="12"/>
        <v>0</v>
      </c>
      <c r="Z25" s="6">
        <f t="shared" si="13"/>
        <v>156</v>
      </c>
      <c r="AA25" s="6">
        <f t="shared" si="14"/>
        <v>3</v>
      </c>
      <c r="AB25" s="6">
        <f t="shared" si="15"/>
        <v>153</v>
      </c>
      <c r="AC25" s="5">
        <f t="shared" si="16"/>
        <v>0.20155038759689922</v>
      </c>
      <c r="AD25" s="5">
        <f t="shared" si="17"/>
        <v>1</v>
      </c>
      <c r="AE25" s="5">
        <f t="shared" si="18"/>
        <v>1</v>
      </c>
      <c r="AF25" s="5">
        <f t="shared" si="19"/>
        <v>0.80714285714285716</v>
      </c>
      <c r="AG25" s="5">
        <f t="shared" si="20"/>
        <v>0.9017857142857143</v>
      </c>
    </row>
    <row r="26" spans="1:33">
      <c r="A26" s="4">
        <v>46166</v>
      </c>
      <c r="B26" s="3" t="s">
        <v>64</v>
      </c>
      <c r="C26" s="3">
        <v>5</v>
      </c>
      <c r="D26" s="6">
        <v>184</v>
      </c>
      <c r="E26" s="6">
        <v>199</v>
      </c>
      <c r="F26" s="6">
        <v>230</v>
      </c>
      <c r="G26" s="6">
        <f t="shared" si="0"/>
        <v>178</v>
      </c>
      <c r="H26" s="5">
        <v>0.98459636890866065</v>
      </c>
      <c r="I26" s="6">
        <f t="shared" si="1"/>
        <v>175</v>
      </c>
      <c r="J26" s="6">
        <f t="shared" si="21"/>
        <v>43</v>
      </c>
      <c r="K26" s="6">
        <f t="shared" si="2"/>
        <v>218</v>
      </c>
      <c r="L26" s="6">
        <f t="shared" si="3"/>
        <v>199</v>
      </c>
      <c r="M26" s="6">
        <f t="shared" si="4"/>
        <v>0</v>
      </c>
      <c r="N26" s="6">
        <f t="shared" si="5"/>
        <v>19</v>
      </c>
      <c r="O26" s="5">
        <v>2.5000000000000001E-2</v>
      </c>
      <c r="P26" s="6">
        <f t="shared" si="6"/>
        <v>0</v>
      </c>
      <c r="Q26" s="6">
        <f t="shared" si="7"/>
        <v>19</v>
      </c>
      <c r="R26" s="6">
        <v>37</v>
      </c>
      <c r="S26" s="6">
        <f t="shared" si="8"/>
        <v>160</v>
      </c>
      <c r="T26" s="5">
        <v>0.98234343563509108</v>
      </c>
      <c r="U26" s="6">
        <f t="shared" si="9"/>
        <v>157</v>
      </c>
      <c r="V26" s="6">
        <f t="shared" si="22"/>
        <v>61</v>
      </c>
      <c r="W26" s="6">
        <f t="shared" si="10"/>
        <v>218</v>
      </c>
      <c r="X26" s="6">
        <f t="shared" si="11"/>
        <v>199</v>
      </c>
      <c r="Y26" s="6">
        <f t="shared" si="12"/>
        <v>0</v>
      </c>
      <c r="Z26" s="6">
        <f t="shared" si="13"/>
        <v>19</v>
      </c>
      <c r="AA26" s="6">
        <f t="shared" si="14"/>
        <v>0</v>
      </c>
      <c r="AB26" s="6">
        <f t="shared" si="15"/>
        <v>19</v>
      </c>
      <c r="AC26" s="5">
        <f t="shared" si="16"/>
        <v>7.5376884422110546E-2</v>
      </c>
      <c r="AD26" s="5">
        <f t="shared" si="17"/>
        <v>1</v>
      </c>
      <c r="AE26" s="5">
        <f t="shared" si="18"/>
        <v>1</v>
      </c>
      <c r="AF26" s="5">
        <f t="shared" si="19"/>
        <v>0.76086956521739135</v>
      </c>
      <c r="AG26" s="5">
        <f t="shared" si="20"/>
        <v>0.68260869565217386</v>
      </c>
    </row>
    <row r="27" spans="1:33">
      <c r="A27" s="4">
        <v>46167</v>
      </c>
      <c r="B27" s="3" t="s">
        <v>60</v>
      </c>
      <c r="C27" s="3">
        <v>2</v>
      </c>
      <c r="D27" s="6">
        <v>1635</v>
      </c>
      <c r="E27" s="6">
        <v>1350</v>
      </c>
      <c r="F27" s="6">
        <v>2250</v>
      </c>
      <c r="G27" s="6">
        <f t="shared" si="0"/>
        <v>1586</v>
      </c>
      <c r="H27" s="5">
        <v>1.01831024742093</v>
      </c>
      <c r="I27" s="6">
        <f t="shared" si="1"/>
        <v>1615</v>
      </c>
      <c r="J27" s="6">
        <f t="shared" si="21"/>
        <v>819</v>
      </c>
      <c r="K27" s="6">
        <f t="shared" si="2"/>
        <v>2434</v>
      </c>
      <c r="L27" s="6">
        <f t="shared" si="3"/>
        <v>1350</v>
      </c>
      <c r="M27" s="6">
        <f t="shared" si="4"/>
        <v>0</v>
      </c>
      <c r="N27" s="6">
        <f t="shared" si="5"/>
        <v>1084</v>
      </c>
      <c r="O27" s="5">
        <v>2.5000000000000001E-2</v>
      </c>
      <c r="P27" s="6">
        <f t="shared" si="6"/>
        <v>27</v>
      </c>
      <c r="Q27" s="6">
        <f t="shared" si="7"/>
        <v>1057</v>
      </c>
      <c r="R27" s="6">
        <v>196</v>
      </c>
      <c r="S27" s="6">
        <f t="shared" si="8"/>
        <v>1258</v>
      </c>
      <c r="T27" s="5">
        <v>1.0101668732819444</v>
      </c>
      <c r="U27" s="6">
        <f t="shared" si="9"/>
        <v>1271</v>
      </c>
      <c r="V27" s="6">
        <f t="shared" si="22"/>
        <v>573</v>
      </c>
      <c r="W27" s="6">
        <f t="shared" si="10"/>
        <v>1844</v>
      </c>
      <c r="X27" s="6">
        <f t="shared" si="11"/>
        <v>1350</v>
      </c>
      <c r="Y27" s="6">
        <f t="shared" si="12"/>
        <v>0</v>
      </c>
      <c r="Z27" s="6">
        <f t="shared" si="13"/>
        <v>494</v>
      </c>
      <c r="AA27" s="6">
        <f t="shared" si="14"/>
        <v>12</v>
      </c>
      <c r="AB27" s="6">
        <f t="shared" si="15"/>
        <v>482</v>
      </c>
      <c r="AC27" s="5">
        <f t="shared" si="16"/>
        <v>0.21111111111111111</v>
      </c>
      <c r="AD27" s="5">
        <f t="shared" si="17"/>
        <v>1</v>
      </c>
      <c r="AE27" s="5">
        <f t="shared" si="18"/>
        <v>1</v>
      </c>
      <c r="AF27" s="5">
        <f t="shared" si="19"/>
        <v>0.71777777777777774</v>
      </c>
      <c r="AG27" s="5">
        <f t="shared" si="20"/>
        <v>0.56488888888888888</v>
      </c>
    </row>
    <row r="28" spans="1:33">
      <c r="A28" s="4">
        <v>46167</v>
      </c>
      <c r="B28" s="3" t="s">
        <v>61</v>
      </c>
      <c r="C28" s="3">
        <v>2</v>
      </c>
      <c r="D28" s="6">
        <v>809</v>
      </c>
      <c r="E28" s="6">
        <v>887</v>
      </c>
      <c r="F28" s="6">
        <v>1200</v>
      </c>
      <c r="G28" s="6">
        <f t="shared" si="0"/>
        <v>785</v>
      </c>
      <c r="H28" s="5">
        <v>1.016033433729423</v>
      </c>
      <c r="I28" s="6">
        <f t="shared" si="1"/>
        <v>798</v>
      </c>
      <c r="J28" s="6">
        <f t="shared" si="21"/>
        <v>362</v>
      </c>
      <c r="K28" s="6">
        <f t="shared" si="2"/>
        <v>1160</v>
      </c>
      <c r="L28" s="6">
        <f t="shared" si="3"/>
        <v>887</v>
      </c>
      <c r="M28" s="6">
        <f t="shared" si="4"/>
        <v>0</v>
      </c>
      <c r="N28" s="6">
        <f t="shared" si="5"/>
        <v>273</v>
      </c>
      <c r="O28" s="5">
        <v>0.03</v>
      </c>
      <c r="P28" s="6">
        <f t="shared" si="6"/>
        <v>8</v>
      </c>
      <c r="Q28" s="6">
        <f t="shared" si="7"/>
        <v>265</v>
      </c>
      <c r="R28" s="6">
        <v>97</v>
      </c>
      <c r="S28" s="6">
        <f t="shared" si="8"/>
        <v>685</v>
      </c>
      <c r="T28" s="5">
        <v>0.99987608790643501</v>
      </c>
      <c r="U28" s="6">
        <f t="shared" si="9"/>
        <v>685</v>
      </c>
      <c r="V28" s="6">
        <f t="shared" si="22"/>
        <v>221</v>
      </c>
      <c r="W28" s="6">
        <f t="shared" si="10"/>
        <v>906</v>
      </c>
      <c r="X28" s="6">
        <f t="shared" si="11"/>
        <v>887</v>
      </c>
      <c r="Y28" s="6">
        <f t="shared" si="12"/>
        <v>0</v>
      </c>
      <c r="Z28" s="6">
        <f t="shared" si="13"/>
        <v>19</v>
      </c>
      <c r="AA28" s="6">
        <f t="shared" si="14"/>
        <v>1</v>
      </c>
      <c r="AB28" s="6">
        <f t="shared" si="15"/>
        <v>18</v>
      </c>
      <c r="AC28" s="5">
        <f t="shared" si="16"/>
        <v>8.7936865839909811E-2</v>
      </c>
      <c r="AD28" s="5">
        <f t="shared" si="17"/>
        <v>1</v>
      </c>
      <c r="AE28" s="5">
        <f t="shared" si="18"/>
        <v>1</v>
      </c>
      <c r="AF28" s="5">
        <f t="shared" si="19"/>
        <v>0.66500000000000004</v>
      </c>
      <c r="AG28" s="5">
        <f t="shared" si="20"/>
        <v>0.5708333333333333</v>
      </c>
    </row>
    <row r="29" spans="1:33">
      <c r="A29" s="4">
        <v>46167</v>
      </c>
      <c r="B29" s="3" t="s">
        <v>62</v>
      </c>
      <c r="C29" s="3">
        <v>7</v>
      </c>
      <c r="D29" s="6">
        <v>466</v>
      </c>
      <c r="E29" s="6">
        <v>536</v>
      </c>
      <c r="F29" s="6">
        <v>700</v>
      </c>
      <c r="G29" s="6">
        <f t="shared" si="0"/>
        <v>452</v>
      </c>
      <c r="H29" s="5">
        <v>1.0046648837774879</v>
      </c>
      <c r="I29" s="6">
        <f t="shared" si="1"/>
        <v>454</v>
      </c>
      <c r="J29" s="6">
        <f t="shared" si="21"/>
        <v>57</v>
      </c>
      <c r="K29" s="6">
        <f t="shared" si="2"/>
        <v>511</v>
      </c>
      <c r="L29" s="6">
        <f t="shared" si="3"/>
        <v>511</v>
      </c>
      <c r="M29" s="6">
        <f t="shared" si="4"/>
        <v>25</v>
      </c>
      <c r="N29" s="6">
        <f t="shared" si="5"/>
        <v>0</v>
      </c>
      <c r="O29" s="5">
        <v>1.7999999999999999E-2</v>
      </c>
      <c r="P29" s="6">
        <f t="shared" si="6"/>
        <v>0</v>
      </c>
      <c r="Q29" s="6">
        <f t="shared" si="7"/>
        <v>0</v>
      </c>
      <c r="R29" s="6">
        <v>84</v>
      </c>
      <c r="S29" s="6">
        <f t="shared" si="8"/>
        <v>533</v>
      </c>
      <c r="T29" s="5">
        <v>1.003701084944743</v>
      </c>
      <c r="U29" s="6">
        <f t="shared" si="9"/>
        <v>535</v>
      </c>
      <c r="V29" s="6">
        <f t="shared" si="22"/>
        <v>17</v>
      </c>
      <c r="W29" s="6">
        <f t="shared" si="10"/>
        <v>552</v>
      </c>
      <c r="X29" s="6">
        <f t="shared" si="11"/>
        <v>536</v>
      </c>
      <c r="Y29" s="6">
        <f t="shared" si="12"/>
        <v>0</v>
      </c>
      <c r="Z29" s="6">
        <f t="shared" si="13"/>
        <v>16</v>
      </c>
      <c r="AA29" s="6">
        <f t="shared" si="14"/>
        <v>0</v>
      </c>
      <c r="AB29" s="6">
        <f t="shared" si="15"/>
        <v>16</v>
      </c>
      <c r="AC29" s="5">
        <f t="shared" si="16"/>
        <v>0.13059701492537312</v>
      </c>
      <c r="AD29" s="5">
        <f t="shared" si="17"/>
        <v>0.95335820895522383</v>
      </c>
      <c r="AE29" s="5">
        <f t="shared" si="18"/>
        <v>1</v>
      </c>
      <c r="AF29" s="5">
        <f t="shared" si="19"/>
        <v>0.64857142857142858</v>
      </c>
      <c r="AG29" s="5">
        <f t="shared" si="20"/>
        <v>0.76428571428571423</v>
      </c>
    </row>
    <row r="30" spans="1:33">
      <c r="A30" s="4">
        <v>46167</v>
      </c>
      <c r="B30" s="3" t="s">
        <v>63</v>
      </c>
      <c r="C30" s="3">
        <v>7</v>
      </c>
      <c r="D30" s="6">
        <v>361</v>
      </c>
      <c r="E30" s="6">
        <v>318</v>
      </c>
      <c r="F30" s="6">
        <v>560</v>
      </c>
      <c r="G30" s="6">
        <f t="shared" si="0"/>
        <v>350</v>
      </c>
      <c r="H30" s="5">
        <v>1.0065723908623376</v>
      </c>
      <c r="I30" s="6">
        <f t="shared" si="1"/>
        <v>352</v>
      </c>
      <c r="J30" s="6">
        <f t="shared" si="21"/>
        <v>64</v>
      </c>
      <c r="K30" s="6">
        <f t="shared" si="2"/>
        <v>416</v>
      </c>
      <c r="L30" s="6">
        <f t="shared" si="3"/>
        <v>318</v>
      </c>
      <c r="M30" s="6">
        <f t="shared" si="4"/>
        <v>0</v>
      </c>
      <c r="N30" s="6">
        <f t="shared" si="5"/>
        <v>98</v>
      </c>
      <c r="O30" s="5">
        <v>0.02</v>
      </c>
      <c r="P30" s="6">
        <f t="shared" si="6"/>
        <v>2</v>
      </c>
      <c r="Q30" s="6">
        <f t="shared" si="7"/>
        <v>96</v>
      </c>
      <c r="R30" s="6">
        <v>65</v>
      </c>
      <c r="S30" s="6">
        <f t="shared" si="8"/>
        <v>273</v>
      </c>
      <c r="T30" s="5">
        <v>1.0042609371880533</v>
      </c>
      <c r="U30" s="6">
        <f t="shared" si="9"/>
        <v>274</v>
      </c>
      <c r="V30" s="6">
        <f t="shared" si="22"/>
        <v>153</v>
      </c>
      <c r="W30" s="6">
        <f t="shared" si="10"/>
        <v>427</v>
      </c>
      <c r="X30" s="6">
        <f t="shared" si="11"/>
        <v>318</v>
      </c>
      <c r="Y30" s="6">
        <f t="shared" si="12"/>
        <v>0</v>
      </c>
      <c r="Z30" s="6">
        <f t="shared" si="13"/>
        <v>109</v>
      </c>
      <c r="AA30" s="6">
        <f t="shared" si="14"/>
        <v>2</v>
      </c>
      <c r="AB30" s="6">
        <f t="shared" si="15"/>
        <v>107</v>
      </c>
      <c r="AC30" s="5">
        <f t="shared" si="16"/>
        <v>0.13522012578616352</v>
      </c>
      <c r="AD30" s="5">
        <f t="shared" si="17"/>
        <v>1</v>
      </c>
      <c r="AE30" s="5">
        <f t="shared" si="18"/>
        <v>1</v>
      </c>
      <c r="AF30" s="5">
        <f t="shared" si="19"/>
        <v>0.62857142857142856</v>
      </c>
      <c r="AG30" s="5">
        <f t="shared" si="20"/>
        <v>0.48928571428571427</v>
      </c>
    </row>
    <row r="31" spans="1:33">
      <c r="A31" s="4">
        <v>46167</v>
      </c>
      <c r="B31" s="3" t="s">
        <v>64</v>
      </c>
      <c r="C31" s="3">
        <v>5</v>
      </c>
      <c r="D31" s="6">
        <v>147</v>
      </c>
      <c r="E31" s="6">
        <v>164</v>
      </c>
      <c r="F31" s="6">
        <v>230</v>
      </c>
      <c r="G31" s="6">
        <f t="shared" si="0"/>
        <v>143</v>
      </c>
      <c r="H31" s="5">
        <v>1.0010016922433838</v>
      </c>
      <c r="I31" s="6">
        <f t="shared" si="1"/>
        <v>143</v>
      </c>
      <c r="J31" s="6">
        <f t="shared" si="21"/>
        <v>19</v>
      </c>
      <c r="K31" s="6">
        <f t="shared" si="2"/>
        <v>162</v>
      </c>
      <c r="L31" s="6">
        <f t="shared" si="3"/>
        <v>162</v>
      </c>
      <c r="M31" s="6">
        <f t="shared" si="4"/>
        <v>2</v>
      </c>
      <c r="N31" s="6">
        <f t="shared" si="5"/>
        <v>0</v>
      </c>
      <c r="O31" s="5">
        <v>2.5000000000000001E-2</v>
      </c>
      <c r="P31" s="6">
        <f t="shared" si="6"/>
        <v>0</v>
      </c>
      <c r="Q31" s="6">
        <f t="shared" si="7"/>
        <v>0</v>
      </c>
      <c r="R31" s="6">
        <v>29</v>
      </c>
      <c r="S31" s="6">
        <f t="shared" si="8"/>
        <v>157</v>
      </c>
      <c r="T31" s="5">
        <v>0.99010228585219939</v>
      </c>
      <c r="U31" s="6">
        <f t="shared" si="9"/>
        <v>155</v>
      </c>
      <c r="V31" s="6">
        <f t="shared" si="22"/>
        <v>19</v>
      </c>
      <c r="W31" s="6">
        <f t="shared" si="10"/>
        <v>174</v>
      </c>
      <c r="X31" s="6">
        <f t="shared" si="11"/>
        <v>164</v>
      </c>
      <c r="Y31" s="6">
        <f t="shared" si="12"/>
        <v>0</v>
      </c>
      <c r="Z31" s="6">
        <f t="shared" si="13"/>
        <v>10</v>
      </c>
      <c r="AA31" s="6">
        <f t="shared" si="14"/>
        <v>0</v>
      </c>
      <c r="AB31" s="6">
        <f t="shared" si="15"/>
        <v>10</v>
      </c>
      <c r="AC31" s="5">
        <f t="shared" si="16"/>
        <v>0.10365853658536585</v>
      </c>
      <c r="AD31" s="5">
        <f t="shared" si="17"/>
        <v>0.98780487804878048</v>
      </c>
      <c r="AE31" s="5">
        <f t="shared" si="18"/>
        <v>1</v>
      </c>
      <c r="AF31" s="5">
        <f t="shared" si="19"/>
        <v>0.62173913043478257</v>
      </c>
      <c r="AG31" s="5">
        <f t="shared" si="20"/>
        <v>0.67391304347826086</v>
      </c>
    </row>
    <row r="32" spans="1:33">
      <c r="A32" s="4">
        <v>46168</v>
      </c>
      <c r="B32" s="3" t="s">
        <v>60</v>
      </c>
      <c r="C32" s="3">
        <v>2</v>
      </c>
      <c r="D32" s="6">
        <v>1669</v>
      </c>
      <c r="E32" s="6">
        <v>1900</v>
      </c>
      <c r="F32" s="6">
        <v>2250</v>
      </c>
      <c r="G32" s="6">
        <f t="shared" si="0"/>
        <v>1619</v>
      </c>
      <c r="H32" s="5">
        <v>0.99794708912027397</v>
      </c>
      <c r="I32" s="6">
        <f t="shared" si="1"/>
        <v>1616</v>
      </c>
      <c r="J32" s="6">
        <f t="shared" si="21"/>
        <v>1057</v>
      </c>
      <c r="K32" s="6">
        <f t="shared" si="2"/>
        <v>2673</v>
      </c>
      <c r="L32" s="6">
        <f t="shared" si="3"/>
        <v>1900</v>
      </c>
      <c r="M32" s="6">
        <f t="shared" si="4"/>
        <v>0</v>
      </c>
      <c r="N32" s="6">
        <f t="shared" si="5"/>
        <v>773</v>
      </c>
      <c r="O32" s="5">
        <v>2.5000000000000001E-2</v>
      </c>
      <c r="P32" s="6">
        <f t="shared" si="6"/>
        <v>19</v>
      </c>
      <c r="Q32" s="6">
        <f t="shared" si="7"/>
        <v>754</v>
      </c>
      <c r="R32" s="6">
        <v>200</v>
      </c>
      <c r="S32" s="6">
        <f t="shared" si="8"/>
        <v>1387</v>
      </c>
      <c r="T32" s="5">
        <v>1.0191100858333635</v>
      </c>
      <c r="U32" s="6">
        <f t="shared" si="9"/>
        <v>1414</v>
      </c>
      <c r="V32" s="6">
        <f t="shared" si="22"/>
        <v>482</v>
      </c>
      <c r="W32" s="6">
        <f t="shared" si="10"/>
        <v>1896</v>
      </c>
      <c r="X32" s="6">
        <f t="shared" si="11"/>
        <v>1896</v>
      </c>
      <c r="Y32" s="6">
        <f t="shared" si="12"/>
        <v>4</v>
      </c>
      <c r="Z32" s="6">
        <f t="shared" si="13"/>
        <v>0</v>
      </c>
      <c r="AA32" s="6">
        <f t="shared" si="14"/>
        <v>0</v>
      </c>
      <c r="AB32" s="6">
        <f t="shared" si="15"/>
        <v>0</v>
      </c>
      <c r="AC32" s="5">
        <f t="shared" si="16"/>
        <v>0.12157894736842105</v>
      </c>
      <c r="AD32" s="5">
        <f t="shared" si="17"/>
        <v>1</v>
      </c>
      <c r="AE32" s="5">
        <f t="shared" si="18"/>
        <v>0.99789473684210528</v>
      </c>
      <c r="AF32" s="5">
        <f t="shared" si="19"/>
        <v>0.71822222222222221</v>
      </c>
      <c r="AG32" s="5">
        <f t="shared" si="20"/>
        <v>0.62844444444444447</v>
      </c>
    </row>
    <row r="33" spans="1:33">
      <c r="A33" s="4">
        <v>46168</v>
      </c>
      <c r="B33" s="3" t="s">
        <v>61</v>
      </c>
      <c r="C33" s="3">
        <v>2</v>
      </c>
      <c r="D33" s="6">
        <v>835</v>
      </c>
      <c r="E33" s="6">
        <v>788</v>
      </c>
      <c r="F33" s="6">
        <v>1200</v>
      </c>
      <c r="G33" s="6">
        <f t="shared" si="0"/>
        <v>810</v>
      </c>
      <c r="H33" s="5">
        <v>0.98388742542254271</v>
      </c>
      <c r="I33" s="6">
        <f t="shared" si="1"/>
        <v>797</v>
      </c>
      <c r="J33" s="6">
        <f t="shared" si="21"/>
        <v>265</v>
      </c>
      <c r="K33" s="6">
        <f t="shared" si="2"/>
        <v>1062</v>
      </c>
      <c r="L33" s="6">
        <f t="shared" si="3"/>
        <v>788</v>
      </c>
      <c r="M33" s="6">
        <f t="shared" si="4"/>
        <v>0</v>
      </c>
      <c r="N33" s="6">
        <f t="shared" si="5"/>
        <v>274</v>
      </c>
      <c r="O33" s="5">
        <v>0.03</v>
      </c>
      <c r="P33" s="6">
        <f t="shared" si="6"/>
        <v>8</v>
      </c>
      <c r="Q33" s="6">
        <f t="shared" si="7"/>
        <v>266</v>
      </c>
      <c r="R33" s="6">
        <v>100</v>
      </c>
      <c r="S33" s="6">
        <f t="shared" si="8"/>
        <v>917</v>
      </c>
      <c r="T33" s="5">
        <v>1.0116742000031034</v>
      </c>
      <c r="U33" s="6">
        <f t="shared" si="9"/>
        <v>928</v>
      </c>
      <c r="V33" s="6">
        <f t="shared" si="22"/>
        <v>18</v>
      </c>
      <c r="W33" s="6">
        <f t="shared" si="10"/>
        <v>946</v>
      </c>
      <c r="X33" s="6">
        <f t="shared" si="11"/>
        <v>788</v>
      </c>
      <c r="Y33" s="6">
        <f t="shared" si="12"/>
        <v>0</v>
      </c>
      <c r="Z33" s="6">
        <f t="shared" si="13"/>
        <v>158</v>
      </c>
      <c r="AA33" s="6">
        <f t="shared" si="14"/>
        <v>5</v>
      </c>
      <c r="AB33" s="6">
        <f t="shared" si="15"/>
        <v>153</v>
      </c>
      <c r="AC33" s="5">
        <f t="shared" si="16"/>
        <v>5.964467005076142E-2</v>
      </c>
      <c r="AD33" s="5">
        <f t="shared" si="17"/>
        <v>1</v>
      </c>
      <c r="AE33" s="5">
        <f t="shared" si="18"/>
        <v>1</v>
      </c>
      <c r="AF33" s="5">
        <f t="shared" si="19"/>
        <v>0.66416666666666668</v>
      </c>
      <c r="AG33" s="5">
        <f t="shared" si="20"/>
        <v>0.77333333333333332</v>
      </c>
    </row>
    <row r="34" spans="1:33">
      <c r="A34" s="4">
        <v>46168</v>
      </c>
      <c r="B34" s="3" t="s">
        <v>62</v>
      </c>
      <c r="C34" s="3">
        <v>7</v>
      </c>
      <c r="D34" s="6">
        <v>481</v>
      </c>
      <c r="E34" s="6">
        <v>495</v>
      </c>
      <c r="F34" s="6">
        <v>700</v>
      </c>
      <c r="G34" s="6">
        <f t="shared" si="0"/>
        <v>467</v>
      </c>
      <c r="H34" s="5">
        <v>1.0119439340939458</v>
      </c>
      <c r="I34" s="6">
        <f t="shared" si="1"/>
        <v>473</v>
      </c>
      <c r="J34" s="6">
        <f t="shared" si="21"/>
        <v>0</v>
      </c>
      <c r="K34" s="6">
        <f t="shared" si="2"/>
        <v>473</v>
      </c>
      <c r="L34" s="6">
        <f t="shared" si="3"/>
        <v>473</v>
      </c>
      <c r="M34" s="6">
        <f t="shared" si="4"/>
        <v>22</v>
      </c>
      <c r="N34" s="6">
        <f t="shared" si="5"/>
        <v>0</v>
      </c>
      <c r="O34" s="5">
        <v>1.7999999999999999E-2</v>
      </c>
      <c r="P34" s="6">
        <f t="shared" si="6"/>
        <v>0</v>
      </c>
      <c r="Q34" s="6">
        <f t="shared" si="7"/>
        <v>0</v>
      </c>
      <c r="R34" s="6">
        <v>87</v>
      </c>
      <c r="S34" s="6">
        <f t="shared" si="8"/>
        <v>552</v>
      </c>
      <c r="T34" s="5">
        <v>1.0073091547322335</v>
      </c>
      <c r="U34" s="6">
        <f t="shared" si="9"/>
        <v>556</v>
      </c>
      <c r="V34" s="6">
        <f t="shared" si="22"/>
        <v>16</v>
      </c>
      <c r="W34" s="6">
        <f t="shared" si="10"/>
        <v>572</v>
      </c>
      <c r="X34" s="6">
        <f t="shared" si="11"/>
        <v>495</v>
      </c>
      <c r="Y34" s="6">
        <f t="shared" si="12"/>
        <v>0</v>
      </c>
      <c r="Z34" s="6">
        <f t="shared" si="13"/>
        <v>77</v>
      </c>
      <c r="AA34" s="6">
        <f t="shared" si="14"/>
        <v>1</v>
      </c>
      <c r="AB34" s="6">
        <f t="shared" si="15"/>
        <v>76</v>
      </c>
      <c r="AC34" s="5">
        <f t="shared" si="16"/>
        <v>2.8282828282828285E-2</v>
      </c>
      <c r="AD34" s="5">
        <f t="shared" si="17"/>
        <v>0.9555555555555556</v>
      </c>
      <c r="AE34" s="5">
        <f t="shared" si="18"/>
        <v>1</v>
      </c>
      <c r="AF34" s="5">
        <f t="shared" si="19"/>
        <v>0.67571428571428571</v>
      </c>
      <c r="AG34" s="5">
        <f t="shared" si="20"/>
        <v>0.79428571428571426</v>
      </c>
    </row>
    <row r="35" spans="1:33">
      <c r="A35" s="4">
        <v>46168</v>
      </c>
      <c r="B35" s="3" t="s">
        <v>63</v>
      </c>
      <c r="C35" s="3">
        <v>7</v>
      </c>
      <c r="D35" s="6">
        <v>377</v>
      </c>
      <c r="E35" s="6">
        <v>414</v>
      </c>
      <c r="F35" s="6">
        <v>560</v>
      </c>
      <c r="G35" s="6">
        <f t="shared" si="0"/>
        <v>366</v>
      </c>
      <c r="H35" s="5">
        <v>1.0125075787785869</v>
      </c>
      <c r="I35" s="6">
        <f t="shared" si="1"/>
        <v>371</v>
      </c>
      <c r="J35" s="6">
        <f t="shared" si="21"/>
        <v>96</v>
      </c>
      <c r="K35" s="6">
        <f t="shared" si="2"/>
        <v>467</v>
      </c>
      <c r="L35" s="6">
        <f t="shared" si="3"/>
        <v>414</v>
      </c>
      <c r="M35" s="6">
        <f t="shared" si="4"/>
        <v>0</v>
      </c>
      <c r="N35" s="6">
        <f t="shared" si="5"/>
        <v>53</v>
      </c>
      <c r="O35" s="5">
        <v>0.02</v>
      </c>
      <c r="P35" s="6">
        <f t="shared" si="6"/>
        <v>1</v>
      </c>
      <c r="Q35" s="6">
        <f t="shared" si="7"/>
        <v>52</v>
      </c>
      <c r="R35" s="6">
        <v>68</v>
      </c>
      <c r="S35" s="6">
        <f t="shared" si="8"/>
        <v>338</v>
      </c>
      <c r="T35" s="5">
        <v>0.99298165070178268</v>
      </c>
      <c r="U35" s="6">
        <f t="shared" si="9"/>
        <v>336</v>
      </c>
      <c r="V35" s="6">
        <f t="shared" si="22"/>
        <v>107</v>
      </c>
      <c r="W35" s="6">
        <f t="shared" si="10"/>
        <v>443</v>
      </c>
      <c r="X35" s="6">
        <f t="shared" si="11"/>
        <v>414</v>
      </c>
      <c r="Y35" s="6">
        <f t="shared" si="12"/>
        <v>0</v>
      </c>
      <c r="Z35" s="6">
        <f t="shared" si="13"/>
        <v>29</v>
      </c>
      <c r="AA35" s="6">
        <f t="shared" si="14"/>
        <v>1</v>
      </c>
      <c r="AB35" s="6">
        <f t="shared" si="15"/>
        <v>28</v>
      </c>
      <c r="AC35" s="5">
        <f t="shared" si="16"/>
        <v>8.9371980676328497E-2</v>
      </c>
      <c r="AD35" s="5">
        <f t="shared" si="17"/>
        <v>1</v>
      </c>
      <c r="AE35" s="5">
        <f t="shared" si="18"/>
        <v>1</v>
      </c>
      <c r="AF35" s="5">
        <f t="shared" si="19"/>
        <v>0.66249999999999998</v>
      </c>
      <c r="AG35" s="5">
        <f t="shared" si="20"/>
        <v>0.6</v>
      </c>
    </row>
    <row r="36" spans="1:33">
      <c r="A36" s="4">
        <v>46168</v>
      </c>
      <c r="B36" s="3" t="s">
        <v>64</v>
      </c>
      <c r="C36" s="3">
        <v>5</v>
      </c>
      <c r="D36" s="6">
        <v>152</v>
      </c>
      <c r="E36" s="6">
        <v>166</v>
      </c>
      <c r="F36" s="6">
        <v>230</v>
      </c>
      <c r="G36" s="6">
        <f t="shared" si="0"/>
        <v>147</v>
      </c>
      <c r="H36" s="5">
        <v>1.0161664749560229</v>
      </c>
      <c r="I36" s="6">
        <f t="shared" si="1"/>
        <v>149</v>
      </c>
      <c r="J36" s="6">
        <f t="shared" si="21"/>
        <v>0</v>
      </c>
      <c r="K36" s="6">
        <f t="shared" si="2"/>
        <v>149</v>
      </c>
      <c r="L36" s="6">
        <f t="shared" si="3"/>
        <v>149</v>
      </c>
      <c r="M36" s="6">
        <f t="shared" si="4"/>
        <v>17</v>
      </c>
      <c r="N36" s="6">
        <f t="shared" si="5"/>
        <v>0</v>
      </c>
      <c r="O36" s="5">
        <v>2.5000000000000001E-2</v>
      </c>
      <c r="P36" s="6">
        <f t="shared" si="6"/>
        <v>0</v>
      </c>
      <c r="Q36" s="6">
        <f t="shared" si="7"/>
        <v>0</v>
      </c>
      <c r="R36" s="6">
        <v>30</v>
      </c>
      <c r="S36" s="6">
        <f t="shared" si="8"/>
        <v>172</v>
      </c>
      <c r="T36" s="5">
        <v>1.0159663747103016</v>
      </c>
      <c r="U36" s="6">
        <f t="shared" si="9"/>
        <v>175</v>
      </c>
      <c r="V36" s="6">
        <f t="shared" si="22"/>
        <v>10</v>
      </c>
      <c r="W36" s="6">
        <f t="shared" si="10"/>
        <v>185</v>
      </c>
      <c r="X36" s="6">
        <f t="shared" si="11"/>
        <v>166</v>
      </c>
      <c r="Y36" s="6">
        <f t="shared" si="12"/>
        <v>0</v>
      </c>
      <c r="Z36" s="6">
        <f t="shared" si="13"/>
        <v>19</v>
      </c>
      <c r="AA36" s="6">
        <f t="shared" si="14"/>
        <v>0</v>
      </c>
      <c r="AB36" s="6">
        <f t="shared" si="15"/>
        <v>19</v>
      </c>
      <c r="AC36" s="5">
        <f t="shared" si="16"/>
        <v>8.4337349397590355E-2</v>
      </c>
      <c r="AD36" s="5">
        <f t="shared" si="17"/>
        <v>0.89759036144578308</v>
      </c>
      <c r="AE36" s="5">
        <f t="shared" si="18"/>
        <v>1</v>
      </c>
      <c r="AF36" s="5">
        <f t="shared" si="19"/>
        <v>0.64782608695652177</v>
      </c>
      <c r="AG36" s="5">
        <f t="shared" si="20"/>
        <v>0.76086956521739135</v>
      </c>
    </row>
    <row r="37" spans="1:33">
      <c r="A37" s="4">
        <v>46169</v>
      </c>
      <c r="B37" s="3" t="s">
        <v>60</v>
      </c>
      <c r="C37" s="3">
        <v>2</v>
      </c>
      <c r="D37" s="6">
        <v>1687</v>
      </c>
      <c r="E37" s="6">
        <v>1792</v>
      </c>
      <c r="F37" s="6">
        <v>2250</v>
      </c>
      <c r="G37" s="6">
        <f t="shared" si="0"/>
        <v>1636</v>
      </c>
      <c r="H37" s="5">
        <v>1.0143202189555807</v>
      </c>
      <c r="I37" s="6">
        <f t="shared" si="1"/>
        <v>1659</v>
      </c>
      <c r="J37" s="6">
        <f t="shared" si="21"/>
        <v>754</v>
      </c>
      <c r="K37" s="6">
        <f t="shared" si="2"/>
        <v>2413</v>
      </c>
      <c r="L37" s="6">
        <f t="shared" si="3"/>
        <v>1792</v>
      </c>
      <c r="M37" s="6">
        <f t="shared" si="4"/>
        <v>0</v>
      </c>
      <c r="N37" s="6">
        <f t="shared" si="5"/>
        <v>621</v>
      </c>
      <c r="O37" s="5">
        <v>2.5000000000000001E-2</v>
      </c>
      <c r="P37" s="6">
        <f t="shared" si="6"/>
        <v>16</v>
      </c>
      <c r="Q37" s="6">
        <f t="shared" si="7"/>
        <v>605</v>
      </c>
      <c r="R37" s="6">
        <v>202</v>
      </c>
      <c r="S37" s="6">
        <f t="shared" si="8"/>
        <v>1889</v>
      </c>
      <c r="T37" s="5">
        <v>0.99597829459932941</v>
      </c>
      <c r="U37" s="6">
        <f t="shared" si="9"/>
        <v>1881</v>
      </c>
      <c r="V37" s="6">
        <f t="shared" si="22"/>
        <v>0</v>
      </c>
      <c r="W37" s="6">
        <f t="shared" si="10"/>
        <v>1881</v>
      </c>
      <c r="X37" s="6">
        <f t="shared" si="11"/>
        <v>1792</v>
      </c>
      <c r="Y37" s="6">
        <f t="shared" si="12"/>
        <v>0</v>
      </c>
      <c r="Z37" s="6">
        <f t="shared" si="13"/>
        <v>89</v>
      </c>
      <c r="AA37" s="6">
        <f t="shared" si="14"/>
        <v>2</v>
      </c>
      <c r="AB37" s="6">
        <f t="shared" si="15"/>
        <v>87</v>
      </c>
      <c r="AC37" s="5">
        <f t="shared" si="16"/>
        <v>5.859375E-2</v>
      </c>
      <c r="AD37" s="5">
        <f t="shared" si="17"/>
        <v>1</v>
      </c>
      <c r="AE37" s="5">
        <f t="shared" si="18"/>
        <v>1</v>
      </c>
      <c r="AF37" s="5">
        <f t="shared" si="19"/>
        <v>0.73733333333333329</v>
      </c>
      <c r="AG37" s="5">
        <f t="shared" si="20"/>
        <v>0.83599999999999997</v>
      </c>
    </row>
    <row r="38" spans="1:33">
      <c r="A38" s="4">
        <v>46169</v>
      </c>
      <c r="B38" s="3" t="s">
        <v>61</v>
      </c>
      <c r="C38" s="3">
        <v>2</v>
      </c>
      <c r="D38" s="6">
        <v>844</v>
      </c>
      <c r="E38" s="6">
        <v>703</v>
      </c>
      <c r="F38" s="6">
        <v>1200</v>
      </c>
      <c r="G38" s="6">
        <f t="shared" si="0"/>
        <v>819</v>
      </c>
      <c r="H38" s="5">
        <v>1.0143861285238203</v>
      </c>
      <c r="I38" s="6">
        <f t="shared" si="1"/>
        <v>831</v>
      </c>
      <c r="J38" s="6">
        <f t="shared" si="21"/>
        <v>266</v>
      </c>
      <c r="K38" s="6">
        <f t="shared" si="2"/>
        <v>1097</v>
      </c>
      <c r="L38" s="6">
        <f t="shared" si="3"/>
        <v>703</v>
      </c>
      <c r="M38" s="6">
        <f t="shared" si="4"/>
        <v>0</v>
      </c>
      <c r="N38" s="6">
        <f t="shared" si="5"/>
        <v>394</v>
      </c>
      <c r="O38" s="5">
        <v>0.03</v>
      </c>
      <c r="P38" s="6">
        <f t="shared" si="6"/>
        <v>12</v>
      </c>
      <c r="Q38" s="6">
        <f t="shared" si="7"/>
        <v>382</v>
      </c>
      <c r="R38" s="6">
        <v>101</v>
      </c>
      <c r="S38" s="6">
        <f t="shared" si="8"/>
        <v>792</v>
      </c>
      <c r="T38" s="5">
        <v>1.0071188360746728</v>
      </c>
      <c r="U38" s="6">
        <f t="shared" si="9"/>
        <v>798</v>
      </c>
      <c r="V38" s="6">
        <f t="shared" si="22"/>
        <v>153</v>
      </c>
      <c r="W38" s="6">
        <f t="shared" si="10"/>
        <v>951</v>
      </c>
      <c r="X38" s="6">
        <f t="shared" si="11"/>
        <v>703</v>
      </c>
      <c r="Y38" s="6">
        <f t="shared" si="12"/>
        <v>0</v>
      </c>
      <c r="Z38" s="6">
        <f t="shared" si="13"/>
        <v>248</v>
      </c>
      <c r="AA38" s="6">
        <f t="shared" si="14"/>
        <v>7</v>
      </c>
      <c r="AB38" s="6">
        <f t="shared" si="15"/>
        <v>241</v>
      </c>
      <c r="AC38" s="5">
        <f t="shared" si="16"/>
        <v>0.20056899004267426</v>
      </c>
      <c r="AD38" s="5">
        <f t="shared" si="17"/>
        <v>1</v>
      </c>
      <c r="AE38" s="5">
        <f t="shared" si="18"/>
        <v>1</v>
      </c>
      <c r="AF38" s="5">
        <f t="shared" si="19"/>
        <v>0.6925</v>
      </c>
      <c r="AG38" s="5">
        <f t="shared" si="20"/>
        <v>0.66500000000000004</v>
      </c>
    </row>
    <row r="39" spans="1:33">
      <c r="A39" s="4">
        <v>46169</v>
      </c>
      <c r="B39" s="3" t="s">
        <v>62</v>
      </c>
      <c r="C39" s="3">
        <v>7</v>
      </c>
      <c r="D39" s="6">
        <v>491</v>
      </c>
      <c r="E39" s="6">
        <v>563</v>
      </c>
      <c r="F39" s="6">
        <v>700</v>
      </c>
      <c r="G39" s="6">
        <f t="shared" si="0"/>
        <v>476</v>
      </c>
      <c r="H39" s="5">
        <v>0.98681011791483952</v>
      </c>
      <c r="I39" s="6">
        <f t="shared" si="1"/>
        <v>470</v>
      </c>
      <c r="J39" s="6">
        <f t="shared" si="21"/>
        <v>0</v>
      </c>
      <c r="K39" s="6">
        <f t="shared" si="2"/>
        <v>470</v>
      </c>
      <c r="L39" s="6">
        <f t="shared" si="3"/>
        <v>470</v>
      </c>
      <c r="M39" s="6">
        <f t="shared" si="4"/>
        <v>93</v>
      </c>
      <c r="N39" s="6">
        <f t="shared" si="5"/>
        <v>0</v>
      </c>
      <c r="O39" s="5">
        <v>1.7999999999999999E-2</v>
      </c>
      <c r="P39" s="6">
        <f t="shared" si="6"/>
        <v>0</v>
      </c>
      <c r="Q39" s="6">
        <f t="shared" si="7"/>
        <v>0</v>
      </c>
      <c r="R39" s="6">
        <v>88</v>
      </c>
      <c r="S39" s="6">
        <f t="shared" si="8"/>
        <v>503</v>
      </c>
      <c r="T39" s="5">
        <v>0.98929271663703178</v>
      </c>
      <c r="U39" s="6">
        <f t="shared" si="9"/>
        <v>498</v>
      </c>
      <c r="V39" s="6">
        <f t="shared" si="22"/>
        <v>76</v>
      </c>
      <c r="W39" s="6">
        <f t="shared" si="10"/>
        <v>574</v>
      </c>
      <c r="X39" s="6">
        <f t="shared" si="11"/>
        <v>563</v>
      </c>
      <c r="Y39" s="6">
        <f t="shared" si="12"/>
        <v>0</v>
      </c>
      <c r="Z39" s="6">
        <f t="shared" si="13"/>
        <v>11</v>
      </c>
      <c r="AA39" s="6">
        <f t="shared" si="14"/>
        <v>0</v>
      </c>
      <c r="AB39" s="6">
        <f t="shared" si="15"/>
        <v>11</v>
      </c>
      <c r="AC39" s="5">
        <f t="shared" si="16"/>
        <v>0.12788632326820604</v>
      </c>
      <c r="AD39" s="5">
        <f t="shared" si="17"/>
        <v>0.8348134991119005</v>
      </c>
      <c r="AE39" s="5">
        <f t="shared" si="18"/>
        <v>1</v>
      </c>
      <c r="AF39" s="5">
        <f t="shared" si="19"/>
        <v>0.67142857142857137</v>
      </c>
      <c r="AG39" s="5">
        <f t="shared" si="20"/>
        <v>0.71142857142857141</v>
      </c>
    </row>
    <row r="40" spans="1:33">
      <c r="A40" s="4">
        <v>46169</v>
      </c>
      <c r="B40" s="3" t="s">
        <v>63</v>
      </c>
      <c r="C40" s="3">
        <v>7</v>
      </c>
      <c r="D40" s="6">
        <v>393</v>
      </c>
      <c r="E40" s="6">
        <v>388</v>
      </c>
      <c r="F40" s="6">
        <v>560</v>
      </c>
      <c r="G40" s="6">
        <f t="shared" si="0"/>
        <v>381</v>
      </c>
      <c r="H40" s="5">
        <v>1.009756400583272</v>
      </c>
      <c r="I40" s="6">
        <f t="shared" si="1"/>
        <v>385</v>
      </c>
      <c r="J40" s="6">
        <f t="shared" si="21"/>
        <v>52</v>
      </c>
      <c r="K40" s="6">
        <f t="shared" si="2"/>
        <v>437</v>
      </c>
      <c r="L40" s="6">
        <f t="shared" si="3"/>
        <v>388</v>
      </c>
      <c r="M40" s="6">
        <f t="shared" si="4"/>
        <v>0</v>
      </c>
      <c r="N40" s="6">
        <f t="shared" si="5"/>
        <v>49</v>
      </c>
      <c r="O40" s="5">
        <v>0.02</v>
      </c>
      <c r="P40" s="6">
        <f t="shared" si="6"/>
        <v>1</v>
      </c>
      <c r="Q40" s="6">
        <f t="shared" si="7"/>
        <v>48</v>
      </c>
      <c r="R40" s="6">
        <v>71</v>
      </c>
      <c r="S40" s="6">
        <f t="shared" si="8"/>
        <v>436</v>
      </c>
      <c r="T40" s="5">
        <v>0.98465616926613653</v>
      </c>
      <c r="U40" s="6">
        <f t="shared" si="9"/>
        <v>429</v>
      </c>
      <c r="V40" s="6">
        <f t="shared" si="22"/>
        <v>28</v>
      </c>
      <c r="W40" s="6">
        <f t="shared" si="10"/>
        <v>457</v>
      </c>
      <c r="X40" s="6">
        <f t="shared" si="11"/>
        <v>388</v>
      </c>
      <c r="Y40" s="6">
        <f t="shared" si="12"/>
        <v>0</v>
      </c>
      <c r="Z40" s="6">
        <f t="shared" si="13"/>
        <v>69</v>
      </c>
      <c r="AA40" s="6">
        <f t="shared" si="14"/>
        <v>1</v>
      </c>
      <c r="AB40" s="6">
        <f t="shared" si="15"/>
        <v>68</v>
      </c>
      <c r="AC40" s="5">
        <f t="shared" si="16"/>
        <v>1.2886597938144329E-2</v>
      </c>
      <c r="AD40" s="5">
        <f t="shared" si="17"/>
        <v>1</v>
      </c>
      <c r="AE40" s="5">
        <f t="shared" si="18"/>
        <v>1</v>
      </c>
      <c r="AF40" s="5">
        <f t="shared" si="19"/>
        <v>0.6875</v>
      </c>
      <c r="AG40" s="5">
        <f t="shared" si="20"/>
        <v>0.76607142857142863</v>
      </c>
    </row>
    <row r="41" spans="1:33">
      <c r="A41" s="4">
        <v>46169</v>
      </c>
      <c r="B41" s="3" t="s">
        <v>64</v>
      </c>
      <c r="C41" s="3">
        <v>5</v>
      </c>
      <c r="D41" s="6">
        <v>157</v>
      </c>
      <c r="E41" s="6">
        <v>151</v>
      </c>
      <c r="F41" s="6">
        <v>230</v>
      </c>
      <c r="G41" s="6">
        <f t="shared" si="0"/>
        <v>152</v>
      </c>
      <c r="H41" s="5">
        <v>1.0102307556273149</v>
      </c>
      <c r="I41" s="6">
        <f t="shared" si="1"/>
        <v>154</v>
      </c>
      <c r="J41" s="6">
        <f t="shared" si="21"/>
        <v>0</v>
      </c>
      <c r="K41" s="6">
        <f t="shared" si="2"/>
        <v>154</v>
      </c>
      <c r="L41" s="6">
        <f t="shared" si="3"/>
        <v>151</v>
      </c>
      <c r="M41" s="6">
        <f t="shared" si="4"/>
        <v>0</v>
      </c>
      <c r="N41" s="6">
        <f t="shared" si="5"/>
        <v>3</v>
      </c>
      <c r="O41" s="5">
        <v>2.5000000000000001E-2</v>
      </c>
      <c r="P41" s="6">
        <f t="shared" si="6"/>
        <v>0</v>
      </c>
      <c r="Q41" s="6">
        <f t="shared" si="7"/>
        <v>3</v>
      </c>
      <c r="R41" s="6">
        <v>31</v>
      </c>
      <c r="S41" s="6">
        <f t="shared" si="8"/>
        <v>169</v>
      </c>
      <c r="T41" s="5">
        <v>0.98778444233489648</v>
      </c>
      <c r="U41" s="6">
        <f t="shared" si="9"/>
        <v>167</v>
      </c>
      <c r="V41" s="6">
        <f t="shared" si="22"/>
        <v>19</v>
      </c>
      <c r="W41" s="6">
        <f t="shared" si="10"/>
        <v>186</v>
      </c>
      <c r="X41" s="6">
        <f t="shared" si="11"/>
        <v>151</v>
      </c>
      <c r="Y41" s="6">
        <f t="shared" si="12"/>
        <v>0</v>
      </c>
      <c r="Z41" s="6">
        <f t="shared" si="13"/>
        <v>35</v>
      </c>
      <c r="AA41" s="6">
        <f t="shared" si="14"/>
        <v>1</v>
      </c>
      <c r="AB41" s="6">
        <f t="shared" si="15"/>
        <v>34</v>
      </c>
      <c r="AC41" s="5">
        <f t="shared" si="16"/>
        <v>3.9735099337748346E-2</v>
      </c>
      <c r="AD41" s="5">
        <f t="shared" si="17"/>
        <v>1</v>
      </c>
      <c r="AE41" s="5">
        <f t="shared" si="18"/>
        <v>1</v>
      </c>
      <c r="AF41" s="5">
        <f t="shared" si="19"/>
        <v>0.66956521739130437</v>
      </c>
      <c r="AG41" s="5">
        <f t="shared" si="20"/>
        <v>0.72608695652173916</v>
      </c>
    </row>
    <row r="42" spans="1:33">
      <c r="A42" s="4">
        <v>46170</v>
      </c>
      <c r="B42" s="3" t="s">
        <v>60</v>
      </c>
      <c r="C42" s="3">
        <v>2</v>
      </c>
      <c r="D42" s="6">
        <v>1705</v>
      </c>
      <c r="E42" s="6">
        <v>1455</v>
      </c>
      <c r="F42" s="6">
        <v>2250</v>
      </c>
      <c r="G42" s="6">
        <f t="shared" si="0"/>
        <v>1654</v>
      </c>
      <c r="H42" s="5">
        <v>1.0040683382763647</v>
      </c>
      <c r="I42" s="6">
        <f t="shared" si="1"/>
        <v>1661</v>
      </c>
      <c r="J42" s="6">
        <f t="shared" si="21"/>
        <v>605</v>
      </c>
      <c r="K42" s="6">
        <f t="shared" si="2"/>
        <v>2266</v>
      </c>
      <c r="L42" s="6">
        <f t="shared" si="3"/>
        <v>1455</v>
      </c>
      <c r="M42" s="6">
        <f t="shared" si="4"/>
        <v>0</v>
      </c>
      <c r="N42" s="6">
        <f t="shared" si="5"/>
        <v>811</v>
      </c>
      <c r="O42" s="5">
        <v>2.5000000000000001E-2</v>
      </c>
      <c r="P42" s="6">
        <f t="shared" si="6"/>
        <v>20</v>
      </c>
      <c r="Q42" s="6">
        <f t="shared" si="7"/>
        <v>791</v>
      </c>
      <c r="R42" s="6">
        <v>205</v>
      </c>
      <c r="S42" s="6">
        <f t="shared" si="8"/>
        <v>1823</v>
      </c>
      <c r="T42" s="5">
        <v>0.98679984448242997</v>
      </c>
      <c r="U42" s="6">
        <f t="shared" si="9"/>
        <v>1799</v>
      </c>
      <c r="V42" s="6">
        <f t="shared" si="22"/>
        <v>87</v>
      </c>
      <c r="W42" s="6">
        <f t="shared" si="10"/>
        <v>1886</v>
      </c>
      <c r="X42" s="6">
        <f t="shared" si="11"/>
        <v>1455</v>
      </c>
      <c r="Y42" s="6">
        <f t="shared" si="12"/>
        <v>0</v>
      </c>
      <c r="Z42" s="6">
        <f t="shared" si="13"/>
        <v>431</v>
      </c>
      <c r="AA42" s="6">
        <f t="shared" si="14"/>
        <v>11</v>
      </c>
      <c r="AB42" s="6">
        <f t="shared" si="15"/>
        <v>420</v>
      </c>
      <c r="AC42" s="5">
        <f t="shared" si="16"/>
        <v>0.1718213058419244</v>
      </c>
      <c r="AD42" s="5">
        <f t="shared" si="17"/>
        <v>1</v>
      </c>
      <c r="AE42" s="5">
        <f t="shared" si="18"/>
        <v>1</v>
      </c>
      <c r="AF42" s="5">
        <f t="shared" si="19"/>
        <v>0.73822222222222222</v>
      </c>
      <c r="AG42" s="5">
        <f t="shared" si="20"/>
        <v>0.79955555555555557</v>
      </c>
    </row>
    <row r="43" spans="1:33">
      <c r="A43" s="4">
        <v>46170</v>
      </c>
      <c r="B43" s="3" t="s">
        <v>61</v>
      </c>
      <c r="C43" s="3">
        <v>2</v>
      </c>
      <c r="D43" s="6">
        <v>852</v>
      </c>
      <c r="E43" s="6">
        <v>719</v>
      </c>
      <c r="F43" s="6">
        <v>1200</v>
      </c>
      <c r="G43" s="6">
        <f t="shared" si="0"/>
        <v>826</v>
      </c>
      <c r="H43" s="5">
        <v>0.9851701047550051</v>
      </c>
      <c r="I43" s="6">
        <f t="shared" si="1"/>
        <v>814</v>
      </c>
      <c r="J43" s="6">
        <f t="shared" si="21"/>
        <v>382</v>
      </c>
      <c r="K43" s="6">
        <f t="shared" si="2"/>
        <v>1196</v>
      </c>
      <c r="L43" s="6">
        <f t="shared" si="3"/>
        <v>719</v>
      </c>
      <c r="M43" s="6">
        <f t="shared" si="4"/>
        <v>0</v>
      </c>
      <c r="N43" s="6">
        <f t="shared" si="5"/>
        <v>477</v>
      </c>
      <c r="O43" s="5">
        <v>0.03</v>
      </c>
      <c r="P43" s="6">
        <f t="shared" si="6"/>
        <v>14</v>
      </c>
      <c r="Q43" s="6">
        <f t="shared" si="7"/>
        <v>463</v>
      </c>
      <c r="R43" s="6">
        <v>102</v>
      </c>
      <c r="S43" s="6">
        <f t="shared" si="8"/>
        <v>713</v>
      </c>
      <c r="T43" s="5">
        <v>1.004159559446028</v>
      </c>
      <c r="U43" s="6">
        <f t="shared" si="9"/>
        <v>716</v>
      </c>
      <c r="V43" s="6">
        <f t="shared" si="22"/>
        <v>241</v>
      </c>
      <c r="W43" s="6">
        <f t="shared" si="10"/>
        <v>957</v>
      </c>
      <c r="X43" s="6">
        <f t="shared" si="11"/>
        <v>719</v>
      </c>
      <c r="Y43" s="6">
        <f t="shared" si="12"/>
        <v>0</v>
      </c>
      <c r="Z43" s="6">
        <f t="shared" si="13"/>
        <v>238</v>
      </c>
      <c r="AA43" s="6">
        <f t="shared" si="14"/>
        <v>7</v>
      </c>
      <c r="AB43" s="6">
        <f t="shared" si="15"/>
        <v>231</v>
      </c>
      <c r="AC43" s="5">
        <f t="shared" si="16"/>
        <v>0.18497913769123783</v>
      </c>
      <c r="AD43" s="5">
        <f t="shared" si="17"/>
        <v>1</v>
      </c>
      <c r="AE43" s="5">
        <f t="shared" si="18"/>
        <v>1</v>
      </c>
      <c r="AF43" s="5">
        <f t="shared" si="19"/>
        <v>0.67833333333333334</v>
      </c>
      <c r="AG43" s="5">
        <f t="shared" si="20"/>
        <v>0.59666666666666668</v>
      </c>
    </row>
    <row r="44" spans="1:33">
      <c r="A44" s="4">
        <v>46170</v>
      </c>
      <c r="B44" s="3" t="s">
        <v>62</v>
      </c>
      <c r="C44" s="3">
        <v>7</v>
      </c>
      <c r="D44" s="6">
        <v>501</v>
      </c>
      <c r="E44" s="6">
        <v>474</v>
      </c>
      <c r="F44" s="6">
        <v>700</v>
      </c>
      <c r="G44" s="6">
        <f t="shared" si="0"/>
        <v>486</v>
      </c>
      <c r="H44" s="5">
        <v>0.99970972741447361</v>
      </c>
      <c r="I44" s="6">
        <f t="shared" si="1"/>
        <v>486</v>
      </c>
      <c r="J44" s="6">
        <f t="shared" si="21"/>
        <v>0</v>
      </c>
      <c r="K44" s="6">
        <f t="shared" si="2"/>
        <v>486</v>
      </c>
      <c r="L44" s="6">
        <f t="shared" si="3"/>
        <v>474</v>
      </c>
      <c r="M44" s="6">
        <f t="shared" si="4"/>
        <v>0</v>
      </c>
      <c r="N44" s="6">
        <f t="shared" si="5"/>
        <v>12</v>
      </c>
      <c r="O44" s="5">
        <v>1.7999999999999999E-2</v>
      </c>
      <c r="P44" s="6">
        <f t="shared" si="6"/>
        <v>0</v>
      </c>
      <c r="Q44" s="6">
        <f t="shared" si="7"/>
        <v>12</v>
      </c>
      <c r="R44" s="6">
        <v>90</v>
      </c>
      <c r="S44" s="6">
        <f t="shared" si="8"/>
        <v>580</v>
      </c>
      <c r="T44" s="5">
        <v>0.98136541232481733</v>
      </c>
      <c r="U44" s="6">
        <f t="shared" si="9"/>
        <v>569</v>
      </c>
      <c r="V44" s="6">
        <f t="shared" si="22"/>
        <v>11</v>
      </c>
      <c r="W44" s="6">
        <f t="shared" si="10"/>
        <v>580</v>
      </c>
      <c r="X44" s="6">
        <f t="shared" si="11"/>
        <v>474</v>
      </c>
      <c r="Y44" s="6">
        <f t="shared" si="12"/>
        <v>0</v>
      </c>
      <c r="Z44" s="6">
        <f t="shared" si="13"/>
        <v>106</v>
      </c>
      <c r="AA44" s="6">
        <f t="shared" si="14"/>
        <v>2</v>
      </c>
      <c r="AB44" s="6">
        <f t="shared" si="15"/>
        <v>104</v>
      </c>
      <c r="AC44" s="5">
        <f t="shared" si="16"/>
        <v>5.6962025316455694E-2</v>
      </c>
      <c r="AD44" s="5">
        <f t="shared" si="17"/>
        <v>1</v>
      </c>
      <c r="AE44" s="5">
        <f t="shared" si="18"/>
        <v>1</v>
      </c>
      <c r="AF44" s="5">
        <f t="shared" si="19"/>
        <v>0.69428571428571428</v>
      </c>
      <c r="AG44" s="5">
        <f t="shared" si="20"/>
        <v>0.81285714285714283</v>
      </c>
    </row>
    <row r="45" spans="1:33">
      <c r="A45" s="4">
        <v>46170</v>
      </c>
      <c r="B45" s="3" t="s">
        <v>63</v>
      </c>
      <c r="C45" s="3">
        <v>7</v>
      </c>
      <c r="D45" s="6">
        <v>401</v>
      </c>
      <c r="E45" s="6">
        <v>410</v>
      </c>
      <c r="F45" s="6">
        <v>560</v>
      </c>
      <c r="G45" s="6">
        <f t="shared" si="0"/>
        <v>389</v>
      </c>
      <c r="H45" s="5">
        <v>0.99445838321496061</v>
      </c>
      <c r="I45" s="6">
        <f t="shared" si="1"/>
        <v>387</v>
      </c>
      <c r="J45" s="6">
        <f t="shared" si="21"/>
        <v>48</v>
      </c>
      <c r="K45" s="6">
        <f t="shared" si="2"/>
        <v>435</v>
      </c>
      <c r="L45" s="6">
        <f t="shared" si="3"/>
        <v>410</v>
      </c>
      <c r="M45" s="6">
        <f t="shared" si="4"/>
        <v>0</v>
      </c>
      <c r="N45" s="6">
        <f t="shared" si="5"/>
        <v>25</v>
      </c>
      <c r="O45" s="5">
        <v>0.02</v>
      </c>
      <c r="P45" s="6">
        <f t="shared" si="6"/>
        <v>1</v>
      </c>
      <c r="Q45" s="6">
        <f t="shared" si="7"/>
        <v>24</v>
      </c>
      <c r="R45" s="6">
        <v>72</v>
      </c>
      <c r="S45" s="6">
        <f t="shared" si="8"/>
        <v>405</v>
      </c>
      <c r="T45" s="5">
        <v>0.98848917710462647</v>
      </c>
      <c r="U45" s="6">
        <f t="shared" si="9"/>
        <v>400</v>
      </c>
      <c r="V45" s="6">
        <f t="shared" si="22"/>
        <v>68</v>
      </c>
      <c r="W45" s="6">
        <f t="shared" si="10"/>
        <v>468</v>
      </c>
      <c r="X45" s="6">
        <f t="shared" si="11"/>
        <v>410</v>
      </c>
      <c r="Y45" s="6">
        <f t="shared" si="12"/>
        <v>0</v>
      </c>
      <c r="Z45" s="6">
        <f t="shared" si="13"/>
        <v>58</v>
      </c>
      <c r="AA45" s="6">
        <f t="shared" si="14"/>
        <v>1</v>
      </c>
      <c r="AB45" s="6">
        <f t="shared" si="15"/>
        <v>57</v>
      </c>
      <c r="AC45" s="5">
        <f t="shared" si="16"/>
        <v>2.1951219512195121E-2</v>
      </c>
      <c r="AD45" s="5">
        <f t="shared" si="17"/>
        <v>1</v>
      </c>
      <c r="AE45" s="5">
        <f t="shared" si="18"/>
        <v>1</v>
      </c>
      <c r="AF45" s="5">
        <f t="shared" si="19"/>
        <v>0.69107142857142856</v>
      </c>
      <c r="AG45" s="5">
        <f t="shared" si="20"/>
        <v>0.7142857142857143</v>
      </c>
    </row>
    <row r="46" spans="1:33">
      <c r="A46" s="4">
        <v>46170</v>
      </c>
      <c r="B46" s="3" t="s">
        <v>64</v>
      </c>
      <c r="C46" s="3">
        <v>5</v>
      </c>
      <c r="D46" s="6">
        <v>160</v>
      </c>
      <c r="E46" s="6">
        <v>171</v>
      </c>
      <c r="F46" s="6">
        <v>230</v>
      </c>
      <c r="G46" s="6">
        <f t="shared" si="0"/>
        <v>155</v>
      </c>
      <c r="H46" s="5">
        <v>0.99486652684542631</v>
      </c>
      <c r="I46" s="6">
        <f t="shared" si="1"/>
        <v>154</v>
      </c>
      <c r="J46" s="6">
        <f t="shared" si="21"/>
        <v>3</v>
      </c>
      <c r="K46" s="6">
        <f t="shared" si="2"/>
        <v>157</v>
      </c>
      <c r="L46" s="6">
        <f t="shared" si="3"/>
        <v>157</v>
      </c>
      <c r="M46" s="6">
        <f t="shared" si="4"/>
        <v>14</v>
      </c>
      <c r="N46" s="6">
        <f t="shared" si="5"/>
        <v>0</v>
      </c>
      <c r="O46" s="5">
        <v>2.5000000000000001E-2</v>
      </c>
      <c r="P46" s="6">
        <f t="shared" si="6"/>
        <v>0</v>
      </c>
      <c r="Q46" s="6">
        <f t="shared" si="7"/>
        <v>0</v>
      </c>
      <c r="R46" s="6">
        <v>32</v>
      </c>
      <c r="S46" s="6">
        <f t="shared" si="8"/>
        <v>158</v>
      </c>
      <c r="T46" s="5">
        <v>1.0023631662179191</v>
      </c>
      <c r="U46" s="6">
        <f t="shared" si="9"/>
        <v>158</v>
      </c>
      <c r="V46" s="6">
        <f t="shared" si="22"/>
        <v>34</v>
      </c>
      <c r="W46" s="6">
        <f t="shared" si="10"/>
        <v>192</v>
      </c>
      <c r="X46" s="6">
        <f t="shared" si="11"/>
        <v>171</v>
      </c>
      <c r="Y46" s="6">
        <f t="shared" si="12"/>
        <v>0</v>
      </c>
      <c r="Z46" s="6">
        <f t="shared" si="13"/>
        <v>21</v>
      </c>
      <c r="AA46" s="6">
        <f t="shared" si="14"/>
        <v>1</v>
      </c>
      <c r="AB46" s="6">
        <f t="shared" si="15"/>
        <v>20</v>
      </c>
      <c r="AC46" s="5">
        <f t="shared" si="16"/>
        <v>6.4327485380116955E-2</v>
      </c>
      <c r="AD46" s="5">
        <f t="shared" si="17"/>
        <v>0.91812865497076024</v>
      </c>
      <c r="AE46" s="5">
        <f t="shared" si="18"/>
        <v>1</v>
      </c>
      <c r="AF46" s="5">
        <f t="shared" si="19"/>
        <v>0.66956521739130437</v>
      </c>
      <c r="AG46" s="5">
        <f t="shared" si="20"/>
        <v>0.68695652173913047</v>
      </c>
    </row>
    <row r="47" spans="1:33">
      <c r="A47" s="4">
        <v>46171</v>
      </c>
      <c r="B47" s="3" t="s">
        <v>60</v>
      </c>
      <c r="C47" s="3">
        <v>2</v>
      </c>
      <c r="D47" s="6">
        <v>1774</v>
      </c>
      <c r="E47" s="6">
        <v>1632</v>
      </c>
      <c r="F47" s="6">
        <v>2250</v>
      </c>
      <c r="G47" s="6">
        <f t="shared" si="0"/>
        <v>1721</v>
      </c>
      <c r="H47" s="5">
        <v>1.0004972021112195</v>
      </c>
      <c r="I47" s="6">
        <f t="shared" si="1"/>
        <v>1722</v>
      </c>
      <c r="J47" s="6">
        <f t="shared" si="21"/>
        <v>791</v>
      </c>
      <c r="K47" s="6">
        <f t="shared" si="2"/>
        <v>2513</v>
      </c>
      <c r="L47" s="6">
        <f t="shared" si="3"/>
        <v>1632</v>
      </c>
      <c r="M47" s="6">
        <f t="shared" si="4"/>
        <v>0</v>
      </c>
      <c r="N47" s="6">
        <f t="shared" si="5"/>
        <v>881</v>
      </c>
      <c r="O47" s="5">
        <v>2.5000000000000001E-2</v>
      </c>
      <c r="P47" s="6">
        <f t="shared" si="6"/>
        <v>22</v>
      </c>
      <c r="Q47" s="6">
        <f t="shared" si="7"/>
        <v>859</v>
      </c>
      <c r="R47" s="6">
        <v>213</v>
      </c>
      <c r="S47" s="6">
        <f t="shared" si="8"/>
        <v>1567</v>
      </c>
      <c r="T47" s="5">
        <v>1.0079948878454699</v>
      </c>
      <c r="U47" s="6">
        <f t="shared" si="9"/>
        <v>1580</v>
      </c>
      <c r="V47" s="6">
        <f t="shared" si="22"/>
        <v>420</v>
      </c>
      <c r="W47" s="6">
        <f t="shared" si="10"/>
        <v>2000</v>
      </c>
      <c r="X47" s="6">
        <f t="shared" si="11"/>
        <v>1632</v>
      </c>
      <c r="Y47" s="6">
        <f t="shared" si="12"/>
        <v>0</v>
      </c>
      <c r="Z47" s="6">
        <f t="shared" si="13"/>
        <v>368</v>
      </c>
      <c r="AA47" s="6">
        <f t="shared" si="14"/>
        <v>9</v>
      </c>
      <c r="AB47" s="6">
        <f t="shared" si="15"/>
        <v>359</v>
      </c>
      <c r="AC47" s="5">
        <f t="shared" si="16"/>
        <v>8.7009803921568624E-2</v>
      </c>
      <c r="AD47" s="5">
        <f t="shared" si="17"/>
        <v>1</v>
      </c>
      <c r="AE47" s="5">
        <f t="shared" si="18"/>
        <v>1</v>
      </c>
      <c r="AF47" s="5">
        <f t="shared" si="19"/>
        <v>0.76533333333333331</v>
      </c>
      <c r="AG47" s="5">
        <f t="shared" si="20"/>
        <v>0.70222222222222219</v>
      </c>
    </row>
    <row r="48" spans="1:33">
      <c r="A48" s="4">
        <v>46171</v>
      </c>
      <c r="B48" s="3" t="s">
        <v>61</v>
      </c>
      <c r="C48" s="3">
        <v>2</v>
      </c>
      <c r="D48" s="6">
        <v>887</v>
      </c>
      <c r="E48" s="6">
        <v>1039</v>
      </c>
      <c r="F48" s="6">
        <v>1200</v>
      </c>
      <c r="G48" s="6">
        <f t="shared" si="0"/>
        <v>860</v>
      </c>
      <c r="H48" s="5">
        <v>0.9934945373348949</v>
      </c>
      <c r="I48" s="6">
        <f t="shared" si="1"/>
        <v>854</v>
      </c>
      <c r="J48" s="6">
        <f t="shared" si="21"/>
        <v>463</v>
      </c>
      <c r="K48" s="6">
        <f t="shared" si="2"/>
        <v>1317</v>
      </c>
      <c r="L48" s="6">
        <f t="shared" si="3"/>
        <v>1039</v>
      </c>
      <c r="M48" s="6">
        <f t="shared" si="4"/>
        <v>0</v>
      </c>
      <c r="N48" s="6">
        <f t="shared" si="5"/>
        <v>278</v>
      </c>
      <c r="O48" s="5">
        <v>0.03</v>
      </c>
      <c r="P48" s="6">
        <f t="shared" si="6"/>
        <v>8</v>
      </c>
      <c r="Q48" s="6">
        <f t="shared" si="7"/>
        <v>270</v>
      </c>
      <c r="R48" s="6">
        <v>106</v>
      </c>
      <c r="S48" s="6">
        <f t="shared" si="8"/>
        <v>762</v>
      </c>
      <c r="T48" s="5">
        <v>0.98654378645171903</v>
      </c>
      <c r="U48" s="6">
        <f t="shared" si="9"/>
        <v>752</v>
      </c>
      <c r="V48" s="6">
        <f t="shared" si="22"/>
        <v>231</v>
      </c>
      <c r="W48" s="6">
        <f t="shared" si="10"/>
        <v>983</v>
      </c>
      <c r="X48" s="6">
        <f t="shared" si="11"/>
        <v>983</v>
      </c>
      <c r="Y48" s="6">
        <f t="shared" si="12"/>
        <v>56</v>
      </c>
      <c r="Z48" s="6">
        <f t="shared" si="13"/>
        <v>0</v>
      </c>
      <c r="AA48" s="6">
        <f t="shared" si="14"/>
        <v>0</v>
      </c>
      <c r="AB48" s="6">
        <f t="shared" si="15"/>
        <v>0</v>
      </c>
      <c r="AC48" s="5">
        <f t="shared" si="16"/>
        <v>0.14629451395572665</v>
      </c>
      <c r="AD48" s="5">
        <f t="shared" si="17"/>
        <v>1</v>
      </c>
      <c r="AE48" s="5">
        <f t="shared" si="18"/>
        <v>0.94610202117420594</v>
      </c>
      <c r="AF48" s="5">
        <f t="shared" si="19"/>
        <v>0.71166666666666667</v>
      </c>
      <c r="AG48" s="5">
        <f t="shared" si="20"/>
        <v>0.62666666666666671</v>
      </c>
    </row>
    <row r="49" spans="1:33">
      <c r="A49" s="4">
        <v>46171</v>
      </c>
      <c r="B49" s="3" t="s">
        <v>62</v>
      </c>
      <c r="C49" s="3">
        <v>7</v>
      </c>
      <c r="D49" s="6">
        <v>522</v>
      </c>
      <c r="E49" s="6">
        <v>491</v>
      </c>
      <c r="F49" s="6">
        <v>700</v>
      </c>
      <c r="G49" s="6">
        <f t="shared" si="0"/>
        <v>506</v>
      </c>
      <c r="H49" s="5">
        <v>1.0193833250183715</v>
      </c>
      <c r="I49" s="6">
        <f t="shared" si="1"/>
        <v>516</v>
      </c>
      <c r="J49" s="6">
        <f t="shared" si="21"/>
        <v>12</v>
      </c>
      <c r="K49" s="6">
        <f t="shared" si="2"/>
        <v>528</v>
      </c>
      <c r="L49" s="6">
        <f t="shared" si="3"/>
        <v>491</v>
      </c>
      <c r="M49" s="6">
        <f t="shared" si="4"/>
        <v>0</v>
      </c>
      <c r="N49" s="6">
        <f t="shared" si="5"/>
        <v>37</v>
      </c>
      <c r="O49" s="5">
        <v>1.7999999999999999E-2</v>
      </c>
      <c r="P49" s="6">
        <f t="shared" si="6"/>
        <v>1</v>
      </c>
      <c r="Q49" s="6">
        <f t="shared" si="7"/>
        <v>36</v>
      </c>
      <c r="R49" s="6">
        <v>94</v>
      </c>
      <c r="S49" s="6">
        <f t="shared" si="8"/>
        <v>512</v>
      </c>
      <c r="T49" s="5">
        <v>1.0136363368460606</v>
      </c>
      <c r="U49" s="6">
        <f t="shared" si="9"/>
        <v>519</v>
      </c>
      <c r="V49" s="6">
        <f t="shared" si="22"/>
        <v>104</v>
      </c>
      <c r="W49" s="6">
        <f t="shared" si="10"/>
        <v>623</v>
      </c>
      <c r="X49" s="6">
        <f t="shared" si="11"/>
        <v>491</v>
      </c>
      <c r="Y49" s="6">
        <f t="shared" si="12"/>
        <v>0</v>
      </c>
      <c r="Z49" s="6">
        <f t="shared" si="13"/>
        <v>132</v>
      </c>
      <c r="AA49" s="6">
        <f t="shared" si="14"/>
        <v>2</v>
      </c>
      <c r="AB49" s="6">
        <f t="shared" si="15"/>
        <v>130</v>
      </c>
      <c r="AC49" s="5">
        <f t="shared" si="16"/>
        <v>6.313645621181263E-2</v>
      </c>
      <c r="AD49" s="5">
        <f t="shared" si="17"/>
        <v>1</v>
      </c>
      <c r="AE49" s="5">
        <f t="shared" si="18"/>
        <v>1</v>
      </c>
      <c r="AF49" s="5">
        <f t="shared" si="19"/>
        <v>0.7371428571428571</v>
      </c>
      <c r="AG49" s="5">
        <f t="shared" si="20"/>
        <v>0.74142857142857144</v>
      </c>
    </row>
    <row r="50" spans="1:33">
      <c r="A50" s="4">
        <v>46171</v>
      </c>
      <c r="B50" s="3" t="s">
        <v>63</v>
      </c>
      <c r="C50" s="3">
        <v>7</v>
      </c>
      <c r="D50" s="6">
        <v>417</v>
      </c>
      <c r="E50" s="6">
        <v>474</v>
      </c>
      <c r="F50" s="6">
        <v>560</v>
      </c>
      <c r="G50" s="6">
        <f t="shared" si="0"/>
        <v>404</v>
      </c>
      <c r="H50" s="5">
        <v>1.0129041741871023</v>
      </c>
      <c r="I50" s="6">
        <f t="shared" si="1"/>
        <v>409</v>
      </c>
      <c r="J50" s="6">
        <f t="shared" si="21"/>
        <v>24</v>
      </c>
      <c r="K50" s="6">
        <f t="shared" si="2"/>
        <v>433</v>
      </c>
      <c r="L50" s="6">
        <f t="shared" si="3"/>
        <v>433</v>
      </c>
      <c r="M50" s="6">
        <f t="shared" si="4"/>
        <v>41</v>
      </c>
      <c r="N50" s="6">
        <f t="shared" si="5"/>
        <v>0</v>
      </c>
      <c r="O50" s="5">
        <v>0.02</v>
      </c>
      <c r="P50" s="6">
        <f t="shared" si="6"/>
        <v>0</v>
      </c>
      <c r="Q50" s="6">
        <f t="shared" si="7"/>
        <v>0</v>
      </c>
      <c r="R50" s="6">
        <v>75</v>
      </c>
      <c r="S50" s="6">
        <f t="shared" si="8"/>
        <v>435</v>
      </c>
      <c r="T50" s="5">
        <v>0.98495247579717748</v>
      </c>
      <c r="U50" s="6">
        <f t="shared" si="9"/>
        <v>428</v>
      </c>
      <c r="V50" s="6">
        <f t="shared" si="22"/>
        <v>57</v>
      </c>
      <c r="W50" s="6">
        <f t="shared" si="10"/>
        <v>485</v>
      </c>
      <c r="X50" s="6">
        <f t="shared" si="11"/>
        <v>474</v>
      </c>
      <c r="Y50" s="6">
        <f t="shared" si="12"/>
        <v>0</v>
      </c>
      <c r="Z50" s="6">
        <f t="shared" si="13"/>
        <v>11</v>
      </c>
      <c r="AA50" s="6">
        <f t="shared" si="14"/>
        <v>0</v>
      </c>
      <c r="AB50" s="6">
        <f t="shared" si="15"/>
        <v>11</v>
      </c>
      <c r="AC50" s="5">
        <f t="shared" si="16"/>
        <v>0.12025316455696203</v>
      </c>
      <c r="AD50" s="5">
        <f t="shared" si="17"/>
        <v>0.9135021097046413</v>
      </c>
      <c r="AE50" s="5">
        <f t="shared" si="18"/>
        <v>1</v>
      </c>
      <c r="AF50" s="5">
        <f t="shared" si="19"/>
        <v>0.73035714285714282</v>
      </c>
      <c r="AG50" s="5">
        <f t="shared" si="20"/>
        <v>0.76428571428571423</v>
      </c>
    </row>
    <row r="51" spans="1:33">
      <c r="A51" s="4">
        <v>46171</v>
      </c>
      <c r="B51" s="3" t="s">
        <v>64</v>
      </c>
      <c r="C51" s="3">
        <v>5</v>
      </c>
      <c r="D51" s="6">
        <v>167</v>
      </c>
      <c r="E51" s="6">
        <v>178</v>
      </c>
      <c r="F51" s="6">
        <v>230</v>
      </c>
      <c r="G51" s="6">
        <f t="shared" si="0"/>
        <v>162</v>
      </c>
      <c r="H51" s="5">
        <v>1.0193106347384431</v>
      </c>
      <c r="I51" s="6">
        <f t="shared" si="1"/>
        <v>165</v>
      </c>
      <c r="J51" s="6">
        <f t="shared" si="21"/>
        <v>0</v>
      </c>
      <c r="K51" s="6">
        <f t="shared" si="2"/>
        <v>165</v>
      </c>
      <c r="L51" s="6">
        <f t="shared" si="3"/>
        <v>165</v>
      </c>
      <c r="M51" s="6">
        <f t="shared" si="4"/>
        <v>13</v>
      </c>
      <c r="N51" s="6">
        <f t="shared" si="5"/>
        <v>0</v>
      </c>
      <c r="O51" s="5">
        <v>2.5000000000000001E-2</v>
      </c>
      <c r="P51" s="6">
        <f t="shared" si="6"/>
        <v>0</v>
      </c>
      <c r="Q51" s="6">
        <f t="shared" si="7"/>
        <v>0</v>
      </c>
      <c r="R51" s="6">
        <v>33</v>
      </c>
      <c r="S51" s="6">
        <f t="shared" si="8"/>
        <v>180</v>
      </c>
      <c r="T51" s="5">
        <v>1.0058410797610227</v>
      </c>
      <c r="U51" s="6">
        <f t="shared" si="9"/>
        <v>181</v>
      </c>
      <c r="V51" s="6">
        <f t="shared" si="22"/>
        <v>20</v>
      </c>
      <c r="W51" s="6">
        <f t="shared" si="10"/>
        <v>201</v>
      </c>
      <c r="X51" s="6">
        <f t="shared" si="11"/>
        <v>178</v>
      </c>
      <c r="Y51" s="6">
        <f t="shared" si="12"/>
        <v>0</v>
      </c>
      <c r="Z51" s="6">
        <f t="shared" si="13"/>
        <v>23</v>
      </c>
      <c r="AA51" s="6">
        <f t="shared" si="14"/>
        <v>1</v>
      </c>
      <c r="AB51" s="6">
        <f t="shared" si="15"/>
        <v>22</v>
      </c>
      <c r="AC51" s="5">
        <f t="shared" si="16"/>
        <v>6.1797752808988762E-2</v>
      </c>
      <c r="AD51" s="5">
        <f t="shared" si="17"/>
        <v>0.9269662921348315</v>
      </c>
      <c r="AE51" s="5">
        <f t="shared" si="18"/>
        <v>1</v>
      </c>
      <c r="AF51" s="5">
        <f t="shared" si="19"/>
        <v>0.71739130434782605</v>
      </c>
      <c r="AG51" s="5">
        <f t="shared" si="20"/>
        <v>0.78695652173913044</v>
      </c>
    </row>
    <row r="52" spans="1:33">
      <c r="A52" s="4">
        <v>46172</v>
      </c>
      <c r="B52" s="3" t="s">
        <v>60</v>
      </c>
      <c r="C52" s="3">
        <v>2</v>
      </c>
      <c r="D52" s="6">
        <v>1945</v>
      </c>
      <c r="E52" s="6">
        <v>1704</v>
      </c>
      <c r="F52" s="6">
        <v>2250</v>
      </c>
      <c r="G52" s="6">
        <f t="shared" si="0"/>
        <v>1887</v>
      </c>
      <c r="H52" s="5">
        <v>0.99710948443851599</v>
      </c>
      <c r="I52" s="6">
        <f t="shared" si="1"/>
        <v>1882</v>
      </c>
      <c r="J52" s="6">
        <f t="shared" si="21"/>
        <v>859</v>
      </c>
      <c r="K52" s="6">
        <f t="shared" si="2"/>
        <v>2741</v>
      </c>
      <c r="L52" s="6">
        <f t="shared" si="3"/>
        <v>1704</v>
      </c>
      <c r="M52" s="6">
        <f t="shared" si="4"/>
        <v>0</v>
      </c>
      <c r="N52" s="6">
        <f t="shared" si="5"/>
        <v>1037</v>
      </c>
      <c r="O52" s="5">
        <v>2.5000000000000001E-2</v>
      </c>
      <c r="P52" s="6">
        <f t="shared" si="6"/>
        <v>26</v>
      </c>
      <c r="Q52" s="6">
        <f t="shared" si="7"/>
        <v>1011</v>
      </c>
      <c r="R52" s="6">
        <v>233</v>
      </c>
      <c r="S52" s="6">
        <f t="shared" si="8"/>
        <v>1819</v>
      </c>
      <c r="T52" s="5">
        <v>1.0127075726492216</v>
      </c>
      <c r="U52" s="6">
        <f t="shared" si="9"/>
        <v>1842</v>
      </c>
      <c r="V52" s="6">
        <f t="shared" si="22"/>
        <v>359</v>
      </c>
      <c r="W52" s="6">
        <f t="shared" si="10"/>
        <v>2201</v>
      </c>
      <c r="X52" s="6">
        <f t="shared" si="11"/>
        <v>1704</v>
      </c>
      <c r="Y52" s="6">
        <f t="shared" si="12"/>
        <v>0</v>
      </c>
      <c r="Z52" s="6">
        <f t="shared" si="13"/>
        <v>497</v>
      </c>
      <c r="AA52" s="6">
        <f t="shared" si="14"/>
        <v>12</v>
      </c>
      <c r="AB52" s="6">
        <f t="shared" si="15"/>
        <v>485</v>
      </c>
      <c r="AC52" s="5">
        <f t="shared" si="16"/>
        <v>0.1414319248826291</v>
      </c>
      <c r="AD52" s="5">
        <f t="shared" si="17"/>
        <v>1</v>
      </c>
      <c r="AE52" s="5">
        <f t="shared" si="18"/>
        <v>1</v>
      </c>
      <c r="AF52" s="5">
        <f t="shared" si="19"/>
        <v>0.83644444444444443</v>
      </c>
      <c r="AG52" s="5">
        <f t="shared" si="20"/>
        <v>0.81866666666666665</v>
      </c>
    </row>
    <row r="53" spans="1:33">
      <c r="A53" s="4">
        <v>46172</v>
      </c>
      <c r="B53" s="3" t="s">
        <v>61</v>
      </c>
      <c r="C53" s="3">
        <v>2</v>
      </c>
      <c r="D53" s="6">
        <v>972</v>
      </c>
      <c r="E53" s="6">
        <v>825</v>
      </c>
      <c r="F53" s="6">
        <v>1200</v>
      </c>
      <c r="G53" s="6">
        <f t="shared" si="0"/>
        <v>943</v>
      </c>
      <c r="H53" s="5">
        <v>1.0041974591659502</v>
      </c>
      <c r="I53" s="6">
        <f t="shared" si="1"/>
        <v>947</v>
      </c>
      <c r="J53" s="6">
        <f t="shared" si="21"/>
        <v>270</v>
      </c>
      <c r="K53" s="6">
        <f t="shared" si="2"/>
        <v>1217</v>
      </c>
      <c r="L53" s="6">
        <f t="shared" si="3"/>
        <v>825</v>
      </c>
      <c r="M53" s="6">
        <f t="shared" si="4"/>
        <v>0</v>
      </c>
      <c r="N53" s="6">
        <f t="shared" si="5"/>
        <v>392</v>
      </c>
      <c r="O53" s="5">
        <v>0.03</v>
      </c>
      <c r="P53" s="6">
        <f t="shared" si="6"/>
        <v>12</v>
      </c>
      <c r="Q53" s="6">
        <f t="shared" si="7"/>
        <v>380</v>
      </c>
      <c r="R53" s="6">
        <v>117</v>
      </c>
      <c r="S53" s="6">
        <f t="shared" si="8"/>
        <v>1089</v>
      </c>
      <c r="T53" s="5">
        <v>1.0042535462299</v>
      </c>
      <c r="U53" s="6">
        <f t="shared" si="9"/>
        <v>1094</v>
      </c>
      <c r="V53" s="6">
        <f t="shared" si="22"/>
        <v>0</v>
      </c>
      <c r="W53" s="6">
        <f t="shared" si="10"/>
        <v>1094</v>
      </c>
      <c r="X53" s="6">
        <f t="shared" si="11"/>
        <v>825</v>
      </c>
      <c r="Y53" s="6">
        <f t="shared" si="12"/>
        <v>0</v>
      </c>
      <c r="Z53" s="6">
        <f t="shared" si="13"/>
        <v>269</v>
      </c>
      <c r="AA53" s="6">
        <f t="shared" si="14"/>
        <v>8</v>
      </c>
      <c r="AB53" s="6">
        <f t="shared" si="15"/>
        <v>261</v>
      </c>
      <c r="AC53" s="5">
        <f t="shared" si="16"/>
        <v>0.17818181818181819</v>
      </c>
      <c r="AD53" s="5">
        <f t="shared" si="17"/>
        <v>1</v>
      </c>
      <c r="AE53" s="5">
        <f t="shared" si="18"/>
        <v>1</v>
      </c>
      <c r="AF53" s="5">
        <f t="shared" si="19"/>
        <v>0.78916666666666668</v>
      </c>
      <c r="AG53" s="5">
        <f t="shared" si="20"/>
        <v>0.91166666666666663</v>
      </c>
    </row>
    <row r="54" spans="1:33">
      <c r="A54" s="4">
        <v>46172</v>
      </c>
      <c r="B54" s="3" t="s">
        <v>62</v>
      </c>
      <c r="C54" s="3">
        <v>7</v>
      </c>
      <c r="D54" s="6">
        <v>572</v>
      </c>
      <c r="E54" s="6">
        <v>532</v>
      </c>
      <c r="F54" s="6">
        <v>700</v>
      </c>
      <c r="G54" s="6">
        <f t="shared" si="0"/>
        <v>555</v>
      </c>
      <c r="H54" s="5">
        <v>0.99352362970949326</v>
      </c>
      <c r="I54" s="6">
        <f t="shared" si="1"/>
        <v>551</v>
      </c>
      <c r="J54" s="6">
        <f t="shared" si="21"/>
        <v>36</v>
      </c>
      <c r="K54" s="6">
        <f t="shared" si="2"/>
        <v>587</v>
      </c>
      <c r="L54" s="6">
        <f t="shared" si="3"/>
        <v>532</v>
      </c>
      <c r="M54" s="6">
        <f t="shared" si="4"/>
        <v>0</v>
      </c>
      <c r="N54" s="6">
        <f t="shared" si="5"/>
        <v>55</v>
      </c>
      <c r="O54" s="5">
        <v>1.7999999999999999E-2</v>
      </c>
      <c r="P54" s="6">
        <f t="shared" si="6"/>
        <v>1</v>
      </c>
      <c r="Q54" s="6">
        <f t="shared" si="7"/>
        <v>54</v>
      </c>
      <c r="R54" s="6">
        <v>103</v>
      </c>
      <c r="S54" s="6">
        <f t="shared" si="8"/>
        <v>545</v>
      </c>
      <c r="T54" s="5">
        <v>0.98492372207180945</v>
      </c>
      <c r="U54" s="6">
        <f t="shared" si="9"/>
        <v>537</v>
      </c>
      <c r="V54" s="6">
        <f t="shared" si="22"/>
        <v>130</v>
      </c>
      <c r="W54" s="6">
        <f t="shared" si="10"/>
        <v>667</v>
      </c>
      <c r="X54" s="6">
        <f t="shared" si="11"/>
        <v>532</v>
      </c>
      <c r="Y54" s="6">
        <f t="shared" si="12"/>
        <v>0</v>
      </c>
      <c r="Z54" s="6">
        <f t="shared" si="13"/>
        <v>135</v>
      </c>
      <c r="AA54" s="6">
        <f t="shared" si="14"/>
        <v>2</v>
      </c>
      <c r="AB54" s="6">
        <f t="shared" si="15"/>
        <v>133</v>
      </c>
      <c r="AC54" s="5">
        <f t="shared" si="16"/>
        <v>7.5187969924812026E-2</v>
      </c>
      <c r="AD54" s="5">
        <f t="shared" si="17"/>
        <v>1</v>
      </c>
      <c r="AE54" s="5">
        <f t="shared" si="18"/>
        <v>1</v>
      </c>
      <c r="AF54" s="5">
        <f t="shared" si="19"/>
        <v>0.78714285714285714</v>
      </c>
      <c r="AG54" s="5">
        <f t="shared" si="20"/>
        <v>0.76714285714285713</v>
      </c>
    </row>
    <row r="55" spans="1:33">
      <c r="A55" s="4">
        <v>46172</v>
      </c>
      <c r="B55" s="3" t="s">
        <v>63</v>
      </c>
      <c r="C55" s="3">
        <v>7</v>
      </c>
      <c r="D55" s="6">
        <v>454</v>
      </c>
      <c r="E55" s="6">
        <v>509</v>
      </c>
      <c r="F55" s="6">
        <v>560</v>
      </c>
      <c r="G55" s="6">
        <f t="shared" si="0"/>
        <v>440</v>
      </c>
      <c r="H55" s="5">
        <v>0.99068460289012017</v>
      </c>
      <c r="I55" s="6">
        <f t="shared" si="1"/>
        <v>436</v>
      </c>
      <c r="J55" s="6">
        <f t="shared" si="21"/>
        <v>0</v>
      </c>
      <c r="K55" s="6">
        <f t="shared" si="2"/>
        <v>436</v>
      </c>
      <c r="L55" s="6">
        <f t="shared" si="3"/>
        <v>436</v>
      </c>
      <c r="M55" s="6">
        <f t="shared" si="4"/>
        <v>73</v>
      </c>
      <c r="N55" s="6">
        <f t="shared" si="5"/>
        <v>0</v>
      </c>
      <c r="O55" s="5">
        <v>0.02</v>
      </c>
      <c r="P55" s="6">
        <f t="shared" si="6"/>
        <v>0</v>
      </c>
      <c r="Q55" s="6">
        <f t="shared" si="7"/>
        <v>0</v>
      </c>
      <c r="R55" s="6">
        <v>82</v>
      </c>
      <c r="S55" s="6">
        <f t="shared" si="8"/>
        <v>525</v>
      </c>
      <c r="T55" s="5">
        <v>1.0092669630561741</v>
      </c>
      <c r="U55" s="6">
        <f t="shared" si="9"/>
        <v>530</v>
      </c>
      <c r="V55" s="6">
        <f t="shared" si="22"/>
        <v>11</v>
      </c>
      <c r="W55" s="6">
        <f t="shared" si="10"/>
        <v>541</v>
      </c>
      <c r="X55" s="6">
        <f t="shared" si="11"/>
        <v>509</v>
      </c>
      <c r="Y55" s="6">
        <f t="shared" si="12"/>
        <v>0</v>
      </c>
      <c r="Z55" s="6">
        <f t="shared" si="13"/>
        <v>32</v>
      </c>
      <c r="AA55" s="6">
        <f t="shared" si="14"/>
        <v>1</v>
      </c>
      <c r="AB55" s="6">
        <f t="shared" si="15"/>
        <v>31</v>
      </c>
      <c r="AC55" s="5">
        <f t="shared" si="16"/>
        <v>0.10805500982318271</v>
      </c>
      <c r="AD55" s="5">
        <f t="shared" si="17"/>
        <v>0.85658153241650292</v>
      </c>
      <c r="AE55" s="5">
        <f t="shared" si="18"/>
        <v>1</v>
      </c>
      <c r="AF55" s="5">
        <f t="shared" si="19"/>
        <v>0.77857142857142858</v>
      </c>
      <c r="AG55" s="5">
        <f t="shared" si="20"/>
        <v>0.9464285714285714</v>
      </c>
    </row>
    <row r="56" spans="1:33">
      <c r="A56" s="4">
        <v>46172</v>
      </c>
      <c r="B56" s="3" t="s">
        <v>64</v>
      </c>
      <c r="C56" s="3">
        <v>5</v>
      </c>
      <c r="D56" s="6">
        <v>180</v>
      </c>
      <c r="E56" s="6">
        <v>152</v>
      </c>
      <c r="F56" s="6">
        <v>230</v>
      </c>
      <c r="G56" s="6">
        <f t="shared" si="0"/>
        <v>175</v>
      </c>
      <c r="H56" s="5">
        <v>0.98494839433511139</v>
      </c>
      <c r="I56" s="6">
        <f t="shared" si="1"/>
        <v>172</v>
      </c>
      <c r="J56" s="6">
        <f t="shared" si="21"/>
        <v>0</v>
      </c>
      <c r="K56" s="6">
        <f t="shared" si="2"/>
        <v>172</v>
      </c>
      <c r="L56" s="6">
        <f t="shared" si="3"/>
        <v>152</v>
      </c>
      <c r="M56" s="6">
        <f t="shared" si="4"/>
        <v>0</v>
      </c>
      <c r="N56" s="6">
        <f t="shared" si="5"/>
        <v>20</v>
      </c>
      <c r="O56" s="5">
        <v>2.5000000000000001E-2</v>
      </c>
      <c r="P56" s="6">
        <f t="shared" si="6"/>
        <v>1</v>
      </c>
      <c r="Q56" s="6">
        <f t="shared" si="7"/>
        <v>19</v>
      </c>
      <c r="R56" s="6">
        <v>36</v>
      </c>
      <c r="S56" s="6">
        <f t="shared" si="8"/>
        <v>194</v>
      </c>
      <c r="T56" s="5">
        <v>0.99799682726615635</v>
      </c>
      <c r="U56" s="6">
        <f t="shared" si="9"/>
        <v>194</v>
      </c>
      <c r="V56" s="6">
        <f t="shared" si="22"/>
        <v>22</v>
      </c>
      <c r="W56" s="6">
        <f t="shared" si="10"/>
        <v>216</v>
      </c>
      <c r="X56" s="6">
        <f t="shared" si="11"/>
        <v>152</v>
      </c>
      <c r="Y56" s="6">
        <f t="shared" si="12"/>
        <v>0</v>
      </c>
      <c r="Z56" s="6">
        <f t="shared" si="13"/>
        <v>64</v>
      </c>
      <c r="AA56" s="6">
        <f t="shared" si="14"/>
        <v>2</v>
      </c>
      <c r="AB56" s="6">
        <f t="shared" si="15"/>
        <v>62</v>
      </c>
      <c r="AC56" s="5">
        <f t="shared" si="16"/>
        <v>0.18421052631578946</v>
      </c>
      <c r="AD56" s="5">
        <f t="shared" si="17"/>
        <v>1</v>
      </c>
      <c r="AE56" s="5">
        <f t="shared" si="18"/>
        <v>1</v>
      </c>
      <c r="AF56" s="5">
        <f t="shared" si="19"/>
        <v>0.74782608695652175</v>
      </c>
      <c r="AG56" s="5">
        <f t="shared" si="20"/>
        <v>0.84347826086956523</v>
      </c>
    </row>
    <row r="57" spans="1:33">
      <c r="A57" s="4">
        <v>46173</v>
      </c>
      <c r="B57" s="3" t="s">
        <v>60</v>
      </c>
      <c r="C57" s="3">
        <v>2</v>
      </c>
      <c r="D57" s="6">
        <v>1911</v>
      </c>
      <c r="E57" s="6">
        <v>2056</v>
      </c>
      <c r="F57" s="6">
        <v>2250</v>
      </c>
      <c r="G57" s="6">
        <f t="shared" si="0"/>
        <v>1854</v>
      </c>
      <c r="H57" s="5">
        <v>0.98568436901281598</v>
      </c>
      <c r="I57" s="6">
        <f t="shared" si="1"/>
        <v>1827</v>
      </c>
      <c r="J57" s="6">
        <f t="shared" si="21"/>
        <v>1011</v>
      </c>
      <c r="K57" s="6">
        <f t="shared" si="2"/>
        <v>2838</v>
      </c>
      <c r="L57" s="6">
        <f t="shared" si="3"/>
        <v>2056</v>
      </c>
      <c r="M57" s="6">
        <f t="shared" si="4"/>
        <v>0</v>
      </c>
      <c r="N57" s="6">
        <f t="shared" si="5"/>
        <v>782</v>
      </c>
      <c r="O57" s="5">
        <v>2.5000000000000001E-2</v>
      </c>
      <c r="P57" s="6">
        <f t="shared" si="6"/>
        <v>20</v>
      </c>
      <c r="Q57" s="6">
        <f t="shared" si="7"/>
        <v>762</v>
      </c>
      <c r="R57" s="6">
        <v>229</v>
      </c>
      <c r="S57" s="6">
        <f t="shared" si="8"/>
        <v>1655</v>
      </c>
      <c r="T57" s="5">
        <v>1.0015181039821708</v>
      </c>
      <c r="U57" s="6">
        <f t="shared" si="9"/>
        <v>1658</v>
      </c>
      <c r="V57" s="6">
        <f t="shared" si="22"/>
        <v>485</v>
      </c>
      <c r="W57" s="6">
        <f t="shared" si="10"/>
        <v>2143</v>
      </c>
      <c r="X57" s="6">
        <f t="shared" si="11"/>
        <v>2056</v>
      </c>
      <c r="Y57" s="6">
        <f t="shared" si="12"/>
        <v>0</v>
      </c>
      <c r="Z57" s="6">
        <f t="shared" si="13"/>
        <v>87</v>
      </c>
      <c r="AA57" s="6">
        <f t="shared" si="14"/>
        <v>2</v>
      </c>
      <c r="AB57" s="6">
        <f t="shared" si="15"/>
        <v>85</v>
      </c>
      <c r="AC57" s="5">
        <f t="shared" si="16"/>
        <v>7.0525291828793774E-2</v>
      </c>
      <c r="AD57" s="5">
        <f t="shared" si="17"/>
        <v>1</v>
      </c>
      <c r="AE57" s="5">
        <f t="shared" si="18"/>
        <v>1</v>
      </c>
      <c r="AF57" s="5">
        <f t="shared" si="19"/>
        <v>0.81200000000000006</v>
      </c>
      <c r="AG57" s="5">
        <f t="shared" si="20"/>
        <v>0.73688888888888893</v>
      </c>
    </row>
    <row r="58" spans="1:33">
      <c r="A58" s="4">
        <v>46173</v>
      </c>
      <c r="B58" s="3" t="s">
        <v>61</v>
      </c>
      <c r="C58" s="3">
        <v>2</v>
      </c>
      <c r="D58" s="6">
        <v>956</v>
      </c>
      <c r="E58" s="6">
        <v>926</v>
      </c>
      <c r="F58" s="6">
        <v>1200</v>
      </c>
      <c r="G58" s="6">
        <f t="shared" si="0"/>
        <v>927</v>
      </c>
      <c r="H58" s="5">
        <v>1.0000088419701232</v>
      </c>
      <c r="I58" s="6">
        <f t="shared" si="1"/>
        <v>927</v>
      </c>
      <c r="J58" s="6">
        <f t="shared" si="21"/>
        <v>380</v>
      </c>
      <c r="K58" s="6">
        <f t="shared" si="2"/>
        <v>1307</v>
      </c>
      <c r="L58" s="6">
        <f t="shared" si="3"/>
        <v>926</v>
      </c>
      <c r="M58" s="6">
        <f t="shared" si="4"/>
        <v>0</v>
      </c>
      <c r="N58" s="6">
        <f t="shared" si="5"/>
        <v>381</v>
      </c>
      <c r="O58" s="5">
        <v>0.03</v>
      </c>
      <c r="P58" s="6">
        <f t="shared" si="6"/>
        <v>11</v>
      </c>
      <c r="Q58" s="6">
        <f t="shared" si="7"/>
        <v>370</v>
      </c>
      <c r="R58" s="6">
        <v>115</v>
      </c>
      <c r="S58" s="6">
        <f t="shared" si="8"/>
        <v>810</v>
      </c>
      <c r="T58" s="5">
        <v>1.0001715002228913</v>
      </c>
      <c r="U58" s="6">
        <f t="shared" si="9"/>
        <v>810</v>
      </c>
      <c r="V58" s="6">
        <f t="shared" si="22"/>
        <v>261</v>
      </c>
      <c r="W58" s="6">
        <f t="shared" si="10"/>
        <v>1071</v>
      </c>
      <c r="X58" s="6">
        <f t="shared" si="11"/>
        <v>926</v>
      </c>
      <c r="Y58" s="6">
        <f t="shared" si="12"/>
        <v>0</v>
      </c>
      <c r="Z58" s="6">
        <f t="shared" si="13"/>
        <v>145</v>
      </c>
      <c r="AA58" s="6">
        <f t="shared" si="14"/>
        <v>4</v>
      </c>
      <c r="AB58" s="6">
        <f t="shared" si="15"/>
        <v>141</v>
      </c>
      <c r="AC58" s="5">
        <f t="shared" si="16"/>
        <v>3.2397408207343416E-2</v>
      </c>
      <c r="AD58" s="5">
        <f t="shared" si="17"/>
        <v>1</v>
      </c>
      <c r="AE58" s="5">
        <f t="shared" si="18"/>
        <v>1</v>
      </c>
      <c r="AF58" s="5">
        <f t="shared" si="19"/>
        <v>0.77249999999999996</v>
      </c>
      <c r="AG58" s="5">
        <f t="shared" si="20"/>
        <v>0.67500000000000004</v>
      </c>
    </row>
    <row r="59" spans="1:33">
      <c r="A59" s="4">
        <v>46173</v>
      </c>
      <c r="B59" s="3" t="s">
        <v>62</v>
      </c>
      <c r="C59" s="3">
        <v>7</v>
      </c>
      <c r="D59" s="6">
        <v>582</v>
      </c>
      <c r="E59" s="6">
        <v>633</v>
      </c>
      <c r="F59" s="6">
        <v>700</v>
      </c>
      <c r="G59" s="6">
        <f t="shared" si="0"/>
        <v>565</v>
      </c>
      <c r="H59" s="5">
        <v>0.99066170448304069</v>
      </c>
      <c r="I59" s="6">
        <f t="shared" si="1"/>
        <v>560</v>
      </c>
      <c r="J59" s="6">
        <f t="shared" si="21"/>
        <v>54</v>
      </c>
      <c r="K59" s="6">
        <f t="shared" si="2"/>
        <v>614</v>
      </c>
      <c r="L59" s="6">
        <f t="shared" si="3"/>
        <v>614</v>
      </c>
      <c r="M59" s="6">
        <f t="shared" si="4"/>
        <v>19</v>
      </c>
      <c r="N59" s="6">
        <f t="shared" si="5"/>
        <v>0</v>
      </c>
      <c r="O59" s="5">
        <v>1.7999999999999999E-2</v>
      </c>
      <c r="P59" s="6">
        <f t="shared" si="6"/>
        <v>0</v>
      </c>
      <c r="Q59" s="6">
        <f t="shared" si="7"/>
        <v>0</v>
      </c>
      <c r="R59" s="6">
        <v>105</v>
      </c>
      <c r="S59" s="6">
        <f t="shared" si="8"/>
        <v>554</v>
      </c>
      <c r="T59" s="5">
        <v>0.98297358441456772</v>
      </c>
      <c r="U59" s="6">
        <f t="shared" si="9"/>
        <v>545</v>
      </c>
      <c r="V59" s="6">
        <f t="shared" si="22"/>
        <v>133</v>
      </c>
      <c r="W59" s="6">
        <f t="shared" si="10"/>
        <v>678</v>
      </c>
      <c r="X59" s="6">
        <f t="shared" si="11"/>
        <v>633</v>
      </c>
      <c r="Y59" s="6">
        <f t="shared" si="12"/>
        <v>0</v>
      </c>
      <c r="Z59" s="6">
        <f t="shared" si="13"/>
        <v>45</v>
      </c>
      <c r="AA59" s="6">
        <f t="shared" si="14"/>
        <v>1</v>
      </c>
      <c r="AB59" s="6">
        <f t="shared" si="15"/>
        <v>44</v>
      </c>
      <c r="AC59" s="5">
        <f t="shared" si="16"/>
        <v>8.0568720379146919E-2</v>
      </c>
      <c r="AD59" s="5">
        <f t="shared" si="17"/>
        <v>0.96998420221169035</v>
      </c>
      <c r="AE59" s="5">
        <f t="shared" si="18"/>
        <v>1</v>
      </c>
      <c r="AF59" s="5">
        <f t="shared" si="19"/>
        <v>0.8</v>
      </c>
      <c r="AG59" s="5">
        <f t="shared" si="20"/>
        <v>0.77857142857142858</v>
      </c>
    </row>
    <row r="60" spans="1:33">
      <c r="A60" s="4">
        <v>46173</v>
      </c>
      <c r="B60" s="3" t="s">
        <v>63</v>
      </c>
      <c r="C60" s="3">
        <v>7</v>
      </c>
      <c r="D60" s="6">
        <v>466</v>
      </c>
      <c r="E60" s="6">
        <v>519</v>
      </c>
      <c r="F60" s="6">
        <v>560</v>
      </c>
      <c r="G60" s="6">
        <f t="shared" si="0"/>
        <v>452</v>
      </c>
      <c r="H60" s="5">
        <v>0.99307858107568525</v>
      </c>
      <c r="I60" s="6">
        <f t="shared" si="1"/>
        <v>449</v>
      </c>
      <c r="J60" s="6">
        <f t="shared" si="21"/>
        <v>0</v>
      </c>
      <c r="K60" s="6">
        <f t="shared" si="2"/>
        <v>449</v>
      </c>
      <c r="L60" s="6">
        <f t="shared" si="3"/>
        <v>449</v>
      </c>
      <c r="M60" s="6">
        <f t="shared" si="4"/>
        <v>70</v>
      </c>
      <c r="N60" s="6">
        <f t="shared" si="5"/>
        <v>0</v>
      </c>
      <c r="O60" s="5">
        <v>0.02</v>
      </c>
      <c r="P60" s="6">
        <f t="shared" si="6"/>
        <v>0</v>
      </c>
      <c r="Q60" s="6">
        <f t="shared" si="7"/>
        <v>0</v>
      </c>
      <c r="R60" s="6">
        <v>84</v>
      </c>
      <c r="S60" s="6">
        <f t="shared" si="8"/>
        <v>519</v>
      </c>
      <c r="T60" s="5">
        <v>1.0125465167907646</v>
      </c>
      <c r="U60" s="6">
        <f t="shared" si="9"/>
        <v>526</v>
      </c>
      <c r="V60" s="6">
        <f t="shared" si="22"/>
        <v>31</v>
      </c>
      <c r="W60" s="6">
        <f t="shared" si="10"/>
        <v>557</v>
      </c>
      <c r="X60" s="6">
        <f t="shared" si="11"/>
        <v>519</v>
      </c>
      <c r="Y60" s="6">
        <f t="shared" si="12"/>
        <v>0</v>
      </c>
      <c r="Z60" s="6">
        <f t="shared" si="13"/>
        <v>38</v>
      </c>
      <c r="AA60" s="6">
        <f t="shared" si="14"/>
        <v>1</v>
      </c>
      <c r="AB60" s="6">
        <f t="shared" si="15"/>
        <v>37</v>
      </c>
      <c r="AC60" s="5">
        <f t="shared" si="16"/>
        <v>0.10211946050096339</v>
      </c>
      <c r="AD60" s="5">
        <f t="shared" si="17"/>
        <v>0.86512524084778419</v>
      </c>
      <c r="AE60" s="5">
        <f t="shared" si="18"/>
        <v>1</v>
      </c>
      <c r="AF60" s="5">
        <f t="shared" si="19"/>
        <v>0.80178571428571432</v>
      </c>
      <c r="AG60" s="5">
        <f t="shared" si="20"/>
        <v>0.93928571428571428</v>
      </c>
    </row>
    <row r="61" spans="1:33">
      <c r="A61" s="4">
        <v>46173</v>
      </c>
      <c r="B61" s="3" t="s">
        <v>64</v>
      </c>
      <c r="C61" s="3">
        <v>5</v>
      </c>
      <c r="D61" s="6">
        <v>185</v>
      </c>
      <c r="E61" s="6">
        <v>179</v>
      </c>
      <c r="F61" s="6">
        <v>230</v>
      </c>
      <c r="G61" s="6">
        <f t="shared" si="0"/>
        <v>179</v>
      </c>
      <c r="H61" s="5">
        <v>0.99954178505851121</v>
      </c>
      <c r="I61" s="6">
        <f t="shared" si="1"/>
        <v>179</v>
      </c>
      <c r="J61" s="6">
        <f t="shared" si="21"/>
        <v>19</v>
      </c>
      <c r="K61" s="6">
        <f t="shared" si="2"/>
        <v>198</v>
      </c>
      <c r="L61" s="6">
        <f t="shared" si="3"/>
        <v>179</v>
      </c>
      <c r="M61" s="6">
        <f t="shared" si="4"/>
        <v>0</v>
      </c>
      <c r="N61" s="6">
        <f t="shared" si="5"/>
        <v>19</v>
      </c>
      <c r="O61" s="5">
        <v>2.5000000000000001E-2</v>
      </c>
      <c r="P61" s="6">
        <f t="shared" si="6"/>
        <v>0</v>
      </c>
      <c r="Q61" s="6">
        <f t="shared" si="7"/>
        <v>19</v>
      </c>
      <c r="R61" s="6">
        <v>37</v>
      </c>
      <c r="S61" s="6">
        <f t="shared" si="8"/>
        <v>160</v>
      </c>
      <c r="T61" s="5">
        <v>1.0031612774059901</v>
      </c>
      <c r="U61" s="6">
        <f t="shared" si="9"/>
        <v>161</v>
      </c>
      <c r="V61" s="6">
        <f t="shared" si="22"/>
        <v>62</v>
      </c>
      <c r="W61" s="6">
        <f t="shared" si="10"/>
        <v>223</v>
      </c>
      <c r="X61" s="6">
        <f t="shared" si="11"/>
        <v>179</v>
      </c>
      <c r="Y61" s="6">
        <f t="shared" si="12"/>
        <v>0</v>
      </c>
      <c r="Z61" s="6">
        <f t="shared" si="13"/>
        <v>44</v>
      </c>
      <c r="AA61" s="6">
        <f t="shared" si="14"/>
        <v>1</v>
      </c>
      <c r="AB61" s="6">
        <f t="shared" si="15"/>
        <v>43</v>
      </c>
      <c r="AC61" s="5">
        <f t="shared" si="16"/>
        <v>3.3519553072625698E-2</v>
      </c>
      <c r="AD61" s="5">
        <f t="shared" si="17"/>
        <v>1</v>
      </c>
      <c r="AE61" s="5">
        <f t="shared" si="18"/>
        <v>1</v>
      </c>
      <c r="AF61" s="5">
        <f t="shared" si="19"/>
        <v>0.77826086956521734</v>
      </c>
      <c r="AG61" s="5">
        <f t="shared" si="20"/>
        <v>0.7</v>
      </c>
    </row>
    <row r="62" spans="1:33">
      <c r="A62" s="4">
        <v>46174</v>
      </c>
      <c r="B62" s="3" t="s">
        <v>60</v>
      </c>
      <c r="C62" s="3">
        <v>2</v>
      </c>
      <c r="D62" s="6">
        <v>1639</v>
      </c>
      <c r="E62" s="6">
        <v>1423</v>
      </c>
      <c r="F62" s="6">
        <v>2250</v>
      </c>
      <c r="G62" s="6">
        <f t="shared" si="0"/>
        <v>1590</v>
      </c>
      <c r="H62" s="5">
        <v>0.9923026861473313</v>
      </c>
      <c r="I62" s="6">
        <f t="shared" si="1"/>
        <v>1578</v>
      </c>
      <c r="J62" s="6">
        <f t="shared" si="21"/>
        <v>762</v>
      </c>
      <c r="K62" s="6">
        <f t="shared" si="2"/>
        <v>2340</v>
      </c>
      <c r="L62" s="6">
        <f t="shared" si="3"/>
        <v>1423</v>
      </c>
      <c r="M62" s="6">
        <f t="shared" si="4"/>
        <v>0</v>
      </c>
      <c r="N62" s="6">
        <f t="shared" si="5"/>
        <v>917</v>
      </c>
      <c r="O62" s="5">
        <v>2.5000000000000001E-2</v>
      </c>
      <c r="P62" s="6">
        <f t="shared" si="6"/>
        <v>23</v>
      </c>
      <c r="Q62" s="6">
        <f t="shared" si="7"/>
        <v>894</v>
      </c>
      <c r="R62" s="6">
        <v>197</v>
      </c>
      <c r="S62" s="6">
        <f t="shared" si="8"/>
        <v>1751</v>
      </c>
      <c r="T62" s="5">
        <v>1.0056442771598797</v>
      </c>
      <c r="U62" s="6">
        <f t="shared" si="9"/>
        <v>1761</v>
      </c>
      <c r="V62" s="6">
        <f t="shared" si="22"/>
        <v>85</v>
      </c>
      <c r="W62" s="6">
        <f t="shared" si="10"/>
        <v>1846</v>
      </c>
      <c r="X62" s="6">
        <f t="shared" si="11"/>
        <v>1423</v>
      </c>
      <c r="Y62" s="6">
        <f t="shared" si="12"/>
        <v>0</v>
      </c>
      <c r="Z62" s="6">
        <f t="shared" si="13"/>
        <v>423</v>
      </c>
      <c r="AA62" s="6">
        <f t="shared" si="14"/>
        <v>11</v>
      </c>
      <c r="AB62" s="6">
        <f t="shared" si="15"/>
        <v>412</v>
      </c>
      <c r="AC62" s="5">
        <f t="shared" si="16"/>
        <v>0.15179198875614899</v>
      </c>
      <c r="AD62" s="5">
        <f t="shared" si="17"/>
        <v>1</v>
      </c>
      <c r="AE62" s="5">
        <f t="shared" si="18"/>
        <v>1</v>
      </c>
      <c r="AF62" s="5">
        <f t="shared" si="19"/>
        <v>0.70133333333333336</v>
      </c>
      <c r="AG62" s="5">
        <f t="shared" si="20"/>
        <v>0.78266666666666662</v>
      </c>
    </row>
    <row r="63" spans="1:33">
      <c r="A63" s="4">
        <v>46174</v>
      </c>
      <c r="B63" s="3" t="s">
        <v>61</v>
      </c>
      <c r="C63" s="3">
        <v>2</v>
      </c>
      <c r="D63" s="6">
        <v>811</v>
      </c>
      <c r="E63" s="6">
        <v>757</v>
      </c>
      <c r="F63" s="6">
        <v>1200</v>
      </c>
      <c r="G63" s="6">
        <f t="shared" si="0"/>
        <v>787</v>
      </c>
      <c r="H63" s="5">
        <v>0.99839503114696593</v>
      </c>
      <c r="I63" s="6">
        <f t="shared" si="1"/>
        <v>786</v>
      </c>
      <c r="J63" s="6">
        <f t="shared" si="21"/>
        <v>370</v>
      </c>
      <c r="K63" s="6">
        <f t="shared" si="2"/>
        <v>1156</v>
      </c>
      <c r="L63" s="6">
        <f t="shared" si="3"/>
        <v>757</v>
      </c>
      <c r="M63" s="6">
        <f t="shared" si="4"/>
        <v>0</v>
      </c>
      <c r="N63" s="6">
        <f t="shared" si="5"/>
        <v>399</v>
      </c>
      <c r="O63" s="5">
        <v>0.03</v>
      </c>
      <c r="P63" s="6">
        <f t="shared" si="6"/>
        <v>12</v>
      </c>
      <c r="Q63" s="6">
        <f t="shared" si="7"/>
        <v>387</v>
      </c>
      <c r="R63" s="6">
        <v>97</v>
      </c>
      <c r="S63" s="6">
        <f t="shared" si="8"/>
        <v>767</v>
      </c>
      <c r="T63" s="5">
        <v>1.0143255660456283</v>
      </c>
      <c r="U63" s="6">
        <f t="shared" si="9"/>
        <v>778</v>
      </c>
      <c r="V63" s="6">
        <f t="shared" si="22"/>
        <v>141</v>
      </c>
      <c r="W63" s="6">
        <f t="shared" si="10"/>
        <v>919</v>
      </c>
      <c r="X63" s="6">
        <f t="shared" si="11"/>
        <v>757</v>
      </c>
      <c r="Y63" s="6">
        <f t="shared" si="12"/>
        <v>0</v>
      </c>
      <c r="Z63" s="6">
        <f t="shared" si="13"/>
        <v>162</v>
      </c>
      <c r="AA63" s="6">
        <f t="shared" si="14"/>
        <v>5</v>
      </c>
      <c r="AB63" s="6">
        <f t="shared" si="15"/>
        <v>157</v>
      </c>
      <c r="AC63" s="5">
        <f t="shared" si="16"/>
        <v>7.1334214002642005E-2</v>
      </c>
      <c r="AD63" s="5">
        <f t="shared" si="17"/>
        <v>1</v>
      </c>
      <c r="AE63" s="5">
        <f t="shared" si="18"/>
        <v>1</v>
      </c>
      <c r="AF63" s="5">
        <f t="shared" si="19"/>
        <v>0.65500000000000003</v>
      </c>
      <c r="AG63" s="5">
        <f t="shared" si="20"/>
        <v>0.64833333333333332</v>
      </c>
    </row>
    <row r="64" spans="1:33">
      <c r="A64" s="4">
        <v>46174</v>
      </c>
      <c r="B64" s="3" t="s">
        <v>62</v>
      </c>
      <c r="C64" s="3">
        <v>7</v>
      </c>
      <c r="D64" s="6">
        <v>467</v>
      </c>
      <c r="E64" s="6">
        <v>528</v>
      </c>
      <c r="F64" s="6">
        <v>700</v>
      </c>
      <c r="G64" s="6">
        <f t="shared" si="0"/>
        <v>453</v>
      </c>
      <c r="H64" s="5">
        <v>0.99915875749923977</v>
      </c>
      <c r="I64" s="6">
        <f t="shared" si="1"/>
        <v>453</v>
      </c>
      <c r="J64" s="6">
        <f t="shared" si="21"/>
        <v>0</v>
      </c>
      <c r="K64" s="6">
        <f t="shared" si="2"/>
        <v>453</v>
      </c>
      <c r="L64" s="6">
        <f t="shared" si="3"/>
        <v>453</v>
      </c>
      <c r="M64" s="6">
        <f t="shared" si="4"/>
        <v>75</v>
      </c>
      <c r="N64" s="6">
        <f t="shared" si="5"/>
        <v>0</v>
      </c>
      <c r="O64" s="5">
        <v>1.7999999999999999E-2</v>
      </c>
      <c r="P64" s="6">
        <f t="shared" si="6"/>
        <v>0</v>
      </c>
      <c r="Q64" s="6">
        <f t="shared" si="7"/>
        <v>0</v>
      </c>
      <c r="R64" s="6">
        <v>84</v>
      </c>
      <c r="S64" s="6">
        <f t="shared" si="8"/>
        <v>507</v>
      </c>
      <c r="T64" s="5">
        <v>1.0024620960470663</v>
      </c>
      <c r="U64" s="6">
        <f t="shared" si="9"/>
        <v>508</v>
      </c>
      <c r="V64" s="6">
        <f t="shared" si="22"/>
        <v>44</v>
      </c>
      <c r="W64" s="6">
        <f t="shared" si="10"/>
        <v>552</v>
      </c>
      <c r="X64" s="6">
        <f t="shared" si="11"/>
        <v>528</v>
      </c>
      <c r="Y64" s="6">
        <f t="shared" si="12"/>
        <v>0</v>
      </c>
      <c r="Z64" s="6">
        <f t="shared" si="13"/>
        <v>24</v>
      </c>
      <c r="AA64" s="6">
        <f t="shared" si="14"/>
        <v>0</v>
      </c>
      <c r="AB64" s="6">
        <f t="shared" si="15"/>
        <v>24</v>
      </c>
      <c r="AC64" s="5">
        <f t="shared" si="16"/>
        <v>0.11553030303030302</v>
      </c>
      <c r="AD64" s="5">
        <f t="shared" si="17"/>
        <v>0.85795454545454541</v>
      </c>
      <c r="AE64" s="5">
        <f t="shared" si="18"/>
        <v>1</v>
      </c>
      <c r="AF64" s="5">
        <f t="shared" si="19"/>
        <v>0.64714285714285713</v>
      </c>
      <c r="AG64" s="5">
        <f t="shared" si="20"/>
        <v>0.72571428571428576</v>
      </c>
    </row>
    <row r="65" spans="1:33">
      <c r="A65" s="4">
        <v>46174</v>
      </c>
      <c r="B65" s="3" t="s">
        <v>63</v>
      </c>
      <c r="C65" s="3">
        <v>7</v>
      </c>
      <c r="D65" s="6">
        <v>362</v>
      </c>
      <c r="E65" s="6">
        <v>420</v>
      </c>
      <c r="F65" s="6">
        <v>560</v>
      </c>
      <c r="G65" s="6">
        <f t="shared" si="0"/>
        <v>351</v>
      </c>
      <c r="H65" s="5">
        <v>1.011753281737354</v>
      </c>
      <c r="I65" s="6">
        <f t="shared" si="1"/>
        <v>355</v>
      </c>
      <c r="J65" s="6">
        <f t="shared" si="21"/>
        <v>0</v>
      </c>
      <c r="K65" s="6">
        <f t="shared" si="2"/>
        <v>355</v>
      </c>
      <c r="L65" s="6">
        <f t="shared" si="3"/>
        <v>355</v>
      </c>
      <c r="M65" s="6">
        <f t="shared" si="4"/>
        <v>65</v>
      </c>
      <c r="N65" s="6">
        <f t="shared" si="5"/>
        <v>0</v>
      </c>
      <c r="O65" s="5">
        <v>0.02</v>
      </c>
      <c r="P65" s="6">
        <f t="shared" si="6"/>
        <v>0</v>
      </c>
      <c r="Q65" s="6">
        <f t="shared" si="7"/>
        <v>0</v>
      </c>
      <c r="R65" s="6">
        <v>65</v>
      </c>
      <c r="S65" s="6">
        <f t="shared" si="8"/>
        <v>390</v>
      </c>
      <c r="T65" s="5">
        <v>1.0031077856781894</v>
      </c>
      <c r="U65" s="6">
        <f t="shared" si="9"/>
        <v>391</v>
      </c>
      <c r="V65" s="6">
        <f t="shared" si="22"/>
        <v>37</v>
      </c>
      <c r="W65" s="6">
        <f t="shared" si="10"/>
        <v>428</v>
      </c>
      <c r="X65" s="6">
        <f t="shared" si="11"/>
        <v>420</v>
      </c>
      <c r="Y65" s="6">
        <f t="shared" si="12"/>
        <v>0</v>
      </c>
      <c r="Z65" s="6">
        <f t="shared" si="13"/>
        <v>8</v>
      </c>
      <c r="AA65" s="6">
        <f t="shared" si="14"/>
        <v>0</v>
      </c>
      <c r="AB65" s="6">
        <f t="shared" si="15"/>
        <v>8</v>
      </c>
      <c r="AC65" s="5">
        <f t="shared" si="16"/>
        <v>0.1380952380952381</v>
      </c>
      <c r="AD65" s="5">
        <f t="shared" si="17"/>
        <v>0.84523809523809523</v>
      </c>
      <c r="AE65" s="5">
        <f t="shared" si="18"/>
        <v>1</v>
      </c>
      <c r="AF65" s="5">
        <f t="shared" si="19"/>
        <v>0.6339285714285714</v>
      </c>
      <c r="AG65" s="5">
        <f t="shared" si="20"/>
        <v>0.69821428571428568</v>
      </c>
    </row>
    <row r="66" spans="1:33">
      <c r="A66" s="4">
        <v>46174</v>
      </c>
      <c r="B66" s="3" t="s">
        <v>64</v>
      </c>
      <c r="C66" s="3">
        <v>5</v>
      </c>
      <c r="D66" s="6">
        <v>148</v>
      </c>
      <c r="E66" s="6">
        <v>129</v>
      </c>
      <c r="F66" s="6">
        <v>230</v>
      </c>
      <c r="G66" s="6">
        <f t="shared" ref="G66:G129" si="23">ROUND(D66*0.97,0)</f>
        <v>144</v>
      </c>
      <c r="H66" s="5">
        <v>1.0019806719334778</v>
      </c>
      <c r="I66" s="6">
        <f t="shared" ref="I66:I129" si="24">MIN(F66,ROUND(G66*H66,0))</f>
        <v>144</v>
      </c>
      <c r="J66" s="6">
        <f t="shared" si="21"/>
        <v>19</v>
      </c>
      <c r="K66" s="6">
        <f t="shared" ref="K66:K129" si="25">I66+J66</f>
        <v>163</v>
      </c>
      <c r="L66" s="6">
        <f t="shared" ref="L66:L129" si="26">MIN(E66,K66)</f>
        <v>129</v>
      </c>
      <c r="M66" s="6">
        <f t="shared" ref="M66:M129" si="27">MAX(E66-K66,0)</f>
        <v>0</v>
      </c>
      <c r="N66" s="6">
        <f t="shared" ref="N66:N129" si="28">MAX(K66-L66,0)</f>
        <v>34</v>
      </c>
      <c r="O66" s="5">
        <v>2.5000000000000001E-2</v>
      </c>
      <c r="P66" s="6">
        <f t="shared" ref="P66:P129" si="29">MIN(N66,ROUND(N66*O66,0))</f>
        <v>1</v>
      </c>
      <c r="Q66" s="6">
        <f t="shared" ref="Q66:Q129" si="30">N66-P66</f>
        <v>33</v>
      </c>
      <c r="R66" s="6">
        <v>30</v>
      </c>
      <c r="S66" s="6">
        <f t="shared" ref="S66:S129" si="31">MIN(F66,MAX(0,ROUND(D66+R66-V66,0)))</f>
        <v>135</v>
      </c>
      <c r="T66" s="5">
        <v>0.99882079280414238</v>
      </c>
      <c r="U66" s="6">
        <f t="shared" ref="U66:U129" si="32">MIN(F66,MAX(0,ROUND(S66*T66,0)))</f>
        <v>135</v>
      </c>
      <c r="V66" s="6">
        <f t="shared" si="22"/>
        <v>43</v>
      </c>
      <c r="W66" s="6">
        <f t="shared" ref="W66:W129" si="33">U66+V66</f>
        <v>178</v>
      </c>
      <c r="X66" s="6">
        <f t="shared" ref="X66:X129" si="34">MIN(E66,W66)</f>
        <v>129</v>
      </c>
      <c r="Y66" s="6">
        <f t="shared" ref="Y66:Y129" si="35">MAX(E66-W66,0)</f>
        <v>0</v>
      </c>
      <c r="Z66" s="6">
        <f t="shared" ref="Z66:Z129" si="36">MAX(W66-X66,0)</f>
        <v>49</v>
      </c>
      <c r="AA66" s="6">
        <f t="shared" ref="AA66:AA129" si="37">MIN(Z66,ROUND(Z66*O66,0))</f>
        <v>1</v>
      </c>
      <c r="AB66" s="6">
        <f t="shared" ref="AB66:AB129" si="38">Z66-AA66</f>
        <v>48</v>
      </c>
      <c r="AC66" s="5">
        <f t="shared" ref="AC66:AC129" si="39">IFERROR(ABS(E66-D66)/E66,0)</f>
        <v>0.14728682170542637</v>
      </c>
      <c r="AD66" s="5">
        <f t="shared" ref="AD66:AD129" si="40">IFERROR(L66/E66,1)</f>
        <v>1</v>
      </c>
      <c r="AE66" s="5">
        <f t="shared" ref="AE66:AE129" si="41">IFERROR(X66/E66,1)</f>
        <v>1</v>
      </c>
      <c r="AF66" s="5">
        <f t="shared" ref="AF66:AF129" si="42">IFERROR(I66/F66,0)</f>
        <v>0.62608695652173918</v>
      </c>
      <c r="AG66" s="5">
        <f t="shared" ref="AG66:AG129" si="43">IFERROR(U66/F66,0)</f>
        <v>0.58695652173913049</v>
      </c>
    </row>
    <row r="67" spans="1:33">
      <c r="A67" s="4">
        <v>46175</v>
      </c>
      <c r="B67" s="3" t="s">
        <v>60</v>
      </c>
      <c r="C67" s="3">
        <v>2</v>
      </c>
      <c r="D67" s="6">
        <v>1674</v>
      </c>
      <c r="E67" s="6">
        <v>1445</v>
      </c>
      <c r="F67" s="6">
        <v>2250</v>
      </c>
      <c r="G67" s="6">
        <f t="shared" si="23"/>
        <v>1624</v>
      </c>
      <c r="H67" s="5">
        <v>1.0132538736155143</v>
      </c>
      <c r="I67" s="6">
        <f t="shared" si="24"/>
        <v>1646</v>
      </c>
      <c r="J67" s="6">
        <f t="shared" si="21"/>
        <v>894</v>
      </c>
      <c r="K67" s="6">
        <f t="shared" si="25"/>
        <v>2540</v>
      </c>
      <c r="L67" s="6">
        <f t="shared" si="26"/>
        <v>1445</v>
      </c>
      <c r="M67" s="6">
        <f t="shared" si="27"/>
        <v>0</v>
      </c>
      <c r="N67" s="6">
        <f t="shared" si="28"/>
        <v>1095</v>
      </c>
      <c r="O67" s="5">
        <v>2.5000000000000001E-2</v>
      </c>
      <c r="P67" s="6">
        <f t="shared" si="29"/>
        <v>27</v>
      </c>
      <c r="Q67" s="6">
        <f t="shared" si="30"/>
        <v>1068</v>
      </c>
      <c r="R67" s="6">
        <v>201</v>
      </c>
      <c r="S67" s="6">
        <f t="shared" si="31"/>
        <v>1463</v>
      </c>
      <c r="T67" s="5">
        <v>0.99477984179500512</v>
      </c>
      <c r="U67" s="6">
        <f t="shared" si="32"/>
        <v>1455</v>
      </c>
      <c r="V67" s="6">
        <f t="shared" si="22"/>
        <v>412</v>
      </c>
      <c r="W67" s="6">
        <f t="shared" si="33"/>
        <v>1867</v>
      </c>
      <c r="X67" s="6">
        <f t="shared" si="34"/>
        <v>1445</v>
      </c>
      <c r="Y67" s="6">
        <f t="shared" si="35"/>
        <v>0</v>
      </c>
      <c r="Z67" s="6">
        <f t="shared" si="36"/>
        <v>422</v>
      </c>
      <c r="AA67" s="6">
        <f t="shared" si="37"/>
        <v>11</v>
      </c>
      <c r="AB67" s="6">
        <f t="shared" si="38"/>
        <v>411</v>
      </c>
      <c r="AC67" s="5">
        <f t="shared" si="39"/>
        <v>0.15847750865051904</v>
      </c>
      <c r="AD67" s="5">
        <f t="shared" si="40"/>
        <v>1</v>
      </c>
      <c r="AE67" s="5">
        <f t="shared" si="41"/>
        <v>1</v>
      </c>
      <c r="AF67" s="5">
        <f t="shared" si="42"/>
        <v>0.73155555555555551</v>
      </c>
      <c r="AG67" s="5">
        <f t="shared" si="43"/>
        <v>0.64666666666666661</v>
      </c>
    </row>
    <row r="68" spans="1:33">
      <c r="A68" s="4">
        <v>46175</v>
      </c>
      <c r="B68" s="3" t="s">
        <v>61</v>
      </c>
      <c r="C68" s="3">
        <v>2</v>
      </c>
      <c r="D68" s="6">
        <v>837</v>
      </c>
      <c r="E68" s="6">
        <v>758</v>
      </c>
      <c r="F68" s="6">
        <v>1200</v>
      </c>
      <c r="G68" s="6">
        <f t="shared" si="23"/>
        <v>812</v>
      </c>
      <c r="H68" s="5">
        <v>1.0182292788321814</v>
      </c>
      <c r="I68" s="6">
        <f t="shared" si="24"/>
        <v>827</v>
      </c>
      <c r="J68" s="6">
        <f t="shared" si="21"/>
        <v>387</v>
      </c>
      <c r="K68" s="6">
        <f t="shared" si="25"/>
        <v>1214</v>
      </c>
      <c r="L68" s="6">
        <f t="shared" si="26"/>
        <v>758</v>
      </c>
      <c r="M68" s="6">
        <f t="shared" si="27"/>
        <v>0</v>
      </c>
      <c r="N68" s="6">
        <f t="shared" si="28"/>
        <v>456</v>
      </c>
      <c r="O68" s="5">
        <v>0.03</v>
      </c>
      <c r="P68" s="6">
        <f t="shared" si="29"/>
        <v>14</v>
      </c>
      <c r="Q68" s="6">
        <f t="shared" si="30"/>
        <v>442</v>
      </c>
      <c r="R68" s="6">
        <v>100</v>
      </c>
      <c r="S68" s="6">
        <f t="shared" si="31"/>
        <v>780</v>
      </c>
      <c r="T68" s="5">
        <v>1.0175449663718188</v>
      </c>
      <c r="U68" s="6">
        <f t="shared" si="32"/>
        <v>794</v>
      </c>
      <c r="V68" s="6">
        <f t="shared" si="22"/>
        <v>157</v>
      </c>
      <c r="W68" s="6">
        <f t="shared" si="33"/>
        <v>951</v>
      </c>
      <c r="X68" s="6">
        <f t="shared" si="34"/>
        <v>758</v>
      </c>
      <c r="Y68" s="6">
        <f t="shared" si="35"/>
        <v>0</v>
      </c>
      <c r="Z68" s="6">
        <f t="shared" si="36"/>
        <v>193</v>
      </c>
      <c r="AA68" s="6">
        <f t="shared" si="37"/>
        <v>6</v>
      </c>
      <c r="AB68" s="6">
        <f t="shared" si="38"/>
        <v>187</v>
      </c>
      <c r="AC68" s="5">
        <f t="shared" si="39"/>
        <v>0.10422163588390501</v>
      </c>
      <c r="AD68" s="5">
        <f t="shared" si="40"/>
        <v>1</v>
      </c>
      <c r="AE68" s="5">
        <f t="shared" si="41"/>
        <v>1</v>
      </c>
      <c r="AF68" s="5">
        <f t="shared" si="42"/>
        <v>0.68916666666666671</v>
      </c>
      <c r="AG68" s="5">
        <f t="shared" si="43"/>
        <v>0.66166666666666663</v>
      </c>
    </row>
    <row r="69" spans="1:33">
      <c r="A69" s="4">
        <v>46175</v>
      </c>
      <c r="B69" s="3" t="s">
        <v>62</v>
      </c>
      <c r="C69" s="3">
        <v>7</v>
      </c>
      <c r="D69" s="6">
        <v>482</v>
      </c>
      <c r="E69" s="6">
        <v>507</v>
      </c>
      <c r="F69" s="6">
        <v>700</v>
      </c>
      <c r="G69" s="6">
        <f t="shared" si="23"/>
        <v>468</v>
      </c>
      <c r="H69" s="5">
        <v>1.0038820641463977</v>
      </c>
      <c r="I69" s="6">
        <f t="shared" si="24"/>
        <v>470</v>
      </c>
      <c r="J69" s="6">
        <f t="shared" si="21"/>
        <v>0</v>
      </c>
      <c r="K69" s="6">
        <f t="shared" si="25"/>
        <v>470</v>
      </c>
      <c r="L69" s="6">
        <f t="shared" si="26"/>
        <v>470</v>
      </c>
      <c r="M69" s="6">
        <f t="shared" si="27"/>
        <v>37</v>
      </c>
      <c r="N69" s="6">
        <f t="shared" si="28"/>
        <v>0</v>
      </c>
      <c r="O69" s="5">
        <v>1.7999999999999999E-2</v>
      </c>
      <c r="P69" s="6">
        <f t="shared" si="29"/>
        <v>0</v>
      </c>
      <c r="Q69" s="6">
        <f t="shared" si="30"/>
        <v>0</v>
      </c>
      <c r="R69" s="6">
        <v>87</v>
      </c>
      <c r="S69" s="6">
        <f t="shared" si="31"/>
        <v>545</v>
      </c>
      <c r="T69" s="5">
        <v>0.99320797770269675</v>
      </c>
      <c r="U69" s="6">
        <f t="shared" si="32"/>
        <v>541</v>
      </c>
      <c r="V69" s="6">
        <f t="shared" si="22"/>
        <v>24</v>
      </c>
      <c r="W69" s="6">
        <f t="shared" si="33"/>
        <v>565</v>
      </c>
      <c r="X69" s="6">
        <f t="shared" si="34"/>
        <v>507</v>
      </c>
      <c r="Y69" s="6">
        <f t="shared" si="35"/>
        <v>0</v>
      </c>
      <c r="Z69" s="6">
        <f t="shared" si="36"/>
        <v>58</v>
      </c>
      <c r="AA69" s="6">
        <f t="shared" si="37"/>
        <v>1</v>
      </c>
      <c r="AB69" s="6">
        <f t="shared" si="38"/>
        <v>57</v>
      </c>
      <c r="AC69" s="5">
        <f t="shared" si="39"/>
        <v>4.9309664694280081E-2</v>
      </c>
      <c r="AD69" s="5">
        <f t="shared" si="40"/>
        <v>0.92702169625246544</v>
      </c>
      <c r="AE69" s="5">
        <f t="shared" si="41"/>
        <v>1</v>
      </c>
      <c r="AF69" s="5">
        <f t="shared" si="42"/>
        <v>0.67142857142857137</v>
      </c>
      <c r="AG69" s="5">
        <f t="shared" si="43"/>
        <v>0.77285714285714291</v>
      </c>
    </row>
    <row r="70" spans="1:33">
      <c r="A70" s="4">
        <v>46175</v>
      </c>
      <c r="B70" s="3" t="s">
        <v>63</v>
      </c>
      <c r="C70" s="3">
        <v>7</v>
      </c>
      <c r="D70" s="6">
        <v>378</v>
      </c>
      <c r="E70" s="6">
        <v>355</v>
      </c>
      <c r="F70" s="6">
        <v>560</v>
      </c>
      <c r="G70" s="6">
        <f t="shared" si="23"/>
        <v>367</v>
      </c>
      <c r="H70" s="5">
        <v>0.99452239806790854</v>
      </c>
      <c r="I70" s="6">
        <f t="shared" si="24"/>
        <v>365</v>
      </c>
      <c r="J70" s="6">
        <f t="shared" si="21"/>
        <v>0</v>
      </c>
      <c r="K70" s="6">
        <f t="shared" si="25"/>
        <v>365</v>
      </c>
      <c r="L70" s="6">
        <f t="shared" si="26"/>
        <v>355</v>
      </c>
      <c r="M70" s="6">
        <f t="shared" si="27"/>
        <v>0</v>
      </c>
      <c r="N70" s="6">
        <f t="shared" si="28"/>
        <v>10</v>
      </c>
      <c r="O70" s="5">
        <v>0.02</v>
      </c>
      <c r="P70" s="6">
        <f t="shared" si="29"/>
        <v>0</v>
      </c>
      <c r="Q70" s="6">
        <f t="shared" si="30"/>
        <v>10</v>
      </c>
      <c r="R70" s="6">
        <v>68</v>
      </c>
      <c r="S70" s="6">
        <f t="shared" si="31"/>
        <v>438</v>
      </c>
      <c r="T70" s="5">
        <v>0.98343582828626674</v>
      </c>
      <c r="U70" s="6">
        <f t="shared" si="32"/>
        <v>431</v>
      </c>
      <c r="V70" s="6">
        <f t="shared" si="22"/>
        <v>8</v>
      </c>
      <c r="W70" s="6">
        <f t="shared" si="33"/>
        <v>439</v>
      </c>
      <c r="X70" s="6">
        <f t="shared" si="34"/>
        <v>355</v>
      </c>
      <c r="Y70" s="6">
        <f t="shared" si="35"/>
        <v>0</v>
      </c>
      <c r="Z70" s="6">
        <f t="shared" si="36"/>
        <v>84</v>
      </c>
      <c r="AA70" s="6">
        <f t="shared" si="37"/>
        <v>2</v>
      </c>
      <c r="AB70" s="6">
        <f t="shared" si="38"/>
        <v>82</v>
      </c>
      <c r="AC70" s="5">
        <f t="shared" si="39"/>
        <v>6.4788732394366194E-2</v>
      </c>
      <c r="AD70" s="5">
        <f t="shared" si="40"/>
        <v>1</v>
      </c>
      <c r="AE70" s="5">
        <f t="shared" si="41"/>
        <v>1</v>
      </c>
      <c r="AF70" s="5">
        <f t="shared" si="42"/>
        <v>0.6517857142857143</v>
      </c>
      <c r="AG70" s="5">
        <f t="shared" si="43"/>
        <v>0.76964285714285718</v>
      </c>
    </row>
    <row r="71" spans="1:33">
      <c r="A71" s="4">
        <v>46175</v>
      </c>
      <c r="B71" s="3" t="s">
        <v>64</v>
      </c>
      <c r="C71" s="3">
        <v>5</v>
      </c>
      <c r="D71" s="6">
        <v>153</v>
      </c>
      <c r="E71" s="6">
        <v>154</v>
      </c>
      <c r="F71" s="6">
        <v>230</v>
      </c>
      <c r="G71" s="6">
        <f t="shared" si="23"/>
        <v>148</v>
      </c>
      <c r="H71" s="5">
        <v>1.0135114049183858</v>
      </c>
      <c r="I71" s="6">
        <f t="shared" si="24"/>
        <v>150</v>
      </c>
      <c r="J71" s="6">
        <f t="shared" ref="J71:J134" si="44">Q66</f>
        <v>33</v>
      </c>
      <c r="K71" s="6">
        <f t="shared" si="25"/>
        <v>183</v>
      </c>
      <c r="L71" s="6">
        <f t="shared" si="26"/>
        <v>154</v>
      </c>
      <c r="M71" s="6">
        <f t="shared" si="27"/>
        <v>0</v>
      </c>
      <c r="N71" s="6">
        <f t="shared" si="28"/>
        <v>29</v>
      </c>
      <c r="O71" s="5">
        <v>2.5000000000000001E-2</v>
      </c>
      <c r="P71" s="6">
        <f t="shared" si="29"/>
        <v>1</v>
      </c>
      <c r="Q71" s="6">
        <f t="shared" si="30"/>
        <v>28</v>
      </c>
      <c r="R71" s="6">
        <v>31</v>
      </c>
      <c r="S71" s="6">
        <f t="shared" si="31"/>
        <v>136</v>
      </c>
      <c r="T71" s="5">
        <v>0.9850993603487519</v>
      </c>
      <c r="U71" s="6">
        <f t="shared" si="32"/>
        <v>134</v>
      </c>
      <c r="V71" s="6">
        <f t="shared" ref="V71:V134" si="45">AB66</f>
        <v>48</v>
      </c>
      <c r="W71" s="6">
        <f t="shared" si="33"/>
        <v>182</v>
      </c>
      <c r="X71" s="6">
        <f t="shared" si="34"/>
        <v>154</v>
      </c>
      <c r="Y71" s="6">
        <f t="shared" si="35"/>
        <v>0</v>
      </c>
      <c r="Z71" s="6">
        <f t="shared" si="36"/>
        <v>28</v>
      </c>
      <c r="AA71" s="6">
        <f t="shared" si="37"/>
        <v>1</v>
      </c>
      <c r="AB71" s="6">
        <f t="shared" si="38"/>
        <v>27</v>
      </c>
      <c r="AC71" s="5">
        <f t="shared" si="39"/>
        <v>6.4935064935064939E-3</v>
      </c>
      <c r="AD71" s="5">
        <f t="shared" si="40"/>
        <v>1</v>
      </c>
      <c r="AE71" s="5">
        <f t="shared" si="41"/>
        <v>1</v>
      </c>
      <c r="AF71" s="5">
        <f t="shared" si="42"/>
        <v>0.65217391304347827</v>
      </c>
      <c r="AG71" s="5">
        <f t="shared" si="43"/>
        <v>0.58260869565217388</v>
      </c>
    </row>
    <row r="72" spans="1:33">
      <c r="A72" s="4">
        <v>46176</v>
      </c>
      <c r="B72" s="3" t="s">
        <v>60</v>
      </c>
      <c r="C72" s="3">
        <v>2</v>
      </c>
      <c r="D72" s="6">
        <v>1691</v>
      </c>
      <c r="E72" s="6">
        <v>1969</v>
      </c>
      <c r="F72" s="6">
        <v>2250</v>
      </c>
      <c r="G72" s="6">
        <f t="shared" si="23"/>
        <v>1640</v>
      </c>
      <c r="H72" s="5">
        <v>1.0184488687723021</v>
      </c>
      <c r="I72" s="6">
        <f t="shared" si="24"/>
        <v>1670</v>
      </c>
      <c r="J72" s="6">
        <f t="shared" si="44"/>
        <v>1068</v>
      </c>
      <c r="K72" s="6">
        <f t="shared" si="25"/>
        <v>2738</v>
      </c>
      <c r="L72" s="6">
        <f t="shared" si="26"/>
        <v>1969</v>
      </c>
      <c r="M72" s="6">
        <f t="shared" si="27"/>
        <v>0</v>
      </c>
      <c r="N72" s="6">
        <f t="shared" si="28"/>
        <v>769</v>
      </c>
      <c r="O72" s="5">
        <v>2.5000000000000001E-2</v>
      </c>
      <c r="P72" s="6">
        <f t="shared" si="29"/>
        <v>19</v>
      </c>
      <c r="Q72" s="6">
        <f t="shared" si="30"/>
        <v>750</v>
      </c>
      <c r="R72" s="6">
        <v>203</v>
      </c>
      <c r="S72" s="6">
        <f t="shared" si="31"/>
        <v>1483</v>
      </c>
      <c r="T72" s="5">
        <v>1.0042593611699213</v>
      </c>
      <c r="U72" s="6">
        <f t="shared" si="32"/>
        <v>1489</v>
      </c>
      <c r="V72" s="6">
        <f t="shared" si="45"/>
        <v>411</v>
      </c>
      <c r="W72" s="6">
        <f t="shared" si="33"/>
        <v>1900</v>
      </c>
      <c r="X72" s="6">
        <f t="shared" si="34"/>
        <v>1900</v>
      </c>
      <c r="Y72" s="6">
        <f t="shared" si="35"/>
        <v>69</v>
      </c>
      <c r="Z72" s="6">
        <f t="shared" si="36"/>
        <v>0</v>
      </c>
      <c r="AA72" s="6">
        <f t="shared" si="37"/>
        <v>0</v>
      </c>
      <c r="AB72" s="6">
        <f t="shared" si="38"/>
        <v>0</v>
      </c>
      <c r="AC72" s="5">
        <f t="shared" si="39"/>
        <v>0.14118842051802946</v>
      </c>
      <c r="AD72" s="5">
        <f t="shared" si="40"/>
        <v>1</v>
      </c>
      <c r="AE72" s="5">
        <f t="shared" si="41"/>
        <v>0.96495683087861861</v>
      </c>
      <c r="AF72" s="5">
        <f t="shared" si="42"/>
        <v>0.74222222222222223</v>
      </c>
      <c r="AG72" s="5">
        <f t="shared" si="43"/>
        <v>0.6617777777777778</v>
      </c>
    </row>
    <row r="73" spans="1:33">
      <c r="A73" s="4">
        <v>46176</v>
      </c>
      <c r="B73" s="3" t="s">
        <v>61</v>
      </c>
      <c r="C73" s="3">
        <v>2</v>
      </c>
      <c r="D73" s="6">
        <v>846</v>
      </c>
      <c r="E73" s="6">
        <v>897</v>
      </c>
      <c r="F73" s="6">
        <v>1200</v>
      </c>
      <c r="G73" s="6">
        <f t="shared" si="23"/>
        <v>821</v>
      </c>
      <c r="H73" s="5">
        <v>1.0165534352371162</v>
      </c>
      <c r="I73" s="6">
        <f t="shared" si="24"/>
        <v>835</v>
      </c>
      <c r="J73" s="6">
        <f t="shared" si="44"/>
        <v>442</v>
      </c>
      <c r="K73" s="6">
        <f t="shared" si="25"/>
        <v>1277</v>
      </c>
      <c r="L73" s="6">
        <f t="shared" si="26"/>
        <v>897</v>
      </c>
      <c r="M73" s="6">
        <f t="shared" si="27"/>
        <v>0</v>
      </c>
      <c r="N73" s="6">
        <f t="shared" si="28"/>
        <v>380</v>
      </c>
      <c r="O73" s="5">
        <v>0.03</v>
      </c>
      <c r="P73" s="6">
        <f t="shared" si="29"/>
        <v>11</v>
      </c>
      <c r="Q73" s="6">
        <f t="shared" si="30"/>
        <v>369</v>
      </c>
      <c r="R73" s="6">
        <v>102</v>
      </c>
      <c r="S73" s="6">
        <f t="shared" si="31"/>
        <v>761</v>
      </c>
      <c r="T73" s="5">
        <v>0.98848062059844555</v>
      </c>
      <c r="U73" s="6">
        <f t="shared" si="32"/>
        <v>752</v>
      </c>
      <c r="V73" s="6">
        <f t="shared" si="45"/>
        <v>187</v>
      </c>
      <c r="W73" s="6">
        <f t="shared" si="33"/>
        <v>939</v>
      </c>
      <c r="X73" s="6">
        <f t="shared" si="34"/>
        <v>897</v>
      </c>
      <c r="Y73" s="6">
        <f t="shared" si="35"/>
        <v>0</v>
      </c>
      <c r="Z73" s="6">
        <f t="shared" si="36"/>
        <v>42</v>
      </c>
      <c r="AA73" s="6">
        <f t="shared" si="37"/>
        <v>1</v>
      </c>
      <c r="AB73" s="6">
        <f t="shared" si="38"/>
        <v>41</v>
      </c>
      <c r="AC73" s="5">
        <f t="shared" si="39"/>
        <v>5.6856187290969896E-2</v>
      </c>
      <c r="AD73" s="5">
        <f t="shared" si="40"/>
        <v>1</v>
      </c>
      <c r="AE73" s="5">
        <f t="shared" si="41"/>
        <v>1</v>
      </c>
      <c r="AF73" s="5">
        <f t="shared" si="42"/>
        <v>0.6958333333333333</v>
      </c>
      <c r="AG73" s="5">
        <f t="shared" si="43"/>
        <v>0.62666666666666671</v>
      </c>
    </row>
    <row r="74" spans="1:33">
      <c r="A74" s="4">
        <v>46176</v>
      </c>
      <c r="B74" s="3" t="s">
        <v>62</v>
      </c>
      <c r="C74" s="3">
        <v>7</v>
      </c>
      <c r="D74" s="6">
        <v>492</v>
      </c>
      <c r="E74" s="6">
        <v>511</v>
      </c>
      <c r="F74" s="6">
        <v>700</v>
      </c>
      <c r="G74" s="6">
        <f t="shared" si="23"/>
        <v>477</v>
      </c>
      <c r="H74" s="5">
        <v>0.99144119487581017</v>
      </c>
      <c r="I74" s="6">
        <f t="shared" si="24"/>
        <v>473</v>
      </c>
      <c r="J74" s="6">
        <f t="shared" si="44"/>
        <v>0</v>
      </c>
      <c r="K74" s="6">
        <f t="shared" si="25"/>
        <v>473</v>
      </c>
      <c r="L74" s="6">
        <f t="shared" si="26"/>
        <v>473</v>
      </c>
      <c r="M74" s="6">
        <f t="shared" si="27"/>
        <v>38</v>
      </c>
      <c r="N74" s="6">
        <f t="shared" si="28"/>
        <v>0</v>
      </c>
      <c r="O74" s="5">
        <v>1.7999999999999999E-2</v>
      </c>
      <c r="P74" s="6">
        <f t="shared" si="29"/>
        <v>0</v>
      </c>
      <c r="Q74" s="6">
        <f t="shared" si="30"/>
        <v>0</v>
      </c>
      <c r="R74" s="6">
        <v>89</v>
      </c>
      <c r="S74" s="6">
        <f t="shared" si="31"/>
        <v>524</v>
      </c>
      <c r="T74" s="5">
        <v>1.0144258420504659</v>
      </c>
      <c r="U74" s="6">
        <f t="shared" si="32"/>
        <v>532</v>
      </c>
      <c r="V74" s="6">
        <f t="shared" si="45"/>
        <v>57</v>
      </c>
      <c r="W74" s="6">
        <f t="shared" si="33"/>
        <v>589</v>
      </c>
      <c r="X74" s="6">
        <f t="shared" si="34"/>
        <v>511</v>
      </c>
      <c r="Y74" s="6">
        <f t="shared" si="35"/>
        <v>0</v>
      </c>
      <c r="Z74" s="6">
        <f t="shared" si="36"/>
        <v>78</v>
      </c>
      <c r="AA74" s="6">
        <f t="shared" si="37"/>
        <v>1</v>
      </c>
      <c r="AB74" s="6">
        <f t="shared" si="38"/>
        <v>77</v>
      </c>
      <c r="AC74" s="5">
        <f t="shared" si="39"/>
        <v>3.7181996086105673E-2</v>
      </c>
      <c r="AD74" s="5">
        <f t="shared" si="40"/>
        <v>0.92563600782778865</v>
      </c>
      <c r="AE74" s="5">
        <f t="shared" si="41"/>
        <v>1</v>
      </c>
      <c r="AF74" s="5">
        <f t="shared" si="42"/>
        <v>0.67571428571428571</v>
      </c>
      <c r="AG74" s="5">
        <f t="shared" si="43"/>
        <v>0.76</v>
      </c>
    </row>
    <row r="75" spans="1:33">
      <c r="A75" s="4">
        <v>46176</v>
      </c>
      <c r="B75" s="3" t="s">
        <v>63</v>
      </c>
      <c r="C75" s="3">
        <v>7</v>
      </c>
      <c r="D75" s="6">
        <v>394</v>
      </c>
      <c r="E75" s="6">
        <v>409</v>
      </c>
      <c r="F75" s="6">
        <v>560</v>
      </c>
      <c r="G75" s="6">
        <f t="shared" si="23"/>
        <v>382</v>
      </c>
      <c r="H75" s="5">
        <v>1.0085998072027162</v>
      </c>
      <c r="I75" s="6">
        <f t="shared" si="24"/>
        <v>385</v>
      </c>
      <c r="J75" s="6">
        <f t="shared" si="44"/>
        <v>10</v>
      </c>
      <c r="K75" s="6">
        <f t="shared" si="25"/>
        <v>395</v>
      </c>
      <c r="L75" s="6">
        <f t="shared" si="26"/>
        <v>395</v>
      </c>
      <c r="M75" s="6">
        <f t="shared" si="27"/>
        <v>14</v>
      </c>
      <c r="N75" s="6">
        <f t="shared" si="28"/>
        <v>0</v>
      </c>
      <c r="O75" s="5">
        <v>0.02</v>
      </c>
      <c r="P75" s="6">
        <f t="shared" si="29"/>
        <v>0</v>
      </c>
      <c r="Q75" s="6">
        <f t="shared" si="30"/>
        <v>0</v>
      </c>
      <c r="R75" s="6">
        <v>71</v>
      </c>
      <c r="S75" s="6">
        <f t="shared" si="31"/>
        <v>383</v>
      </c>
      <c r="T75" s="5">
        <v>1.0102243639554043</v>
      </c>
      <c r="U75" s="6">
        <f t="shared" si="32"/>
        <v>387</v>
      </c>
      <c r="V75" s="6">
        <f t="shared" si="45"/>
        <v>82</v>
      </c>
      <c r="W75" s="6">
        <f t="shared" si="33"/>
        <v>469</v>
      </c>
      <c r="X75" s="6">
        <f t="shared" si="34"/>
        <v>409</v>
      </c>
      <c r="Y75" s="6">
        <f t="shared" si="35"/>
        <v>0</v>
      </c>
      <c r="Z75" s="6">
        <f t="shared" si="36"/>
        <v>60</v>
      </c>
      <c r="AA75" s="6">
        <f t="shared" si="37"/>
        <v>1</v>
      </c>
      <c r="AB75" s="6">
        <f t="shared" si="38"/>
        <v>59</v>
      </c>
      <c r="AC75" s="5">
        <f t="shared" si="39"/>
        <v>3.6674816625916873E-2</v>
      </c>
      <c r="AD75" s="5">
        <f t="shared" si="40"/>
        <v>0.96577017114914421</v>
      </c>
      <c r="AE75" s="5">
        <f t="shared" si="41"/>
        <v>1</v>
      </c>
      <c r="AF75" s="5">
        <f t="shared" si="42"/>
        <v>0.6875</v>
      </c>
      <c r="AG75" s="5">
        <f t="shared" si="43"/>
        <v>0.69107142857142856</v>
      </c>
    </row>
    <row r="76" spans="1:33">
      <c r="A76" s="4">
        <v>46176</v>
      </c>
      <c r="B76" s="3" t="s">
        <v>64</v>
      </c>
      <c r="C76" s="3">
        <v>5</v>
      </c>
      <c r="D76" s="6">
        <v>158</v>
      </c>
      <c r="E76" s="6">
        <v>184</v>
      </c>
      <c r="F76" s="6">
        <v>230</v>
      </c>
      <c r="G76" s="6">
        <f t="shared" si="23"/>
        <v>153</v>
      </c>
      <c r="H76" s="5">
        <v>0.98346749718217774</v>
      </c>
      <c r="I76" s="6">
        <f t="shared" si="24"/>
        <v>150</v>
      </c>
      <c r="J76" s="6">
        <f t="shared" si="44"/>
        <v>28</v>
      </c>
      <c r="K76" s="6">
        <f t="shared" si="25"/>
        <v>178</v>
      </c>
      <c r="L76" s="6">
        <f t="shared" si="26"/>
        <v>178</v>
      </c>
      <c r="M76" s="6">
        <f t="shared" si="27"/>
        <v>6</v>
      </c>
      <c r="N76" s="6">
        <f t="shared" si="28"/>
        <v>0</v>
      </c>
      <c r="O76" s="5">
        <v>2.5000000000000001E-2</v>
      </c>
      <c r="P76" s="6">
        <f t="shared" si="29"/>
        <v>0</v>
      </c>
      <c r="Q76" s="6">
        <f t="shared" si="30"/>
        <v>0</v>
      </c>
      <c r="R76" s="6">
        <v>32</v>
      </c>
      <c r="S76" s="6">
        <f t="shared" si="31"/>
        <v>163</v>
      </c>
      <c r="T76" s="5">
        <v>0.98650502126016537</v>
      </c>
      <c r="U76" s="6">
        <f t="shared" si="32"/>
        <v>161</v>
      </c>
      <c r="V76" s="6">
        <f t="shared" si="45"/>
        <v>27</v>
      </c>
      <c r="W76" s="6">
        <f t="shared" si="33"/>
        <v>188</v>
      </c>
      <c r="X76" s="6">
        <f t="shared" si="34"/>
        <v>184</v>
      </c>
      <c r="Y76" s="6">
        <f t="shared" si="35"/>
        <v>0</v>
      </c>
      <c r="Z76" s="6">
        <f t="shared" si="36"/>
        <v>4</v>
      </c>
      <c r="AA76" s="6">
        <f t="shared" si="37"/>
        <v>0</v>
      </c>
      <c r="AB76" s="6">
        <f t="shared" si="38"/>
        <v>4</v>
      </c>
      <c r="AC76" s="5">
        <f t="shared" si="39"/>
        <v>0.14130434782608695</v>
      </c>
      <c r="AD76" s="5">
        <f t="shared" si="40"/>
        <v>0.96739130434782605</v>
      </c>
      <c r="AE76" s="5">
        <f t="shared" si="41"/>
        <v>1</v>
      </c>
      <c r="AF76" s="5">
        <f t="shared" si="42"/>
        <v>0.65217391304347827</v>
      </c>
      <c r="AG76" s="5">
        <f t="shared" si="43"/>
        <v>0.7</v>
      </c>
    </row>
    <row r="77" spans="1:33">
      <c r="A77" s="4">
        <v>46177</v>
      </c>
      <c r="B77" s="3" t="s">
        <v>60</v>
      </c>
      <c r="C77" s="3">
        <v>2</v>
      </c>
      <c r="D77" s="6">
        <v>1709</v>
      </c>
      <c r="E77" s="6">
        <v>1484</v>
      </c>
      <c r="F77" s="6">
        <v>2250</v>
      </c>
      <c r="G77" s="6">
        <f t="shared" si="23"/>
        <v>1658</v>
      </c>
      <c r="H77" s="5">
        <v>1.0043205481093149</v>
      </c>
      <c r="I77" s="6">
        <f t="shared" si="24"/>
        <v>1665</v>
      </c>
      <c r="J77" s="6">
        <f t="shared" si="44"/>
        <v>750</v>
      </c>
      <c r="K77" s="6">
        <f t="shared" si="25"/>
        <v>2415</v>
      </c>
      <c r="L77" s="6">
        <f t="shared" si="26"/>
        <v>1484</v>
      </c>
      <c r="M77" s="6">
        <f t="shared" si="27"/>
        <v>0</v>
      </c>
      <c r="N77" s="6">
        <f t="shared" si="28"/>
        <v>931</v>
      </c>
      <c r="O77" s="5">
        <v>2.5000000000000001E-2</v>
      </c>
      <c r="P77" s="6">
        <f t="shared" si="29"/>
        <v>23</v>
      </c>
      <c r="Q77" s="6">
        <f t="shared" si="30"/>
        <v>908</v>
      </c>
      <c r="R77" s="6">
        <v>205</v>
      </c>
      <c r="S77" s="6">
        <f t="shared" si="31"/>
        <v>1914</v>
      </c>
      <c r="T77" s="5">
        <v>1.0040287689715588</v>
      </c>
      <c r="U77" s="6">
        <f t="shared" si="32"/>
        <v>1922</v>
      </c>
      <c r="V77" s="6">
        <f t="shared" si="45"/>
        <v>0</v>
      </c>
      <c r="W77" s="6">
        <f t="shared" si="33"/>
        <v>1922</v>
      </c>
      <c r="X77" s="6">
        <f t="shared" si="34"/>
        <v>1484</v>
      </c>
      <c r="Y77" s="6">
        <f t="shared" si="35"/>
        <v>0</v>
      </c>
      <c r="Z77" s="6">
        <f t="shared" si="36"/>
        <v>438</v>
      </c>
      <c r="AA77" s="6">
        <f t="shared" si="37"/>
        <v>11</v>
      </c>
      <c r="AB77" s="6">
        <f t="shared" si="38"/>
        <v>427</v>
      </c>
      <c r="AC77" s="5">
        <f t="shared" si="39"/>
        <v>0.15161725067385445</v>
      </c>
      <c r="AD77" s="5">
        <f t="shared" si="40"/>
        <v>1</v>
      </c>
      <c r="AE77" s="5">
        <f t="shared" si="41"/>
        <v>1</v>
      </c>
      <c r="AF77" s="5">
        <f t="shared" si="42"/>
        <v>0.74</v>
      </c>
      <c r="AG77" s="5">
        <f t="shared" si="43"/>
        <v>0.85422222222222222</v>
      </c>
    </row>
    <row r="78" spans="1:33">
      <c r="A78" s="4">
        <v>46177</v>
      </c>
      <c r="B78" s="3" t="s">
        <v>61</v>
      </c>
      <c r="C78" s="3">
        <v>2</v>
      </c>
      <c r="D78" s="6">
        <v>854</v>
      </c>
      <c r="E78" s="6">
        <v>970</v>
      </c>
      <c r="F78" s="6">
        <v>1200</v>
      </c>
      <c r="G78" s="6">
        <f t="shared" si="23"/>
        <v>828</v>
      </c>
      <c r="H78" s="5">
        <v>1.0102664961359171</v>
      </c>
      <c r="I78" s="6">
        <f t="shared" si="24"/>
        <v>837</v>
      </c>
      <c r="J78" s="6">
        <f t="shared" si="44"/>
        <v>369</v>
      </c>
      <c r="K78" s="6">
        <f t="shared" si="25"/>
        <v>1206</v>
      </c>
      <c r="L78" s="6">
        <f t="shared" si="26"/>
        <v>970</v>
      </c>
      <c r="M78" s="6">
        <f t="shared" si="27"/>
        <v>0</v>
      </c>
      <c r="N78" s="6">
        <f t="shared" si="28"/>
        <v>236</v>
      </c>
      <c r="O78" s="5">
        <v>0.03</v>
      </c>
      <c r="P78" s="6">
        <f t="shared" si="29"/>
        <v>7</v>
      </c>
      <c r="Q78" s="6">
        <f t="shared" si="30"/>
        <v>229</v>
      </c>
      <c r="R78" s="6">
        <v>102</v>
      </c>
      <c r="S78" s="6">
        <f t="shared" si="31"/>
        <v>915</v>
      </c>
      <c r="T78" s="5">
        <v>1.0069174351736285</v>
      </c>
      <c r="U78" s="6">
        <f t="shared" si="32"/>
        <v>921</v>
      </c>
      <c r="V78" s="6">
        <f t="shared" si="45"/>
        <v>41</v>
      </c>
      <c r="W78" s="6">
        <f t="shared" si="33"/>
        <v>962</v>
      </c>
      <c r="X78" s="6">
        <f t="shared" si="34"/>
        <v>962</v>
      </c>
      <c r="Y78" s="6">
        <f t="shared" si="35"/>
        <v>8</v>
      </c>
      <c r="Z78" s="6">
        <f t="shared" si="36"/>
        <v>0</v>
      </c>
      <c r="AA78" s="6">
        <f t="shared" si="37"/>
        <v>0</v>
      </c>
      <c r="AB78" s="6">
        <f t="shared" si="38"/>
        <v>0</v>
      </c>
      <c r="AC78" s="5">
        <f t="shared" si="39"/>
        <v>0.11958762886597939</v>
      </c>
      <c r="AD78" s="5">
        <f t="shared" si="40"/>
        <v>1</v>
      </c>
      <c r="AE78" s="5">
        <f t="shared" si="41"/>
        <v>0.99175257731958766</v>
      </c>
      <c r="AF78" s="5">
        <f t="shared" si="42"/>
        <v>0.69750000000000001</v>
      </c>
      <c r="AG78" s="5">
        <f t="shared" si="43"/>
        <v>0.76749999999999996</v>
      </c>
    </row>
    <row r="79" spans="1:33">
      <c r="A79" s="4">
        <v>46177</v>
      </c>
      <c r="B79" s="3" t="s">
        <v>62</v>
      </c>
      <c r="C79" s="3">
        <v>7</v>
      </c>
      <c r="D79" s="6">
        <v>503</v>
      </c>
      <c r="E79" s="6">
        <v>482</v>
      </c>
      <c r="F79" s="6">
        <v>700</v>
      </c>
      <c r="G79" s="6">
        <f t="shared" si="23"/>
        <v>488</v>
      </c>
      <c r="H79" s="5">
        <v>1.0069033335703363</v>
      </c>
      <c r="I79" s="6">
        <f t="shared" si="24"/>
        <v>491</v>
      </c>
      <c r="J79" s="6">
        <f t="shared" si="44"/>
        <v>0</v>
      </c>
      <c r="K79" s="6">
        <f t="shared" si="25"/>
        <v>491</v>
      </c>
      <c r="L79" s="6">
        <f t="shared" si="26"/>
        <v>482</v>
      </c>
      <c r="M79" s="6">
        <f t="shared" si="27"/>
        <v>0</v>
      </c>
      <c r="N79" s="6">
        <f t="shared" si="28"/>
        <v>9</v>
      </c>
      <c r="O79" s="5">
        <v>1.7999999999999999E-2</v>
      </c>
      <c r="P79" s="6">
        <f t="shared" si="29"/>
        <v>0</v>
      </c>
      <c r="Q79" s="6">
        <f t="shared" si="30"/>
        <v>9</v>
      </c>
      <c r="R79" s="6">
        <v>91</v>
      </c>
      <c r="S79" s="6">
        <f t="shared" si="31"/>
        <v>517</v>
      </c>
      <c r="T79" s="5">
        <v>1.0183107169296843</v>
      </c>
      <c r="U79" s="6">
        <f t="shared" si="32"/>
        <v>526</v>
      </c>
      <c r="V79" s="6">
        <f t="shared" si="45"/>
        <v>77</v>
      </c>
      <c r="W79" s="6">
        <f t="shared" si="33"/>
        <v>603</v>
      </c>
      <c r="X79" s="6">
        <f t="shared" si="34"/>
        <v>482</v>
      </c>
      <c r="Y79" s="6">
        <f t="shared" si="35"/>
        <v>0</v>
      </c>
      <c r="Z79" s="6">
        <f t="shared" si="36"/>
        <v>121</v>
      </c>
      <c r="AA79" s="6">
        <f t="shared" si="37"/>
        <v>2</v>
      </c>
      <c r="AB79" s="6">
        <f t="shared" si="38"/>
        <v>119</v>
      </c>
      <c r="AC79" s="5">
        <f t="shared" si="39"/>
        <v>4.3568464730290454E-2</v>
      </c>
      <c r="AD79" s="5">
        <f t="shared" si="40"/>
        <v>1</v>
      </c>
      <c r="AE79" s="5">
        <f t="shared" si="41"/>
        <v>1</v>
      </c>
      <c r="AF79" s="5">
        <f t="shared" si="42"/>
        <v>0.7014285714285714</v>
      </c>
      <c r="AG79" s="5">
        <f t="shared" si="43"/>
        <v>0.75142857142857145</v>
      </c>
    </row>
    <row r="80" spans="1:33">
      <c r="A80" s="4">
        <v>46177</v>
      </c>
      <c r="B80" s="3" t="s">
        <v>63</v>
      </c>
      <c r="C80" s="3">
        <v>7</v>
      </c>
      <c r="D80" s="6">
        <v>402</v>
      </c>
      <c r="E80" s="6">
        <v>431</v>
      </c>
      <c r="F80" s="6">
        <v>560</v>
      </c>
      <c r="G80" s="6">
        <f t="shared" si="23"/>
        <v>390</v>
      </c>
      <c r="H80" s="5">
        <v>0.98135049065622448</v>
      </c>
      <c r="I80" s="6">
        <f t="shared" si="24"/>
        <v>383</v>
      </c>
      <c r="J80" s="6">
        <f t="shared" si="44"/>
        <v>0</v>
      </c>
      <c r="K80" s="6">
        <f t="shared" si="25"/>
        <v>383</v>
      </c>
      <c r="L80" s="6">
        <f t="shared" si="26"/>
        <v>383</v>
      </c>
      <c r="M80" s="6">
        <f t="shared" si="27"/>
        <v>48</v>
      </c>
      <c r="N80" s="6">
        <f t="shared" si="28"/>
        <v>0</v>
      </c>
      <c r="O80" s="5">
        <v>0.02</v>
      </c>
      <c r="P80" s="6">
        <f t="shared" si="29"/>
        <v>0</v>
      </c>
      <c r="Q80" s="6">
        <f t="shared" si="30"/>
        <v>0</v>
      </c>
      <c r="R80" s="6">
        <v>72</v>
      </c>
      <c r="S80" s="6">
        <f t="shared" si="31"/>
        <v>415</v>
      </c>
      <c r="T80" s="5">
        <v>0.98970802318301365</v>
      </c>
      <c r="U80" s="6">
        <f t="shared" si="32"/>
        <v>411</v>
      </c>
      <c r="V80" s="6">
        <f t="shared" si="45"/>
        <v>59</v>
      </c>
      <c r="W80" s="6">
        <f t="shared" si="33"/>
        <v>470</v>
      </c>
      <c r="X80" s="6">
        <f t="shared" si="34"/>
        <v>431</v>
      </c>
      <c r="Y80" s="6">
        <f t="shared" si="35"/>
        <v>0</v>
      </c>
      <c r="Z80" s="6">
        <f t="shared" si="36"/>
        <v>39</v>
      </c>
      <c r="AA80" s="6">
        <f t="shared" si="37"/>
        <v>1</v>
      </c>
      <c r="AB80" s="6">
        <f t="shared" si="38"/>
        <v>38</v>
      </c>
      <c r="AC80" s="5">
        <f t="shared" si="39"/>
        <v>6.7285382830626447E-2</v>
      </c>
      <c r="AD80" s="5">
        <f t="shared" si="40"/>
        <v>0.88863109048723898</v>
      </c>
      <c r="AE80" s="5">
        <f t="shared" si="41"/>
        <v>1</v>
      </c>
      <c r="AF80" s="5">
        <f t="shared" si="42"/>
        <v>0.68392857142857144</v>
      </c>
      <c r="AG80" s="5">
        <f t="shared" si="43"/>
        <v>0.73392857142857137</v>
      </c>
    </row>
    <row r="81" spans="1:33">
      <c r="A81" s="4">
        <v>46177</v>
      </c>
      <c r="B81" s="3" t="s">
        <v>64</v>
      </c>
      <c r="C81" s="3">
        <v>5</v>
      </c>
      <c r="D81" s="6">
        <v>161</v>
      </c>
      <c r="E81" s="6">
        <v>189</v>
      </c>
      <c r="F81" s="6">
        <v>230</v>
      </c>
      <c r="G81" s="6">
        <f t="shared" si="23"/>
        <v>156</v>
      </c>
      <c r="H81" s="5">
        <v>1.0061110586329101</v>
      </c>
      <c r="I81" s="6">
        <f t="shared" si="24"/>
        <v>157</v>
      </c>
      <c r="J81" s="6">
        <f t="shared" si="44"/>
        <v>0</v>
      </c>
      <c r="K81" s="6">
        <f t="shared" si="25"/>
        <v>157</v>
      </c>
      <c r="L81" s="6">
        <f t="shared" si="26"/>
        <v>157</v>
      </c>
      <c r="M81" s="6">
        <f t="shared" si="27"/>
        <v>32</v>
      </c>
      <c r="N81" s="6">
        <f t="shared" si="28"/>
        <v>0</v>
      </c>
      <c r="O81" s="5">
        <v>2.5000000000000001E-2</v>
      </c>
      <c r="P81" s="6">
        <f t="shared" si="29"/>
        <v>0</v>
      </c>
      <c r="Q81" s="6">
        <f t="shared" si="30"/>
        <v>0</v>
      </c>
      <c r="R81" s="6">
        <v>32</v>
      </c>
      <c r="S81" s="6">
        <f t="shared" si="31"/>
        <v>189</v>
      </c>
      <c r="T81" s="5">
        <v>0.98873581469326055</v>
      </c>
      <c r="U81" s="6">
        <f t="shared" si="32"/>
        <v>187</v>
      </c>
      <c r="V81" s="6">
        <f t="shared" si="45"/>
        <v>4</v>
      </c>
      <c r="W81" s="6">
        <f t="shared" si="33"/>
        <v>191</v>
      </c>
      <c r="X81" s="6">
        <f t="shared" si="34"/>
        <v>189</v>
      </c>
      <c r="Y81" s="6">
        <f t="shared" si="35"/>
        <v>0</v>
      </c>
      <c r="Z81" s="6">
        <f t="shared" si="36"/>
        <v>2</v>
      </c>
      <c r="AA81" s="6">
        <f t="shared" si="37"/>
        <v>0</v>
      </c>
      <c r="AB81" s="6">
        <f t="shared" si="38"/>
        <v>2</v>
      </c>
      <c r="AC81" s="5">
        <f t="shared" si="39"/>
        <v>0.14814814814814814</v>
      </c>
      <c r="AD81" s="5">
        <f t="shared" si="40"/>
        <v>0.8306878306878307</v>
      </c>
      <c r="AE81" s="5">
        <f t="shared" si="41"/>
        <v>1</v>
      </c>
      <c r="AF81" s="5">
        <f t="shared" si="42"/>
        <v>0.68260869565217386</v>
      </c>
      <c r="AG81" s="5">
        <f t="shared" si="43"/>
        <v>0.81304347826086953</v>
      </c>
    </row>
    <row r="82" spans="1:33">
      <c r="A82" s="4">
        <v>46178</v>
      </c>
      <c r="B82" s="3" t="s">
        <v>60</v>
      </c>
      <c r="C82" s="3">
        <v>2</v>
      </c>
      <c r="D82" s="6">
        <v>1778</v>
      </c>
      <c r="E82" s="6">
        <v>2084</v>
      </c>
      <c r="F82" s="6">
        <v>2250</v>
      </c>
      <c r="G82" s="6">
        <f t="shared" si="23"/>
        <v>1725</v>
      </c>
      <c r="H82" s="5">
        <v>1.0008781121978818</v>
      </c>
      <c r="I82" s="6">
        <f t="shared" si="24"/>
        <v>1727</v>
      </c>
      <c r="J82" s="6">
        <f t="shared" si="44"/>
        <v>908</v>
      </c>
      <c r="K82" s="6">
        <f t="shared" si="25"/>
        <v>2635</v>
      </c>
      <c r="L82" s="6">
        <f t="shared" si="26"/>
        <v>2084</v>
      </c>
      <c r="M82" s="6">
        <f t="shared" si="27"/>
        <v>0</v>
      </c>
      <c r="N82" s="6">
        <f t="shared" si="28"/>
        <v>551</v>
      </c>
      <c r="O82" s="5">
        <v>2.5000000000000001E-2</v>
      </c>
      <c r="P82" s="6">
        <f t="shared" si="29"/>
        <v>14</v>
      </c>
      <c r="Q82" s="6">
        <f t="shared" si="30"/>
        <v>537</v>
      </c>
      <c r="R82" s="6">
        <v>213</v>
      </c>
      <c r="S82" s="6">
        <f t="shared" si="31"/>
        <v>1564</v>
      </c>
      <c r="T82" s="5">
        <v>0.98003166352597038</v>
      </c>
      <c r="U82" s="6">
        <f t="shared" si="32"/>
        <v>1533</v>
      </c>
      <c r="V82" s="6">
        <f t="shared" si="45"/>
        <v>427</v>
      </c>
      <c r="W82" s="6">
        <f t="shared" si="33"/>
        <v>1960</v>
      </c>
      <c r="X82" s="6">
        <f t="shared" si="34"/>
        <v>1960</v>
      </c>
      <c r="Y82" s="6">
        <f t="shared" si="35"/>
        <v>124</v>
      </c>
      <c r="Z82" s="6">
        <f t="shared" si="36"/>
        <v>0</v>
      </c>
      <c r="AA82" s="6">
        <f t="shared" si="37"/>
        <v>0</v>
      </c>
      <c r="AB82" s="6">
        <f t="shared" si="38"/>
        <v>0</v>
      </c>
      <c r="AC82" s="5">
        <f t="shared" si="39"/>
        <v>0.14683301343570057</v>
      </c>
      <c r="AD82" s="5">
        <f t="shared" si="40"/>
        <v>1</v>
      </c>
      <c r="AE82" s="5">
        <f t="shared" si="41"/>
        <v>0.94049904030710174</v>
      </c>
      <c r="AF82" s="5">
        <f t="shared" si="42"/>
        <v>0.76755555555555555</v>
      </c>
      <c r="AG82" s="5">
        <f t="shared" si="43"/>
        <v>0.68133333333333335</v>
      </c>
    </row>
    <row r="83" spans="1:33">
      <c r="A83" s="4">
        <v>46178</v>
      </c>
      <c r="B83" s="3" t="s">
        <v>61</v>
      </c>
      <c r="C83" s="3">
        <v>2</v>
      </c>
      <c r="D83" s="6">
        <v>889</v>
      </c>
      <c r="E83" s="6">
        <v>869</v>
      </c>
      <c r="F83" s="6">
        <v>1200</v>
      </c>
      <c r="G83" s="6">
        <f t="shared" si="23"/>
        <v>862</v>
      </c>
      <c r="H83" s="5">
        <v>1.0196357278642205</v>
      </c>
      <c r="I83" s="6">
        <f t="shared" si="24"/>
        <v>879</v>
      </c>
      <c r="J83" s="6">
        <f t="shared" si="44"/>
        <v>229</v>
      </c>
      <c r="K83" s="6">
        <f t="shared" si="25"/>
        <v>1108</v>
      </c>
      <c r="L83" s="6">
        <f t="shared" si="26"/>
        <v>869</v>
      </c>
      <c r="M83" s="6">
        <f t="shared" si="27"/>
        <v>0</v>
      </c>
      <c r="N83" s="6">
        <f t="shared" si="28"/>
        <v>239</v>
      </c>
      <c r="O83" s="5">
        <v>0.03</v>
      </c>
      <c r="P83" s="6">
        <f t="shared" si="29"/>
        <v>7</v>
      </c>
      <c r="Q83" s="6">
        <f t="shared" si="30"/>
        <v>232</v>
      </c>
      <c r="R83" s="6">
        <v>107</v>
      </c>
      <c r="S83" s="6">
        <f t="shared" si="31"/>
        <v>996</v>
      </c>
      <c r="T83" s="5">
        <v>1.0067665633355996</v>
      </c>
      <c r="U83" s="6">
        <f t="shared" si="32"/>
        <v>1003</v>
      </c>
      <c r="V83" s="6">
        <f t="shared" si="45"/>
        <v>0</v>
      </c>
      <c r="W83" s="6">
        <f t="shared" si="33"/>
        <v>1003</v>
      </c>
      <c r="X83" s="6">
        <f t="shared" si="34"/>
        <v>869</v>
      </c>
      <c r="Y83" s="6">
        <f t="shared" si="35"/>
        <v>0</v>
      </c>
      <c r="Z83" s="6">
        <f t="shared" si="36"/>
        <v>134</v>
      </c>
      <c r="AA83" s="6">
        <f t="shared" si="37"/>
        <v>4</v>
      </c>
      <c r="AB83" s="6">
        <f t="shared" si="38"/>
        <v>130</v>
      </c>
      <c r="AC83" s="5">
        <f t="shared" si="39"/>
        <v>2.3014959723820484E-2</v>
      </c>
      <c r="AD83" s="5">
        <f t="shared" si="40"/>
        <v>1</v>
      </c>
      <c r="AE83" s="5">
        <f t="shared" si="41"/>
        <v>1</v>
      </c>
      <c r="AF83" s="5">
        <f t="shared" si="42"/>
        <v>0.73250000000000004</v>
      </c>
      <c r="AG83" s="5">
        <f t="shared" si="43"/>
        <v>0.83583333333333332</v>
      </c>
    </row>
    <row r="84" spans="1:33">
      <c r="A84" s="4">
        <v>46178</v>
      </c>
      <c r="B84" s="3" t="s">
        <v>62</v>
      </c>
      <c r="C84" s="3">
        <v>7</v>
      </c>
      <c r="D84" s="6">
        <v>523</v>
      </c>
      <c r="E84" s="6">
        <v>461</v>
      </c>
      <c r="F84" s="6">
        <v>700</v>
      </c>
      <c r="G84" s="6">
        <f t="shared" si="23"/>
        <v>507</v>
      </c>
      <c r="H84" s="5">
        <v>0.99758664384488072</v>
      </c>
      <c r="I84" s="6">
        <f t="shared" si="24"/>
        <v>506</v>
      </c>
      <c r="J84" s="6">
        <f t="shared" si="44"/>
        <v>9</v>
      </c>
      <c r="K84" s="6">
        <f t="shared" si="25"/>
        <v>515</v>
      </c>
      <c r="L84" s="6">
        <f t="shared" si="26"/>
        <v>461</v>
      </c>
      <c r="M84" s="6">
        <f t="shared" si="27"/>
        <v>0</v>
      </c>
      <c r="N84" s="6">
        <f t="shared" si="28"/>
        <v>54</v>
      </c>
      <c r="O84" s="5">
        <v>1.7999999999999999E-2</v>
      </c>
      <c r="P84" s="6">
        <f t="shared" si="29"/>
        <v>1</v>
      </c>
      <c r="Q84" s="6">
        <f t="shared" si="30"/>
        <v>53</v>
      </c>
      <c r="R84" s="6">
        <v>94</v>
      </c>
      <c r="S84" s="6">
        <f t="shared" si="31"/>
        <v>498</v>
      </c>
      <c r="T84" s="5">
        <v>1.0020938351908053</v>
      </c>
      <c r="U84" s="6">
        <f t="shared" si="32"/>
        <v>499</v>
      </c>
      <c r="V84" s="6">
        <f t="shared" si="45"/>
        <v>119</v>
      </c>
      <c r="W84" s="6">
        <f t="shared" si="33"/>
        <v>618</v>
      </c>
      <c r="X84" s="6">
        <f t="shared" si="34"/>
        <v>461</v>
      </c>
      <c r="Y84" s="6">
        <f t="shared" si="35"/>
        <v>0</v>
      </c>
      <c r="Z84" s="6">
        <f t="shared" si="36"/>
        <v>157</v>
      </c>
      <c r="AA84" s="6">
        <f t="shared" si="37"/>
        <v>3</v>
      </c>
      <c r="AB84" s="6">
        <f t="shared" si="38"/>
        <v>154</v>
      </c>
      <c r="AC84" s="5">
        <f t="shared" si="39"/>
        <v>0.13449023861171366</v>
      </c>
      <c r="AD84" s="5">
        <f t="shared" si="40"/>
        <v>1</v>
      </c>
      <c r="AE84" s="5">
        <f t="shared" si="41"/>
        <v>1</v>
      </c>
      <c r="AF84" s="5">
        <f t="shared" si="42"/>
        <v>0.72285714285714286</v>
      </c>
      <c r="AG84" s="5">
        <f t="shared" si="43"/>
        <v>0.71285714285714286</v>
      </c>
    </row>
    <row r="85" spans="1:33">
      <c r="A85" s="4">
        <v>46178</v>
      </c>
      <c r="B85" s="3" t="s">
        <v>63</v>
      </c>
      <c r="C85" s="3">
        <v>7</v>
      </c>
      <c r="D85" s="6">
        <v>418</v>
      </c>
      <c r="E85" s="6">
        <v>388</v>
      </c>
      <c r="F85" s="6">
        <v>560</v>
      </c>
      <c r="G85" s="6">
        <f t="shared" si="23"/>
        <v>405</v>
      </c>
      <c r="H85" s="5">
        <v>1.0168623087327944</v>
      </c>
      <c r="I85" s="6">
        <f t="shared" si="24"/>
        <v>412</v>
      </c>
      <c r="J85" s="6">
        <f t="shared" si="44"/>
        <v>0</v>
      </c>
      <c r="K85" s="6">
        <f t="shared" si="25"/>
        <v>412</v>
      </c>
      <c r="L85" s="6">
        <f t="shared" si="26"/>
        <v>388</v>
      </c>
      <c r="M85" s="6">
        <f t="shared" si="27"/>
        <v>0</v>
      </c>
      <c r="N85" s="6">
        <f t="shared" si="28"/>
        <v>24</v>
      </c>
      <c r="O85" s="5">
        <v>0.02</v>
      </c>
      <c r="P85" s="6">
        <f t="shared" si="29"/>
        <v>0</v>
      </c>
      <c r="Q85" s="6">
        <f t="shared" si="30"/>
        <v>24</v>
      </c>
      <c r="R85" s="6">
        <v>75</v>
      </c>
      <c r="S85" s="6">
        <f t="shared" si="31"/>
        <v>455</v>
      </c>
      <c r="T85" s="5">
        <v>0.98871501791278027</v>
      </c>
      <c r="U85" s="6">
        <f t="shared" si="32"/>
        <v>450</v>
      </c>
      <c r="V85" s="6">
        <f t="shared" si="45"/>
        <v>38</v>
      </c>
      <c r="W85" s="6">
        <f t="shared" si="33"/>
        <v>488</v>
      </c>
      <c r="X85" s="6">
        <f t="shared" si="34"/>
        <v>388</v>
      </c>
      <c r="Y85" s="6">
        <f t="shared" si="35"/>
        <v>0</v>
      </c>
      <c r="Z85" s="6">
        <f t="shared" si="36"/>
        <v>100</v>
      </c>
      <c r="AA85" s="6">
        <f t="shared" si="37"/>
        <v>2</v>
      </c>
      <c r="AB85" s="6">
        <f t="shared" si="38"/>
        <v>98</v>
      </c>
      <c r="AC85" s="5">
        <f t="shared" si="39"/>
        <v>7.7319587628865982E-2</v>
      </c>
      <c r="AD85" s="5">
        <f t="shared" si="40"/>
        <v>1</v>
      </c>
      <c r="AE85" s="5">
        <f t="shared" si="41"/>
        <v>1</v>
      </c>
      <c r="AF85" s="5">
        <f t="shared" si="42"/>
        <v>0.73571428571428577</v>
      </c>
      <c r="AG85" s="5">
        <f t="shared" si="43"/>
        <v>0.8035714285714286</v>
      </c>
    </row>
    <row r="86" spans="1:33">
      <c r="A86" s="4">
        <v>46178</v>
      </c>
      <c r="B86" s="3" t="s">
        <v>64</v>
      </c>
      <c r="C86" s="3">
        <v>5</v>
      </c>
      <c r="D86" s="6">
        <v>167</v>
      </c>
      <c r="E86" s="6">
        <v>143</v>
      </c>
      <c r="F86" s="6">
        <v>230</v>
      </c>
      <c r="G86" s="6">
        <f t="shared" si="23"/>
        <v>162</v>
      </c>
      <c r="H86" s="5">
        <v>0.98835194694401696</v>
      </c>
      <c r="I86" s="6">
        <f t="shared" si="24"/>
        <v>160</v>
      </c>
      <c r="J86" s="6">
        <f t="shared" si="44"/>
        <v>0</v>
      </c>
      <c r="K86" s="6">
        <f t="shared" si="25"/>
        <v>160</v>
      </c>
      <c r="L86" s="6">
        <f t="shared" si="26"/>
        <v>143</v>
      </c>
      <c r="M86" s="6">
        <f t="shared" si="27"/>
        <v>0</v>
      </c>
      <c r="N86" s="6">
        <f t="shared" si="28"/>
        <v>17</v>
      </c>
      <c r="O86" s="5">
        <v>2.5000000000000001E-2</v>
      </c>
      <c r="P86" s="6">
        <f t="shared" si="29"/>
        <v>0</v>
      </c>
      <c r="Q86" s="6">
        <f t="shared" si="30"/>
        <v>17</v>
      </c>
      <c r="R86" s="6">
        <v>33</v>
      </c>
      <c r="S86" s="6">
        <f t="shared" si="31"/>
        <v>198</v>
      </c>
      <c r="T86" s="5">
        <v>1.0112417072063342</v>
      </c>
      <c r="U86" s="6">
        <f t="shared" si="32"/>
        <v>200</v>
      </c>
      <c r="V86" s="6">
        <f t="shared" si="45"/>
        <v>2</v>
      </c>
      <c r="W86" s="6">
        <f t="shared" si="33"/>
        <v>202</v>
      </c>
      <c r="X86" s="6">
        <f t="shared" si="34"/>
        <v>143</v>
      </c>
      <c r="Y86" s="6">
        <f t="shared" si="35"/>
        <v>0</v>
      </c>
      <c r="Z86" s="6">
        <f t="shared" si="36"/>
        <v>59</v>
      </c>
      <c r="AA86" s="6">
        <f t="shared" si="37"/>
        <v>1</v>
      </c>
      <c r="AB86" s="6">
        <f t="shared" si="38"/>
        <v>58</v>
      </c>
      <c r="AC86" s="5">
        <f t="shared" si="39"/>
        <v>0.16783216783216784</v>
      </c>
      <c r="AD86" s="5">
        <f t="shared" si="40"/>
        <v>1</v>
      </c>
      <c r="AE86" s="5">
        <f t="shared" si="41"/>
        <v>1</v>
      </c>
      <c r="AF86" s="5">
        <f t="shared" si="42"/>
        <v>0.69565217391304346</v>
      </c>
      <c r="AG86" s="5">
        <f t="shared" si="43"/>
        <v>0.86956521739130432</v>
      </c>
    </row>
    <row r="87" spans="1:33">
      <c r="A87" s="4">
        <v>46179</v>
      </c>
      <c r="B87" s="3" t="s">
        <v>60</v>
      </c>
      <c r="C87" s="3">
        <v>2</v>
      </c>
      <c r="D87" s="6">
        <v>1950</v>
      </c>
      <c r="E87" s="6">
        <v>1612</v>
      </c>
      <c r="F87" s="6">
        <v>2250</v>
      </c>
      <c r="G87" s="6">
        <f t="shared" si="23"/>
        <v>1892</v>
      </c>
      <c r="H87" s="5">
        <v>1.0184523614748029</v>
      </c>
      <c r="I87" s="6">
        <f t="shared" si="24"/>
        <v>1927</v>
      </c>
      <c r="J87" s="6">
        <f t="shared" si="44"/>
        <v>537</v>
      </c>
      <c r="K87" s="6">
        <f t="shared" si="25"/>
        <v>2464</v>
      </c>
      <c r="L87" s="6">
        <f t="shared" si="26"/>
        <v>1612</v>
      </c>
      <c r="M87" s="6">
        <f t="shared" si="27"/>
        <v>0</v>
      </c>
      <c r="N87" s="6">
        <f t="shared" si="28"/>
        <v>852</v>
      </c>
      <c r="O87" s="5">
        <v>2.5000000000000001E-2</v>
      </c>
      <c r="P87" s="6">
        <f t="shared" si="29"/>
        <v>21</v>
      </c>
      <c r="Q87" s="6">
        <f t="shared" si="30"/>
        <v>831</v>
      </c>
      <c r="R87" s="6">
        <v>234</v>
      </c>
      <c r="S87" s="6">
        <f t="shared" si="31"/>
        <v>2184</v>
      </c>
      <c r="T87" s="5">
        <v>1.0061889389952452</v>
      </c>
      <c r="U87" s="6">
        <f t="shared" si="32"/>
        <v>2198</v>
      </c>
      <c r="V87" s="6">
        <f t="shared" si="45"/>
        <v>0</v>
      </c>
      <c r="W87" s="6">
        <f t="shared" si="33"/>
        <v>2198</v>
      </c>
      <c r="X87" s="6">
        <f t="shared" si="34"/>
        <v>1612</v>
      </c>
      <c r="Y87" s="6">
        <f t="shared" si="35"/>
        <v>0</v>
      </c>
      <c r="Z87" s="6">
        <f t="shared" si="36"/>
        <v>586</v>
      </c>
      <c r="AA87" s="6">
        <f t="shared" si="37"/>
        <v>15</v>
      </c>
      <c r="AB87" s="6">
        <f t="shared" si="38"/>
        <v>571</v>
      </c>
      <c r="AC87" s="5">
        <f t="shared" si="39"/>
        <v>0.20967741935483872</v>
      </c>
      <c r="AD87" s="5">
        <f t="shared" si="40"/>
        <v>1</v>
      </c>
      <c r="AE87" s="5">
        <f t="shared" si="41"/>
        <v>1</v>
      </c>
      <c r="AF87" s="5">
        <f t="shared" si="42"/>
        <v>0.85644444444444445</v>
      </c>
      <c r="AG87" s="5">
        <f t="shared" si="43"/>
        <v>0.97688888888888892</v>
      </c>
    </row>
    <row r="88" spans="1:33">
      <c r="A88" s="4">
        <v>46179</v>
      </c>
      <c r="B88" s="3" t="s">
        <v>61</v>
      </c>
      <c r="C88" s="3">
        <v>2</v>
      </c>
      <c r="D88" s="6">
        <v>975</v>
      </c>
      <c r="E88" s="6">
        <v>978</v>
      </c>
      <c r="F88" s="6">
        <v>1200</v>
      </c>
      <c r="G88" s="6">
        <f t="shared" si="23"/>
        <v>946</v>
      </c>
      <c r="H88" s="5">
        <v>1.00577652270128</v>
      </c>
      <c r="I88" s="6">
        <f t="shared" si="24"/>
        <v>951</v>
      </c>
      <c r="J88" s="6">
        <f t="shared" si="44"/>
        <v>232</v>
      </c>
      <c r="K88" s="6">
        <f t="shared" si="25"/>
        <v>1183</v>
      </c>
      <c r="L88" s="6">
        <f t="shared" si="26"/>
        <v>978</v>
      </c>
      <c r="M88" s="6">
        <f t="shared" si="27"/>
        <v>0</v>
      </c>
      <c r="N88" s="6">
        <f t="shared" si="28"/>
        <v>205</v>
      </c>
      <c r="O88" s="5">
        <v>0.03</v>
      </c>
      <c r="P88" s="6">
        <f t="shared" si="29"/>
        <v>6</v>
      </c>
      <c r="Q88" s="6">
        <f t="shared" si="30"/>
        <v>199</v>
      </c>
      <c r="R88" s="6">
        <v>117</v>
      </c>
      <c r="S88" s="6">
        <f t="shared" si="31"/>
        <v>962</v>
      </c>
      <c r="T88" s="5">
        <v>1.0163726684923922</v>
      </c>
      <c r="U88" s="6">
        <f t="shared" si="32"/>
        <v>978</v>
      </c>
      <c r="V88" s="6">
        <f t="shared" si="45"/>
        <v>130</v>
      </c>
      <c r="W88" s="6">
        <f t="shared" si="33"/>
        <v>1108</v>
      </c>
      <c r="X88" s="6">
        <f t="shared" si="34"/>
        <v>978</v>
      </c>
      <c r="Y88" s="6">
        <f t="shared" si="35"/>
        <v>0</v>
      </c>
      <c r="Z88" s="6">
        <f t="shared" si="36"/>
        <v>130</v>
      </c>
      <c r="AA88" s="6">
        <f t="shared" si="37"/>
        <v>4</v>
      </c>
      <c r="AB88" s="6">
        <f t="shared" si="38"/>
        <v>126</v>
      </c>
      <c r="AC88" s="5">
        <f t="shared" si="39"/>
        <v>3.0674846625766872E-3</v>
      </c>
      <c r="AD88" s="5">
        <f t="shared" si="40"/>
        <v>1</v>
      </c>
      <c r="AE88" s="5">
        <f t="shared" si="41"/>
        <v>1</v>
      </c>
      <c r="AF88" s="5">
        <f t="shared" si="42"/>
        <v>0.79249999999999998</v>
      </c>
      <c r="AG88" s="5">
        <f t="shared" si="43"/>
        <v>0.81499999999999995</v>
      </c>
    </row>
    <row r="89" spans="1:33">
      <c r="A89" s="4">
        <v>46179</v>
      </c>
      <c r="B89" s="3" t="s">
        <v>62</v>
      </c>
      <c r="C89" s="3">
        <v>7</v>
      </c>
      <c r="D89" s="6">
        <v>573</v>
      </c>
      <c r="E89" s="6">
        <v>490</v>
      </c>
      <c r="F89" s="6">
        <v>700</v>
      </c>
      <c r="G89" s="6">
        <f t="shared" si="23"/>
        <v>556</v>
      </c>
      <c r="H89" s="5">
        <v>1.0098583647573389</v>
      </c>
      <c r="I89" s="6">
        <f t="shared" si="24"/>
        <v>561</v>
      </c>
      <c r="J89" s="6">
        <f t="shared" si="44"/>
        <v>53</v>
      </c>
      <c r="K89" s="6">
        <f t="shared" si="25"/>
        <v>614</v>
      </c>
      <c r="L89" s="6">
        <f t="shared" si="26"/>
        <v>490</v>
      </c>
      <c r="M89" s="6">
        <f t="shared" si="27"/>
        <v>0</v>
      </c>
      <c r="N89" s="6">
        <f t="shared" si="28"/>
        <v>124</v>
      </c>
      <c r="O89" s="5">
        <v>1.7999999999999999E-2</v>
      </c>
      <c r="P89" s="6">
        <f t="shared" si="29"/>
        <v>2</v>
      </c>
      <c r="Q89" s="6">
        <f t="shared" si="30"/>
        <v>122</v>
      </c>
      <c r="R89" s="6">
        <v>103</v>
      </c>
      <c r="S89" s="6">
        <f t="shared" si="31"/>
        <v>522</v>
      </c>
      <c r="T89" s="5">
        <v>1.0111497536046004</v>
      </c>
      <c r="U89" s="6">
        <f t="shared" si="32"/>
        <v>528</v>
      </c>
      <c r="V89" s="6">
        <f t="shared" si="45"/>
        <v>154</v>
      </c>
      <c r="W89" s="6">
        <f t="shared" si="33"/>
        <v>682</v>
      </c>
      <c r="X89" s="6">
        <f t="shared" si="34"/>
        <v>490</v>
      </c>
      <c r="Y89" s="6">
        <f t="shared" si="35"/>
        <v>0</v>
      </c>
      <c r="Z89" s="6">
        <f t="shared" si="36"/>
        <v>192</v>
      </c>
      <c r="AA89" s="6">
        <f t="shared" si="37"/>
        <v>3</v>
      </c>
      <c r="AB89" s="6">
        <f t="shared" si="38"/>
        <v>189</v>
      </c>
      <c r="AC89" s="5">
        <f t="shared" si="39"/>
        <v>0.16938775510204082</v>
      </c>
      <c r="AD89" s="5">
        <f t="shared" si="40"/>
        <v>1</v>
      </c>
      <c r="AE89" s="5">
        <f t="shared" si="41"/>
        <v>1</v>
      </c>
      <c r="AF89" s="5">
        <f t="shared" si="42"/>
        <v>0.80142857142857138</v>
      </c>
      <c r="AG89" s="5">
        <f t="shared" si="43"/>
        <v>0.75428571428571434</v>
      </c>
    </row>
    <row r="90" spans="1:33">
      <c r="A90" s="4">
        <v>46179</v>
      </c>
      <c r="B90" s="3" t="s">
        <v>63</v>
      </c>
      <c r="C90" s="3">
        <v>7</v>
      </c>
      <c r="D90" s="6">
        <v>455</v>
      </c>
      <c r="E90" s="6">
        <v>521</v>
      </c>
      <c r="F90" s="6">
        <v>560</v>
      </c>
      <c r="G90" s="6">
        <f t="shared" si="23"/>
        <v>441</v>
      </c>
      <c r="H90" s="5">
        <v>0.98645572331935549</v>
      </c>
      <c r="I90" s="6">
        <f t="shared" si="24"/>
        <v>435</v>
      </c>
      <c r="J90" s="6">
        <f t="shared" si="44"/>
        <v>24</v>
      </c>
      <c r="K90" s="6">
        <f t="shared" si="25"/>
        <v>459</v>
      </c>
      <c r="L90" s="6">
        <f t="shared" si="26"/>
        <v>459</v>
      </c>
      <c r="M90" s="6">
        <f t="shared" si="27"/>
        <v>62</v>
      </c>
      <c r="N90" s="6">
        <f t="shared" si="28"/>
        <v>0</v>
      </c>
      <c r="O90" s="5">
        <v>0.02</v>
      </c>
      <c r="P90" s="6">
        <f t="shared" si="29"/>
        <v>0</v>
      </c>
      <c r="Q90" s="6">
        <f t="shared" si="30"/>
        <v>0</v>
      </c>
      <c r="R90" s="6">
        <v>82</v>
      </c>
      <c r="S90" s="6">
        <f t="shared" si="31"/>
        <v>439</v>
      </c>
      <c r="T90" s="5">
        <v>1.0110660617732563</v>
      </c>
      <c r="U90" s="6">
        <f t="shared" si="32"/>
        <v>444</v>
      </c>
      <c r="V90" s="6">
        <f t="shared" si="45"/>
        <v>98</v>
      </c>
      <c r="W90" s="6">
        <f t="shared" si="33"/>
        <v>542</v>
      </c>
      <c r="X90" s="6">
        <f t="shared" si="34"/>
        <v>521</v>
      </c>
      <c r="Y90" s="6">
        <f t="shared" si="35"/>
        <v>0</v>
      </c>
      <c r="Z90" s="6">
        <f t="shared" si="36"/>
        <v>21</v>
      </c>
      <c r="AA90" s="6">
        <f t="shared" si="37"/>
        <v>0</v>
      </c>
      <c r="AB90" s="6">
        <f t="shared" si="38"/>
        <v>21</v>
      </c>
      <c r="AC90" s="5">
        <f t="shared" si="39"/>
        <v>0.12667946257197696</v>
      </c>
      <c r="AD90" s="5">
        <f t="shared" si="40"/>
        <v>0.88099808061420348</v>
      </c>
      <c r="AE90" s="5">
        <f t="shared" si="41"/>
        <v>1</v>
      </c>
      <c r="AF90" s="5">
        <f t="shared" si="42"/>
        <v>0.7767857142857143</v>
      </c>
      <c r="AG90" s="5">
        <f t="shared" si="43"/>
        <v>0.79285714285714282</v>
      </c>
    </row>
    <row r="91" spans="1:33">
      <c r="A91" s="4">
        <v>46179</v>
      </c>
      <c r="B91" s="3" t="s">
        <v>64</v>
      </c>
      <c r="C91" s="3">
        <v>5</v>
      </c>
      <c r="D91" s="6">
        <v>180</v>
      </c>
      <c r="E91" s="6">
        <v>196</v>
      </c>
      <c r="F91" s="6">
        <v>230</v>
      </c>
      <c r="G91" s="6">
        <f t="shared" si="23"/>
        <v>175</v>
      </c>
      <c r="H91" s="5">
        <v>0.98889517414407679</v>
      </c>
      <c r="I91" s="6">
        <f t="shared" si="24"/>
        <v>173</v>
      </c>
      <c r="J91" s="6">
        <f t="shared" si="44"/>
        <v>17</v>
      </c>
      <c r="K91" s="6">
        <f t="shared" si="25"/>
        <v>190</v>
      </c>
      <c r="L91" s="6">
        <f t="shared" si="26"/>
        <v>190</v>
      </c>
      <c r="M91" s="6">
        <f t="shared" si="27"/>
        <v>6</v>
      </c>
      <c r="N91" s="6">
        <f t="shared" si="28"/>
        <v>0</v>
      </c>
      <c r="O91" s="5">
        <v>2.5000000000000001E-2</v>
      </c>
      <c r="P91" s="6">
        <f t="shared" si="29"/>
        <v>0</v>
      </c>
      <c r="Q91" s="6">
        <f t="shared" si="30"/>
        <v>0</v>
      </c>
      <c r="R91" s="6">
        <v>36</v>
      </c>
      <c r="S91" s="6">
        <f t="shared" si="31"/>
        <v>158</v>
      </c>
      <c r="T91" s="5">
        <v>1.0186593747832642</v>
      </c>
      <c r="U91" s="6">
        <f t="shared" si="32"/>
        <v>161</v>
      </c>
      <c r="V91" s="6">
        <f t="shared" si="45"/>
        <v>58</v>
      </c>
      <c r="W91" s="6">
        <f t="shared" si="33"/>
        <v>219</v>
      </c>
      <c r="X91" s="6">
        <f t="shared" si="34"/>
        <v>196</v>
      </c>
      <c r="Y91" s="6">
        <f t="shared" si="35"/>
        <v>0</v>
      </c>
      <c r="Z91" s="6">
        <f t="shared" si="36"/>
        <v>23</v>
      </c>
      <c r="AA91" s="6">
        <f t="shared" si="37"/>
        <v>1</v>
      </c>
      <c r="AB91" s="6">
        <f t="shared" si="38"/>
        <v>22</v>
      </c>
      <c r="AC91" s="5">
        <f t="shared" si="39"/>
        <v>8.1632653061224483E-2</v>
      </c>
      <c r="AD91" s="5">
        <f t="shared" si="40"/>
        <v>0.96938775510204078</v>
      </c>
      <c r="AE91" s="5">
        <f t="shared" si="41"/>
        <v>1</v>
      </c>
      <c r="AF91" s="5">
        <f t="shared" si="42"/>
        <v>0.75217391304347825</v>
      </c>
      <c r="AG91" s="5">
        <f t="shared" si="43"/>
        <v>0.7</v>
      </c>
    </row>
    <row r="92" spans="1:33">
      <c r="A92" s="4">
        <v>46180</v>
      </c>
      <c r="B92" s="3" t="s">
        <v>60</v>
      </c>
      <c r="C92" s="3">
        <v>2</v>
      </c>
      <c r="D92" s="6">
        <v>1916</v>
      </c>
      <c r="E92" s="6">
        <v>1593</v>
      </c>
      <c r="F92" s="6">
        <v>2250</v>
      </c>
      <c r="G92" s="6">
        <f t="shared" si="23"/>
        <v>1859</v>
      </c>
      <c r="H92" s="5">
        <v>1.0169886905155878</v>
      </c>
      <c r="I92" s="6">
        <f t="shared" si="24"/>
        <v>1891</v>
      </c>
      <c r="J92" s="6">
        <f t="shared" si="44"/>
        <v>831</v>
      </c>
      <c r="K92" s="6">
        <f t="shared" si="25"/>
        <v>2722</v>
      </c>
      <c r="L92" s="6">
        <f t="shared" si="26"/>
        <v>1593</v>
      </c>
      <c r="M92" s="6">
        <f t="shared" si="27"/>
        <v>0</v>
      </c>
      <c r="N92" s="6">
        <f t="shared" si="28"/>
        <v>1129</v>
      </c>
      <c r="O92" s="5">
        <v>2.5000000000000001E-2</v>
      </c>
      <c r="P92" s="6">
        <f t="shared" si="29"/>
        <v>28</v>
      </c>
      <c r="Q92" s="6">
        <f t="shared" si="30"/>
        <v>1101</v>
      </c>
      <c r="R92" s="6">
        <v>230</v>
      </c>
      <c r="S92" s="6">
        <f t="shared" si="31"/>
        <v>1575</v>
      </c>
      <c r="T92" s="5">
        <v>1.0081675163506731</v>
      </c>
      <c r="U92" s="6">
        <f t="shared" si="32"/>
        <v>1588</v>
      </c>
      <c r="V92" s="6">
        <f t="shared" si="45"/>
        <v>571</v>
      </c>
      <c r="W92" s="6">
        <f t="shared" si="33"/>
        <v>2159</v>
      </c>
      <c r="X92" s="6">
        <f t="shared" si="34"/>
        <v>1593</v>
      </c>
      <c r="Y92" s="6">
        <f t="shared" si="35"/>
        <v>0</v>
      </c>
      <c r="Z92" s="6">
        <f t="shared" si="36"/>
        <v>566</v>
      </c>
      <c r="AA92" s="6">
        <f t="shared" si="37"/>
        <v>14</v>
      </c>
      <c r="AB92" s="6">
        <f t="shared" si="38"/>
        <v>552</v>
      </c>
      <c r="AC92" s="5">
        <f t="shared" si="39"/>
        <v>0.20276208411801633</v>
      </c>
      <c r="AD92" s="5">
        <f t="shared" si="40"/>
        <v>1</v>
      </c>
      <c r="AE92" s="5">
        <f t="shared" si="41"/>
        <v>1</v>
      </c>
      <c r="AF92" s="5">
        <f t="shared" si="42"/>
        <v>0.84044444444444444</v>
      </c>
      <c r="AG92" s="5">
        <f t="shared" si="43"/>
        <v>0.70577777777777773</v>
      </c>
    </row>
    <row r="93" spans="1:33">
      <c r="A93" s="4">
        <v>46180</v>
      </c>
      <c r="B93" s="3" t="s">
        <v>61</v>
      </c>
      <c r="C93" s="3">
        <v>2</v>
      </c>
      <c r="D93" s="6">
        <v>958</v>
      </c>
      <c r="E93" s="6">
        <v>943</v>
      </c>
      <c r="F93" s="6">
        <v>1200</v>
      </c>
      <c r="G93" s="6">
        <f t="shared" si="23"/>
        <v>929</v>
      </c>
      <c r="H93" s="5">
        <v>1.005384190348702</v>
      </c>
      <c r="I93" s="6">
        <f t="shared" si="24"/>
        <v>934</v>
      </c>
      <c r="J93" s="6">
        <f t="shared" si="44"/>
        <v>199</v>
      </c>
      <c r="K93" s="6">
        <f t="shared" si="25"/>
        <v>1133</v>
      </c>
      <c r="L93" s="6">
        <f t="shared" si="26"/>
        <v>943</v>
      </c>
      <c r="M93" s="6">
        <f t="shared" si="27"/>
        <v>0</v>
      </c>
      <c r="N93" s="6">
        <f t="shared" si="28"/>
        <v>190</v>
      </c>
      <c r="O93" s="5">
        <v>0.03</v>
      </c>
      <c r="P93" s="6">
        <f t="shared" si="29"/>
        <v>6</v>
      </c>
      <c r="Q93" s="6">
        <f t="shared" si="30"/>
        <v>184</v>
      </c>
      <c r="R93" s="6">
        <v>115</v>
      </c>
      <c r="S93" s="6">
        <f t="shared" si="31"/>
        <v>947</v>
      </c>
      <c r="T93" s="5">
        <v>0.98911821327130933</v>
      </c>
      <c r="U93" s="6">
        <f t="shared" si="32"/>
        <v>937</v>
      </c>
      <c r="V93" s="6">
        <f t="shared" si="45"/>
        <v>126</v>
      </c>
      <c r="W93" s="6">
        <f t="shared" si="33"/>
        <v>1063</v>
      </c>
      <c r="X93" s="6">
        <f t="shared" si="34"/>
        <v>943</v>
      </c>
      <c r="Y93" s="6">
        <f t="shared" si="35"/>
        <v>0</v>
      </c>
      <c r="Z93" s="6">
        <f t="shared" si="36"/>
        <v>120</v>
      </c>
      <c r="AA93" s="6">
        <f t="shared" si="37"/>
        <v>4</v>
      </c>
      <c r="AB93" s="6">
        <f t="shared" si="38"/>
        <v>116</v>
      </c>
      <c r="AC93" s="5">
        <f t="shared" si="39"/>
        <v>1.5906680805938492E-2</v>
      </c>
      <c r="AD93" s="5">
        <f t="shared" si="40"/>
        <v>1</v>
      </c>
      <c r="AE93" s="5">
        <f t="shared" si="41"/>
        <v>1</v>
      </c>
      <c r="AF93" s="5">
        <f t="shared" si="42"/>
        <v>0.77833333333333332</v>
      </c>
      <c r="AG93" s="5">
        <f t="shared" si="43"/>
        <v>0.78083333333333338</v>
      </c>
    </row>
    <row r="94" spans="1:33">
      <c r="A94" s="4">
        <v>46180</v>
      </c>
      <c r="B94" s="3" t="s">
        <v>62</v>
      </c>
      <c r="C94" s="3">
        <v>7</v>
      </c>
      <c r="D94" s="6">
        <v>584</v>
      </c>
      <c r="E94" s="6">
        <v>496</v>
      </c>
      <c r="F94" s="6">
        <v>700</v>
      </c>
      <c r="G94" s="6">
        <f t="shared" si="23"/>
        <v>566</v>
      </c>
      <c r="H94" s="5">
        <v>0.98786318234004999</v>
      </c>
      <c r="I94" s="6">
        <f t="shared" si="24"/>
        <v>559</v>
      </c>
      <c r="J94" s="6">
        <f t="shared" si="44"/>
        <v>122</v>
      </c>
      <c r="K94" s="6">
        <f t="shared" si="25"/>
        <v>681</v>
      </c>
      <c r="L94" s="6">
        <f t="shared" si="26"/>
        <v>496</v>
      </c>
      <c r="M94" s="6">
        <f t="shared" si="27"/>
        <v>0</v>
      </c>
      <c r="N94" s="6">
        <f t="shared" si="28"/>
        <v>185</v>
      </c>
      <c r="O94" s="5">
        <v>1.7999999999999999E-2</v>
      </c>
      <c r="P94" s="6">
        <f t="shared" si="29"/>
        <v>3</v>
      </c>
      <c r="Q94" s="6">
        <f t="shared" si="30"/>
        <v>182</v>
      </c>
      <c r="R94" s="6">
        <v>105</v>
      </c>
      <c r="S94" s="6">
        <f t="shared" si="31"/>
        <v>500</v>
      </c>
      <c r="T94" s="5">
        <v>1.0060530259180185</v>
      </c>
      <c r="U94" s="6">
        <f t="shared" si="32"/>
        <v>503</v>
      </c>
      <c r="V94" s="6">
        <f t="shared" si="45"/>
        <v>189</v>
      </c>
      <c r="W94" s="6">
        <f t="shared" si="33"/>
        <v>692</v>
      </c>
      <c r="X94" s="6">
        <f t="shared" si="34"/>
        <v>496</v>
      </c>
      <c r="Y94" s="6">
        <f t="shared" si="35"/>
        <v>0</v>
      </c>
      <c r="Z94" s="6">
        <f t="shared" si="36"/>
        <v>196</v>
      </c>
      <c r="AA94" s="6">
        <f t="shared" si="37"/>
        <v>4</v>
      </c>
      <c r="AB94" s="6">
        <f t="shared" si="38"/>
        <v>192</v>
      </c>
      <c r="AC94" s="5">
        <f t="shared" si="39"/>
        <v>0.17741935483870969</v>
      </c>
      <c r="AD94" s="5">
        <f t="shared" si="40"/>
        <v>1</v>
      </c>
      <c r="AE94" s="5">
        <f t="shared" si="41"/>
        <v>1</v>
      </c>
      <c r="AF94" s="5">
        <f t="shared" si="42"/>
        <v>0.7985714285714286</v>
      </c>
      <c r="AG94" s="5">
        <f t="shared" si="43"/>
        <v>0.71857142857142853</v>
      </c>
    </row>
    <row r="95" spans="1:33">
      <c r="A95" s="4">
        <v>46180</v>
      </c>
      <c r="B95" s="3" t="s">
        <v>63</v>
      </c>
      <c r="C95" s="3">
        <v>7</v>
      </c>
      <c r="D95" s="6">
        <v>467</v>
      </c>
      <c r="E95" s="6">
        <v>450</v>
      </c>
      <c r="F95" s="6">
        <v>560</v>
      </c>
      <c r="G95" s="6">
        <f t="shared" si="23"/>
        <v>453</v>
      </c>
      <c r="H95" s="5">
        <v>0.99913089189325321</v>
      </c>
      <c r="I95" s="6">
        <f t="shared" si="24"/>
        <v>453</v>
      </c>
      <c r="J95" s="6">
        <f t="shared" si="44"/>
        <v>0</v>
      </c>
      <c r="K95" s="6">
        <f t="shared" si="25"/>
        <v>453</v>
      </c>
      <c r="L95" s="6">
        <f t="shared" si="26"/>
        <v>450</v>
      </c>
      <c r="M95" s="6">
        <f t="shared" si="27"/>
        <v>0</v>
      </c>
      <c r="N95" s="6">
        <f t="shared" si="28"/>
        <v>3</v>
      </c>
      <c r="O95" s="5">
        <v>0.02</v>
      </c>
      <c r="P95" s="6">
        <f t="shared" si="29"/>
        <v>0</v>
      </c>
      <c r="Q95" s="6">
        <f t="shared" si="30"/>
        <v>3</v>
      </c>
      <c r="R95" s="6">
        <v>84</v>
      </c>
      <c r="S95" s="6">
        <f t="shared" si="31"/>
        <v>530</v>
      </c>
      <c r="T95" s="5">
        <v>0.99651454269113449</v>
      </c>
      <c r="U95" s="6">
        <f t="shared" si="32"/>
        <v>528</v>
      </c>
      <c r="V95" s="6">
        <f t="shared" si="45"/>
        <v>21</v>
      </c>
      <c r="W95" s="6">
        <f t="shared" si="33"/>
        <v>549</v>
      </c>
      <c r="X95" s="6">
        <f t="shared" si="34"/>
        <v>450</v>
      </c>
      <c r="Y95" s="6">
        <f t="shared" si="35"/>
        <v>0</v>
      </c>
      <c r="Z95" s="6">
        <f t="shared" si="36"/>
        <v>99</v>
      </c>
      <c r="AA95" s="6">
        <f t="shared" si="37"/>
        <v>2</v>
      </c>
      <c r="AB95" s="6">
        <f t="shared" si="38"/>
        <v>97</v>
      </c>
      <c r="AC95" s="5">
        <f t="shared" si="39"/>
        <v>3.7777777777777778E-2</v>
      </c>
      <c r="AD95" s="5">
        <f t="shared" si="40"/>
        <v>1</v>
      </c>
      <c r="AE95" s="5">
        <f t="shared" si="41"/>
        <v>1</v>
      </c>
      <c r="AF95" s="5">
        <f t="shared" si="42"/>
        <v>0.80892857142857144</v>
      </c>
      <c r="AG95" s="5">
        <f t="shared" si="43"/>
        <v>0.94285714285714284</v>
      </c>
    </row>
    <row r="96" spans="1:33">
      <c r="A96" s="4">
        <v>46180</v>
      </c>
      <c r="B96" s="3" t="s">
        <v>64</v>
      </c>
      <c r="C96" s="3">
        <v>5</v>
      </c>
      <c r="D96" s="6">
        <v>185</v>
      </c>
      <c r="E96" s="6">
        <v>152</v>
      </c>
      <c r="F96" s="6">
        <v>230</v>
      </c>
      <c r="G96" s="6">
        <f t="shared" si="23"/>
        <v>179</v>
      </c>
      <c r="H96" s="5">
        <v>1.002184059411642</v>
      </c>
      <c r="I96" s="6">
        <f t="shared" si="24"/>
        <v>179</v>
      </c>
      <c r="J96" s="6">
        <f t="shared" si="44"/>
        <v>0</v>
      </c>
      <c r="K96" s="6">
        <f t="shared" si="25"/>
        <v>179</v>
      </c>
      <c r="L96" s="6">
        <f t="shared" si="26"/>
        <v>152</v>
      </c>
      <c r="M96" s="6">
        <f t="shared" si="27"/>
        <v>0</v>
      </c>
      <c r="N96" s="6">
        <f t="shared" si="28"/>
        <v>27</v>
      </c>
      <c r="O96" s="5">
        <v>2.5000000000000001E-2</v>
      </c>
      <c r="P96" s="6">
        <f t="shared" si="29"/>
        <v>1</v>
      </c>
      <c r="Q96" s="6">
        <f t="shared" si="30"/>
        <v>26</v>
      </c>
      <c r="R96" s="6">
        <v>37</v>
      </c>
      <c r="S96" s="6">
        <f t="shared" si="31"/>
        <v>200</v>
      </c>
      <c r="T96" s="5">
        <v>1.0007962443134015</v>
      </c>
      <c r="U96" s="6">
        <f t="shared" si="32"/>
        <v>200</v>
      </c>
      <c r="V96" s="6">
        <f t="shared" si="45"/>
        <v>22</v>
      </c>
      <c r="W96" s="6">
        <f t="shared" si="33"/>
        <v>222</v>
      </c>
      <c r="X96" s="6">
        <f t="shared" si="34"/>
        <v>152</v>
      </c>
      <c r="Y96" s="6">
        <f t="shared" si="35"/>
        <v>0</v>
      </c>
      <c r="Z96" s="6">
        <f t="shared" si="36"/>
        <v>70</v>
      </c>
      <c r="AA96" s="6">
        <f t="shared" si="37"/>
        <v>2</v>
      </c>
      <c r="AB96" s="6">
        <f t="shared" si="38"/>
        <v>68</v>
      </c>
      <c r="AC96" s="5">
        <f t="shared" si="39"/>
        <v>0.21710526315789475</v>
      </c>
      <c r="AD96" s="5">
        <f t="shared" si="40"/>
        <v>1</v>
      </c>
      <c r="AE96" s="5">
        <f t="shared" si="41"/>
        <v>1</v>
      </c>
      <c r="AF96" s="5">
        <f t="shared" si="42"/>
        <v>0.77826086956521734</v>
      </c>
      <c r="AG96" s="5">
        <f t="shared" si="43"/>
        <v>0.86956521739130432</v>
      </c>
    </row>
    <row r="97" spans="1:33">
      <c r="A97" s="4">
        <v>46181</v>
      </c>
      <c r="B97" s="3" t="s">
        <v>60</v>
      </c>
      <c r="C97" s="3">
        <v>2</v>
      </c>
      <c r="D97" s="6">
        <v>1643</v>
      </c>
      <c r="E97" s="6">
        <v>1373</v>
      </c>
      <c r="F97" s="6">
        <v>2250</v>
      </c>
      <c r="G97" s="6">
        <f t="shared" si="23"/>
        <v>1594</v>
      </c>
      <c r="H97" s="5">
        <v>1.0037120869401954</v>
      </c>
      <c r="I97" s="6">
        <f t="shared" si="24"/>
        <v>1600</v>
      </c>
      <c r="J97" s="6">
        <f t="shared" si="44"/>
        <v>1101</v>
      </c>
      <c r="K97" s="6">
        <f t="shared" si="25"/>
        <v>2701</v>
      </c>
      <c r="L97" s="6">
        <f t="shared" si="26"/>
        <v>1373</v>
      </c>
      <c r="M97" s="6">
        <f t="shared" si="27"/>
        <v>0</v>
      </c>
      <c r="N97" s="6">
        <f t="shared" si="28"/>
        <v>1328</v>
      </c>
      <c r="O97" s="5">
        <v>2.5000000000000001E-2</v>
      </c>
      <c r="P97" s="6">
        <f t="shared" si="29"/>
        <v>33</v>
      </c>
      <c r="Q97" s="6">
        <f t="shared" si="30"/>
        <v>1295</v>
      </c>
      <c r="R97" s="6">
        <v>197</v>
      </c>
      <c r="S97" s="6">
        <f t="shared" si="31"/>
        <v>1288</v>
      </c>
      <c r="T97" s="5">
        <v>0.99448997052072563</v>
      </c>
      <c r="U97" s="6">
        <f t="shared" si="32"/>
        <v>1281</v>
      </c>
      <c r="V97" s="6">
        <f t="shared" si="45"/>
        <v>552</v>
      </c>
      <c r="W97" s="6">
        <f t="shared" si="33"/>
        <v>1833</v>
      </c>
      <c r="X97" s="6">
        <f t="shared" si="34"/>
        <v>1373</v>
      </c>
      <c r="Y97" s="6">
        <f t="shared" si="35"/>
        <v>0</v>
      </c>
      <c r="Z97" s="6">
        <f t="shared" si="36"/>
        <v>460</v>
      </c>
      <c r="AA97" s="6">
        <f t="shared" si="37"/>
        <v>12</v>
      </c>
      <c r="AB97" s="6">
        <f t="shared" si="38"/>
        <v>448</v>
      </c>
      <c r="AC97" s="5">
        <f t="shared" si="39"/>
        <v>0.19664967225054625</v>
      </c>
      <c r="AD97" s="5">
        <f t="shared" si="40"/>
        <v>1</v>
      </c>
      <c r="AE97" s="5">
        <f t="shared" si="41"/>
        <v>1</v>
      </c>
      <c r="AF97" s="5">
        <f t="shared" si="42"/>
        <v>0.71111111111111114</v>
      </c>
      <c r="AG97" s="5">
        <f t="shared" si="43"/>
        <v>0.56933333333333336</v>
      </c>
    </row>
    <row r="98" spans="1:33">
      <c r="A98" s="4">
        <v>46181</v>
      </c>
      <c r="B98" s="3" t="s">
        <v>61</v>
      </c>
      <c r="C98" s="3">
        <v>2</v>
      </c>
      <c r="D98" s="6">
        <v>813</v>
      </c>
      <c r="E98" s="6">
        <v>717</v>
      </c>
      <c r="F98" s="6">
        <v>1200</v>
      </c>
      <c r="G98" s="6">
        <f t="shared" si="23"/>
        <v>789</v>
      </c>
      <c r="H98" s="5">
        <v>1.0123300465698624</v>
      </c>
      <c r="I98" s="6">
        <f t="shared" si="24"/>
        <v>799</v>
      </c>
      <c r="J98" s="6">
        <f t="shared" si="44"/>
        <v>184</v>
      </c>
      <c r="K98" s="6">
        <f t="shared" si="25"/>
        <v>983</v>
      </c>
      <c r="L98" s="6">
        <f t="shared" si="26"/>
        <v>717</v>
      </c>
      <c r="M98" s="6">
        <f t="shared" si="27"/>
        <v>0</v>
      </c>
      <c r="N98" s="6">
        <f t="shared" si="28"/>
        <v>266</v>
      </c>
      <c r="O98" s="5">
        <v>0.03</v>
      </c>
      <c r="P98" s="6">
        <f t="shared" si="29"/>
        <v>8</v>
      </c>
      <c r="Q98" s="6">
        <f t="shared" si="30"/>
        <v>258</v>
      </c>
      <c r="R98" s="6">
        <v>98</v>
      </c>
      <c r="S98" s="6">
        <f t="shared" si="31"/>
        <v>795</v>
      </c>
      <c r="T98" s="5">
        <v>1.0039835608252516</v>
      </c>
      <c r="U98" s="6">
        <f t="shared" si="32"/>
        <v>798</v>
      </c>
      <c r="V98" s="6">
        <f t="shared" si="45"/>
        <v>116</v>
      </c>
      <c r="W98" s="6">
        <f t="shared" si="33"/>
        <v>914</v>
      </c>
      <c r="X98" s="6">
        <f t="shared" si="34"/>
        <v>717</v>
      </c>
      <c r="Y98" s="6">
        <f t="shared" si="35"/>
        <v>0</v>
      </c>
      <c r="Z98" s="6">
        <f t="shared" si="36"/>
        <v>197</v>
      </c>
      <c r="AA98" s="6">
        <f t="shared" si="37"/>
        <v>6</v>
      </c>
      <c r="AB98" s="6">
        <f t="shared" si="38"/>
        <v>191</v>
      </c>
      <c r="AC98" s="5">
        <f t="shared" si="39"/>
        <v>0.13389121338912133</v>
      </c>
      <c r="AD98" s="5">
        <f t="shared" si="40"/>
        <v>1</v>
      </c>
      <c r="AE98" s="5">
        <f t="shared" si="41"/>
        <v>1</v>
      </c>
      <c r="AF98" s="5">
        <f t="shared" si="42"/>
        <v>0.66583333333333339</v>
      </c>
      <c r="AG98" s="5">
        <f t="shared" si="43"/>
        <v>0.66500000000000004</v>
      </c>
    </row>
    <row r="99" spans="1:33">
      <c r="A99" s="4">
        <v>46181</v>
      </c>
      <c r="B99" s="3" t="s">
        <v>62</v>
      </c>
      <c r="C99" s="3">
        <v>7</v>
      </c>
      <c r="D99" s="6">
        <v>468</v>
      </c>
      <c r="E99" s="6">
        <v>504</v>
      </c>
      <c r="F99" s="6">
        <v>700</v>
      </c>
      <c r="G99" s="6">
        <f t="shared" si="23"/>
        <v>454</v>
      </c>
      <c r="H99" s="5">
        <v>0.98433090739814921</v>
      </c>
      <c r="I99" s="6">
        <f t="shared" si="24"/>
        <v>447</v>
      </c>
      <c r="J99" s="6">
        <f t="shared" si="44"/>
        <v>182</v>
      </c>
      <c r="K99" s="6">
        <f t="shared" si="25"/>
        <v>629</v>
      </c>
      <c r="L99" s="6">
        <f t="shared" si="26"/>
        <v>504</v>
      </c>
      <c r="M99" s="6">
        <f t="shared" si="27"/>
        <v>0</v>
      </c>
      <c r="N99" s="6">
        <f t="shared" si="28"/>
        <v>125</v>
      </c>
      <c r="O99" s="5">
        <v>1.7999999999999999E-2</v>
      </c>
      <c r="P99" s="6">
        <f t="shared" si="29"/>
        <v>2</v>
      </c>
      <c r="Q99" s="6">
        <f t="shared" si="30"/>
        <v>123</v>
      </c>
      <c r="R99" s="6">
        <v>84</v>
      </c>
      <c r="S99" s="6">
        <f t="shared" si="31"/>
        <v>360</v>
      </c>
      <c r="T99" s="5">
        <v>0.98269645015246365</v>
      </c>
      <c r="U99" s="6">
        <f t="shared" si="32"/>
        <v>354</v>
      </c>
      <c r="V99" s="6">
        <f t="shared" si="45"/>
        <v>192</v>
      </c>
      <c r="W99" s="6">
        <f t="shared" si="33"/>
        <v>546</v>
      </c>
      <c r="X99" s="6">
        <f t="shared" si="34"/>
        <v>504</v>
      </c>
      <c r="Y99" s="6">
        <f t="shared" si="35"/>
        <v>0</v>
      </c>
      <c r="Z99" s="6">
        <f t="shared" si="36"/>
        <v>42</v>
      </c>
      <c r="AA99" s="6">
        <f t="shared" si="37"/>
        <v>1</v>
      </c>
      <c r="AB99" s="6">
        <f t="shared" si="38"/>
        <v>41</v>
      </c>
      <c r="AC99" s="5">
        <f t="shared" si="39"/>
        <v>7.1428571428571425E-2</v>
      </c>
      <c r="AD99" s="5">
        <f t="shared" si="40"/>
        <v>1</v>
      </c>
      <c r="AE99" s="5">
        <f t="shared" si="41"/>
        <v>1</v>
      </c>
      <c r="AF99" s="5">
        <f t="shared" si="42"/>
        <v>0.63857142857142857</v>
      </c>
      <c r="AG99" s="5">
        <f t="shared" si="43"/>
        <v>0.50571428571428567</v>
      </c>
    </row>
    <row r="100" spans="1:33">
      <c r="A100" s="4">
        <v>46181</v>
      </c>
      <c r="B100" s="3" t="s">
        <v>63</v>
      </c>
      <c r="C100" s="3">
        <v>7</v>
      </c>
      <c r="D100" s="6">
        <v>362</v>
      </c>
      <c r="E100" s="6">
        <v>384</v>
      </c>
      <c r="F100" s="6">
        <v>560</v>
      </c>
      <c r="G100" s="6">
        <f t="shared" si="23"/>
        <v>351</v>
      </c>
      <c r="H100" s="5">
        <v>0.99464158588624763</v>
      </c>
      <c r="I100" s="6">
        <f t="shared" si="24"/>
        <v>349</v>
      </c>
      <c r="J100" s="6">
        <f t="shared" si="44"/>
        <v>3</v>
      </c>
      <c r="K100" s="6">
        <f t="shared" si="25"/>
        <v>352</v>
      </c>
      <c r="L100" s="6">
        <f t="shared" si="26"/>
        <v>352</v>
      </c>
      <c r="M100" s="6">
        <f t="shared" si="27"/>
        <v>32</v>
      </c>
      <c r="N100" s="6">
        <f t="shared" si="28"/>
        <v>0</v>
      </c>
      <c r="O100" s="5">
        <v>0.02</v>
      </c>
      <c r="P100" s="6">
        <f t="shared" si="29"/>
        <v>0</v>
      </c>
      <c r="Q100" s="6">
        <f t="shared" si="30"/>
        <v>0</v>
      </c>
      <c r="R100" s="6">
        <v>65</v>
      </c>
      <c r="S100" s="6">
        <f t="shared" si="31"/>
        <v>330</v>
      </c>
      <c r="T100" s="5">
        <v>0.98455280166440173</v>
      </c>
      <c r="U100" s="6">
        <f t="shared" si="32"/>
        <v>325</v>
      </c>
      <c r="V100" s="6">
        <f t="shared" si="45"/>
        <v>97</v>
      </c>
      <c r="W100" s="6">
        <f t="shared" si="33"/>
        <v>422</v>
      </c>
      <c r="X100" s="6">
        <f t="shared" si="34"/>
        <v>384</v>
      </c>
      <c r="Y100" s="6">
        <f t="shared" si="35"/>
        <v>0</v>
      </c>
      <c r="Z100" s="6">
        <f t="shared" si="36"/>
        <v>38</v>
      </c>
      <c r="AA100" s="6">
        <f t="shared" si="37"/>
        <v>1</v>
      </c>
      <c r="AB100" s="6">
        <f t="shared" si="38"/>
        <v>37</v>
      </c>
      <c r="AC100" s="5">
        <f t="shared" si="39"/>
        <v>5.7291666666666664E-2</v>
      </c>
      <c r="AD100" s="5">
        <f t="shared" si="40"/>
        <v>0.91666666666666663</v>
      </c>
      <c r="AE100" s="5">
        <f t="shared" si="41"/>
        <v>1</v>
      </c>
      <c r="AF100" s="5">
        <f t="shared" si="42"/>
        <v>0.62321428571428572</v>
      </c>
      <c r="AG100" s="5">
        <f t="shared" si="43"/>
        <v>0.5803571428571429</v>
      </c>
    </row>
    <row r="101" spans="1:33">
      <c r="A101" s="4">
        <v>46181</v>
      </c>
      <c r="B101" s="3" t="s">
        <v>64</v>
      </c>
      <c r="C101" s="3">
        <v>5</v>
      </c>
      <c r="D101" s="6">
        <v>148</v>
      </c>
      <c r="E101" s="6">
        <v>125</v>
      </c>
      <c r="F101" s="6">
        <v>230</v>
      </c>
      <c r="G101" s="6">
        <f t="shared" si="23"/>
        <v>144</v>
      </c>
      <c r="H101" s="5">
        <v>1.0160820418800831</v>
      </c>
      <c r="I101" s="6">
        <f t="shared" si="24"/>
        <v>146</v>
      </c>
      <c r="J101" s="6">
        <f t="shared" si="44"/>
        <v>26</v>
      </c>
      <c r="K101" s="6">
        <f t="shared" si="25"/>
        <v>172</v>
      </c>
      <c r="L101" s="6">
        <f t="shared" si="26"/>
        <v>125</v>
      </c>
      <c r="M101" s="6">
        <f t="shared" si="27"/>
        <v>0</v>
      </c>
      <c r="N101" s="6">
        <f t="shared" si="28"/>
        <v>47</v>
      </c>
      <c r="O101" s="5">
        <v>2.5000000000000001E-2</v>
      </c>
      <c r="P101" s="6">
        <f t="shared" si="29"/>
        <v>1</v>
      </c>
      <c r="Q101" s="6">
        <f t="shared" si="30"/>
        <v>46</v>
      </c>
      <c r="R101" s="6">
        <v>30</v>
      </c>
      <c r="S101" s="6">
        <f t="shared" si="31"/>
        <v>110</v>
      </c>
      <c r="T101" s="5">
        <v>0.98245687915366375</v>
      </c>
      <c r="U101" s="6">
        <f t="shared" si="32"/>
        <v>108</v>
      </c>
      <c r="V101" s="6">
        <f t="shared" si="45"/>
        <v>68</v>
      </c>
      <c r="W101" s="6">
        <f t="shared" si="33"/>
        <v>176</v>
      </c>
      <c r="X101" s="6">
        <f t="shared" si="34"/>
        <v>125</v>
      </c>
      <c r="Y101" s="6">
        <f t="shared" si="35"/>
        <v>0</v>
      </c>
      <c r="Z101" s="6">
        <f t="shared" si="36"/>
        <v>51</v>
      </c>
      <c r="AA101" s="6">
        <f t="shared" si="37"/>
        <v>1</v>
      </c>
      <c r="AB101" s="6">
        <f t="shared" si="38"/>
        <v>50</v>
      </c>
      <c r="AC101" s="5">
        <f t="shared" si="39"/>
        <v>0.184</v>
      </c>
      <c r="AD101" s="5">
        <f t="shared" si="40"/>
        <v>1</v>
      </c>
      <c r="AE101" s="5">
        <f t="shared" si="41"/>
        <v>1</v>
      </c>
      <c r="AF101" s="5">
        <f t="shared" si="42"/>
        <v>0.63478260869565217</v>
      </c>
      <c r="AG101" s="5">
        <f t="shared" si="43"/>
        <v>0.46956521739130436</v>
      </c>
    </row>
    <row r="102" spans="1:33">
      <c r="A102" s="4">
        <v>46182</v>
      </c>
      <c r="B102" s="3" t="s">
        <v>60</v>
      </c>
      <c r="C102" s="3">
        <v>2</v>
      </c>
      <c r="D102" s="6">
        <v>1678</v>
      </c>
      <c r="E102" s="6">
        <v>1957</v>
      </c>
      <c r="F102" s="6">
        <v>2250</v>
      </c>
      <c r="G102" s="6">
        <f t="shared" si="23"/>
        <v>1628</v>
      </c>
      <c r="H102" s="5">
        <v>1.0136607763235468</v>
      </c>
      <c r="I102" s="6">
        <f t="shared" si="24"/>
        <v>1650</v>
      </c>
      <c r="J102" s="6">
        <f t="shared" si="44"/>
        <v>1295</v>
      </c>
      <c r="K102" s="6">
        <f t="shared" si="25"/>
        <v>2945</v>
      </c>
      <c r="L102" s="6">
        <f t="shared" si="26"/>
        <v>1957</v>
      </c>
      <c r="M102" s="6">
        <f t="shared" si="27"/>
        <v>0</v>
      </c>
      <c r="N102" s="6">
        <f t="shared" si="28"/>
        <v>988</v>
      </c>
      <c r="O102" s="5">
        <v>2.5000000000000001E-2</v>
      </c>
      <c r="P102" s="6">
        <f t="shared" si="29"/>
        <v>25</v>
      </c>
      <c r="Q102" s="6">
        <f t="shared" si="30"/>
        <v>963</v>
      </c>
      <c r="R102" s="6">
        <v>201</v>
      </c>
      <c r="S102" s="6">
        <f t="shared" si="31"/>
        <v>1431</v>
      </c>
      <c r="T102" s="5">
        <v>1.0149146317637181</v>
      </c>
      <c r="U102" s="6">
        <f t="shared" si="32"/>
        <v>1452</v>
      </c>
      <c r="V102" s="6">
        <f t="shared" si="45"/>
        <v>448</v>
      </c>
      <c r="W102" s="6">
        <f t="shared" si="33"/>
        <v>1900</v>
      </c>
      <c r="X102" s="6">
        <f t="shared" si="34"/>
        <v>1900</v>
      </c>
      <c r="Y102" s="6">
        <f t="shared" si="35"/>
        <v>57</v>
      </c>
      <c r="Z102" s="6">
        <f t="shared" si="36"/>
        <v>0</v>
      </c>
      <c r="AA102" s="6">
        <f t="shared" si="37"/>
        <v>0</v>
      </c>
      <c r="AB102" s="6">
        <f t="shared" si="38"/>
        <v>0</v>
      </c>
      <c r="AC102" s="5">
        <f t="shared" si="39"/>
        <v>0.14256515074092999</v>
      </c>
      <c r="AD102" s="5">
        <f t="shared" si="40"/>
        <v>1</v>
      </c>
      <c r="AE102" s="5">
        <f t="shared" si="41"/>
        <v>0.970873786407767</v>
      </c>
      <c r="AF102" s="5">
        <f t="shared" si="42"/>
        <v>0.73333333333333328</v>
      </c>
      <c r="AG102" s="5">
        <f t="shared" si="43"/>
        <v>0.64533333333333331</v>
      </c>
    </row>
    <row r="103" spans="1:33">
      <c r="A103" s="4">
        <v>46182</v>
      </c>
      <c r="B103" s="3" t="s">
        <v>61</v>
      </c>
      <c r="C103" s="3">
        <v>2</v>
      </c>
      <c r="D103" s="6">
        <v>839</v>
      </c>
      <c r="E103" s="6">
        <v>964</v>
      </c>
      <c r="F103" s="6">
        <v>1200</v>
      </c>
      <c r="G103" s="6">
        <f t="shared" si="23"/>
        <v>814</v>
      </c>
      <c r="H103" s="5">
        <v>0.98243997997741017</v>
      </c>
      <c r="I103" s="6">
        <f t="shared" si="24"/>
        <v>800</v>
      </c>
      <c r="J103" s="6">
        <f t="shared" si="44"/>
        <v>258</v>
      </c>
      <c r="K103" s="6">
        <f t="shared" si="25"/>
        <v>1058</v>
      </c>
      <c r="L103" s="6">
        <f t="shared" si="26"/>
        <v>964</v>
      </c>
      <c r="M103" s="6">
        <f t="shared" si="27"/>
        <v>0</v>
      </c>
      <c r="N103" s="6">
        <f t="shared" si="28"/>
        <v>94</v>
      </c>
      <c r="O103" s="5">
        <v>0.03</v>
      </c>
      <c r="P103" s="6">
        <f t="shared" si="29"/>
        <v>3</v>
      </c>
      <c r="Q103" s="6">
        <f t="shared" si="30"/>
        <v>91</v>
      </c>
      <c r="R103" s="6">
        <v>101</v>
      </c>
      <c r="S103" s="6">
        <f t="shared" si="31"/>
        <v>749</v>
      </c>
      <c r="T103" s="5">
        <v>0.98634274218622564</v>
      </c>
      <c r="U103" s="6">
        <f t="shared" si="32"/>
        <v>739</v>
      </c>
      <c r="V103" s="6">
        <f t="shared" si="45"/>
        <v>191</v>
      </c>
      <c r="W103" s="6">
        <f t="shared" si="33"/>
        <v>930</v>
      </c>
      <c r="X103" s="6">
        <f t="shared" si="34"/>
        <v>930</v>
      </c>
      <c r="Y103" s="6">
        <f t="shared" si="35"/>
        <v>34</v>
      </c>
      <c r="Z103" s="6">
        <f t="shared" si="36"/>
        <v>0</v>
      </c>
      <c r="AA103" s="6">
        <f t="shared" si="37"/>
        <v>0</v>
      </c>
      <c r="AB103" s="6">
        <f t="shared" si="38"/>
        <v>0</v>
      </c>
      <c r="AC103" s="5">
        <f t="shared" si="39"/>
        <v>0.12966804979253113</v>
      </c>
      <c r="AD103" s="5">
        <f t="shared" si="40"/>
        <v>1</v>
      </c>
      <c r="AE103" s="5">
        <f t="shared" si="41"/>
        <v>0.96473029045643155</v>
      </c>
      <c r="AF103" s="5">
        <f t="shared" si="42"/>
        <v>0.66666666666666663</v>
      </c>
      <c r="AG103" s="5">
        <f t="shared" si="43"/>
        <v>0.61583333333333334</v>
      </c>
    </row>
    <row r="104" spans="1:33">
      <c r="A104" s="4">
        <v>46182</v>
      </c>
      <c r="B104" s="3" t="s">
        <v>62</v>
      </c>
      <c r="C104" s="3">
        <v>7</v>
      </c>
      <c r="D104" s="6">
        <v>483</v>
      </c>
      <c r="E104" s="6">
        <v>550</v>
      </c>
      <c r="F104" s="6">
        <v>700</v>
      </c>
      <c r="G104" s="6">
        <f t="shared" si="23"/>
        <v>469</v>
      </c>
      <c r="H104" s="5">
        <v>0.99777573573530398</v>
      </c>
      <c r="I104" s="6">
        <f t="shared" si="24"/>
        <v>468</v>
      </c>
      <c r="J104" s="6">
        <f t="shared" si="44"/>
        <v>123</v>
      </c>
      <c r="K104" s="6">
        <f t="shared" si="25"/>
        <v>591</v>
      </c>
      <c r="L104" s="6">
        <f t="shared" si="26"/>
        <v>550</v>
      </c>
      <c r="M104" s="6">
        <f t="shared" si="27"/>
        <v>0</v>
      </c>
      <c r="N104" s="6">
        <f t="shared" si="28"/>
        <v>41</v>
      </c>
      <c r="O104" s="5">
        <v>1.7999999999999999E-2</v>
      </c>
      <c r="P104" s="6">
        <f t="shared" si="29"/>
        <v>1</v>
      </c>
      <c r="Q104" s="6">
        <f t="shared" si="30"/>
        <v>40</v>
      </c>
      <c r="R104" s="6">
        <v>87</v>
      </c>
      <c r="S104" s="6">
        <f t="shared" si="31"/>
        <v>529</v>
      </c>
      <c r="T104" s="5">
        <v>1.0172384024503807</v>
      </c>
      <c r="U104" s="6">
        <f t="shared" si="32"/>
        <v>538</v>
      </c>
      <c r="V104" s="6">
        <f t="shared" si="45"/>
        <v>41</v>
      </c>
      <c r="W104" s="6">
        <f t="shared" si="33"/>
        <v>579</v>
      </c>
      <c r="X104" s="6">
        <f t="shared" si="34"/>
        <v>550</v>
      </c>
      <c r="Y104" s="6">
        <f t="shared" si="35"/>
        <v>0</v>
      </c>
      <c r="Z104" s="6">
        <f t="shared" si="36"/>
        <v>29</v>
      </c>
      <c r="AA104" s="6">
        <f t="shared" si="37"/>
        <v>1</v>
      </c>
      <c r="AB104" s="6">
        <f t="shared" si="38"/>
        <v>28</v>
      </c>
      <c r="AC104" s="5">
        <f t="shared" si="39"/>
        <v>0.12181818181818181</v>
      </c>
      <c r="AD104" s="5">
        <f t="shared" si="40"/>
        <v>1</v>
      </c>
      <c r="AE104" s="5">
        <f t="shared" si="41"/>
        <v>1</v>
      </c>
      <c r="AF104" s="5">
        <f t="shared" si="42"/>
        <v>0.66857142857142859</v>
      </c>
      <c r="AG104" s="5">
        <f t="shared" si="43"/>
        <v>0.76857142857142857</v>
      </c>
    </row>
    <row r="105" spans="1:33">
      <c r="A105" s="4">
        <v>46182</v>
      </c>
      <c r="B105" s="3" t="s">
        <v>63</v>
      </c>
      <c r="C105" s="3">
        <v>7</v>
      </c>
      <c r="D105" s="6">
        <v>379</v>
      </c>
      <c r="E105" s="6">
        <v>392</v>
      </c>
      <c r="F105" s="6">
        <v>560</v>
      </c>
      <c r="G105" s="6">
        <f t="shared" si="23"/>
        <v>368</v>
      </c>
      <c r="H105" s="5">
        <v>0.99345324836630655</v>
      </c>
      <c r="I105" s="6">
        <f t="shared" si="24"/>
        <v>366</v>
      </c>
      <c r="J105" s="6">
        <f t="shared" si="44"/>
        <v>0</v>
      </c>
      <c r="K105" s="6">
        <f t="shared" si="25"/>
        <v>366</v>
      </c>
      <c r="L105" s="6">
        <f t="shared" si="26"/>
        <v>366</v>
      </c>
      <c r="M105" s="6">
        <f t="shared" si="27"/>
        <v>26</v>
      </c>
      <c r="N105" s="6">
        <f t="shared" si="28"/>
        <v>0</v>
      </c>
      <c r="O105" s="5">
        <v>0.02</v>
      </c>
      <c r="P105" s="6">
        <f t="shared" si="29"/>
        <v>0</v>
      </c>
      <c r="Q105" s="6">
        <f t="shared" si="30"/>
        <v>0</v>
      </c>
      <c r="R105" s="6">
        <v>68</v>
      </c>
      <c r="S105" s="6">
        <f t="shared" si="31"/>
        <v>410</v>
      </c>
      <c r="T105" s="5">
        <v>1.0018353650720742</v>
      </c>
      <c r="U105" s="6">
        <f t="shared" si="32"/>
        <v>411</v>
      </c>
      <c r="V105" s="6">
        <f t="shared" si="45"/>
        <v>37</v>
      </c>
      <c r="W105" s="6">
        <f t="shared" si="33"/>
        <v>448</v>
      </c>
      <c r="X105" s="6">
        <f t="shared" si="34"/>
        <v>392</v>
      </c>
      <c r="Y105" s="6">
        <f t="shared" si="35"/>
        <v>0</v>
      </c>
      <c r="Z105" s="6">
        <f t="shared" si="36"/>
        <v>56</v>
      </c>
      <c r="AA105" s="6">
        <f t="shared" si="37"/>
        <v>1</v>
      </c>
      <c r="AB105" s="6">
        <f t="shared" si="38"/>
        <v>55</v>
      </c>
      <c r="AC105" s="5">
        <f t="shared" si="39"/>
        <v>3.3163265306122451E-2</v>
      </c>
      <c r="AD105" s="5">
        <f t="shared" si="40"/>
        <v>0.93367346938775508</v>
      </c>
      <c r="AE105" s="5">
        <f t="shared" si="41"/>
        <v>1</v>
      </c>
      <c r="AF105" s="5">
        <f t="shared" si="42"/>
        <v>0.65357142857142858</v>
      </c>
      <c r="AG105" s="5">
        <f t="shared" si="43"/>
        <v>0.73392857142857137</v>
      </c>
    </row>
    <row r="106" spans="1:33">
      <c r="A106" s="4">
        <v>46182</v>
      </c>
      <c r="B106" s="3" t="s">
        <v>64</v>
      </c>
      <c r="C106" s="3">
        <v>5</v>
      </c>
      <c r="D106" s="6">
        <v>153</v>
      </c>
      <c r="E106" s="6">
        <v>168</v>
      </c>
      <c r="F106" s="6">
        <v>230</v>
      </c>
      <c r="G106" s="6">
        <f t="shared" si="23"/>
        <v>148</v>
      </c>
      <c r="H106" s="5">
        <v>1.0037483864833785</v>
      </c>
      <c r="I106" s="6">
        <f t="shared" si="24"/>
        <v>149</v>
      </c>
      <c r="J106" s="6">
        <f t="shared" si="44"/>
        <v>46</v>
      </c>
      <c r="K106" s="6">
        <f t="shared" si="25"/>
        <v>195</v>
      </c>
      <c r="L106" s="6">
        <f t="shared" si="26"/>
        <v>168</v>
      </c>
      <c r="M106" s="6">
        <f t="shared" si="27"/>
        <v>0</v>
      </c>
      <c r="N106" s="6">
        <f t="shared" si="28"/>
        <v>27</v>
      </c>
      <c r="O106" s="5">
        <v>2.5000000000000001E-2</v>
      </c>
      <c r="P106" s="6">
        <f t="shared" si="29"/>
        <v>1</v>
      </c>
      <c r="Q106" s="6">
        <f t="shared" si="30"/>
        <v>26</v>
      </c>
      <c r="R106" s="6">
        <v>31</v>
      </c>
      <c r="S106" s="6">
        <f t="shared" si="31"/>
        <v>134</v>
      </c>
      <c r="T106" s="5">
        <v>0.98571476544841341</v>
      </c>
      <c r="U106" s="6">
        <f t="shared" si="32"/>
        <v>132</v>
      </c>
      <c r="V106" s="6">
        <f t="shared" si="45"/>
        <v>50</v>
      </c>
      <c r="W106" s="6">
        <f t="shared" si="33"/>
        <v>182</v>
      </c>
      <c r="X106" s="6">
        <f t="shared" si="34"/>
        <v>168</v>
      </c>
      <c r="Y106" s="6">
        <f t="shared" si="35"/>
        <v>0</v>
      </c>
      <c r="Z106" s="6">
        <f t="shared" si="36"/>
        <v>14</v>
      </c>
      <c r="AA106" s="6">
        <f t="shared" si="37"/>
        <v>0</v>
      </c>
      <c r="AB106" s="6">
        <f t="shared" si="38"/>
        <v>14</v>
      </c>
      <c r="AC106" s="5">
        <f t="shared" si="39"/>
        <v>8.9285714285714288E-2</v>
      </c>
      <c r="AD106" s="5">
        <f t="shared" si="40"/>
        <v>1</v>
      </c>
      <c r="AE106" s="5">
        <f t="shared" si="41"/>
        <v>1</v>
      </c>
      <c r="AF106" s="5">
        <f t="shared" si="42"/>
        <v>0.64782608695652177</v>
      </c>
      <c r="AG106" s="5">
        <f t="shared" si="43"/>
        <v>0.57391304347826089</v>
      </c>
    </row>
    <row r="107" spans="1:33">
      <c r="A107" s="4">
        <v>46183</v>
      </c>
      <c r="B107" s="3" t="s">
        <v>60</v>
      </c>
      <c r="C107" s="3">
        <v>2</v>
      </c>
      <c r="D107" s="6">
        <v>1695</v>
      </c>
      <c r="E107" s="6">
        <v>1397</v>
      </c>
      <c r="F107" s="6">
        <v>2250</v>
      </c>
      <c r="G107" s="6">
        <f t="shared" si="23"/>
        <v>1644</v>
      </c>
      <c r="H107" s="5">
        <v>1.0087123619009943</v>
      </c>
      <c r="I107" s="6">
        <f t="shared" si="24"/>
        <v>1658</v>
      </c>
      <c r="J107" s="6">
        <f t="shared" si="44"/>
        <v>963</v>
      </c>
      <c r="K107" s="6">
        <f t="shared" si="25"/>
        <v>2621</v>
      </c>
      <c r="L107" s="6">
        <f t="shared" si="26"/>
        <v>1397</v>
      </c>
      <c r="M107" s="6">
        <f t="shared" si="27"/>
        <v>0</v>
      </c>
      <c r="N107" s="6">
        <f t="shared" si="28"/>
        <v>1224</v>
      </c>
      <c r="O107" s="5">
        <v>2.5000000000000001E-2</v>
      </c>
      <c r="P107" s="6">
        <f t="shared" si="29"/>
        <v>31</v>
      </c>
      <c r="Q107" s="6">
        <f t="shared" si="30"/>
        <v>1193</v>
      </c>
      <c r="R107" s="6">
        <v>203</v>
      </c>
      <c r="S107" s="6">
        <f t="shared" si="31"/>
        <v>1898</v>
      </c>
      <c r="T107" s="5">
        <v>1.0017887333755953</v>
      </c>
      <c r="U107" s="6">
        <f t="shared" si="32"/>
        <v>1901</v>
      </c>
      <c r="V107" s="6">
        <f t="shared" si="45"/>
        <v>0</v>
      </c>
      <c r="W107" s="6">
        <f t="shared" si="33"/>
        <v>1901</v>
      </c>
      <c r="X107" s="6">
        <f t="shared" si="34"/>
        <v>1397</v>
      </c>
      <c r="Y107" s="6">
        <f t="shared" si="35"/>
        <v>0</v>
      </c>
      <c r="Z107" s="6">
        <f t="shared" si="36"/>
        <v>504</v>
      </c>
      <c r="AA107" s="6">
        <f t="shared" si="37"/>
        <v>13</v>
      </c>
      <c r="AB107" s="6">
        <f t="shared" si="38"/>
        <v>491</v>
      </c>
      <c r="AC107" s="5">
        <f t="shared" si="39"/>
        <v>0.21331424481030781</v>
      </c>
      <c r="AD107" s="5">
        <f t="shared" si="40"/>
        <v>1</v>
      </c>
      <c r="AE107" s="5">
        <f t="shared" si="41"/>
        <v>1</v>
      </c>
      <c r="AF107" s="5">
        <f t="shared" si="42"/>
        <v>0.73688888888888893</v>
      </c>
      <c r="AG107" s="5">
        <f t="shared" si="43"/>
        <v>0.84488888888888891</v>
      </c>
    </row>
    <row r="108" spans="1:33">
      <c r="A108" s="4">
        <v>46183</v>
      </c>
      <c r="B108" s="3" t="s">
        <v>61</v>
      </c>
      <c r="C108" s="3">
        <v>2</v>
      </c>
      <c r="D108" s="6">
        <v>848</v>
      </c>
      <c r="E108" s="6">
        <v>949</v>
      </c>
      <c r="F108" s="6">
        <v>1200</v>
      </c>
      <c r="G108" s="6">
        <f t="shared" si="23"/>
        <v>823</v>
      </c>
      <c r="H108" s="5">
        <v>1.0034954754314718</v>
      </c>
      <c r="I108" s="6">
        <f t="shared" si="24"/>
        <v>826</v>
      </c>
      <c r="J108" s="6">
        <f t="shared" si="44"/>
        <v>91</v>
      </c>
      <c r="K108" s="6">
        <f t="shared" si="25"/>
        <v>917</v>
      </c>
      <c r="L108" s="6">
        <f t="shared" si="26"/>
        <v>917</v>
      </c>
      <c r="M108" s="6">
        <f t="shared" si="27"/>
        <v>32</v>
      </c>
      <c r="N108" s="6">
        <f t="shared" si="28"/>
        <v>0</v>
      </c>
      <c r="O108" s="5">
        <v>0.03</v>
      </c>
      <c r="P108" s="6">
        <f t="shared" si="29"/>
        <v>0</v>
      </c>
      <c r="Q108" s="6">
        <f t="shared" si="30"/>
        <v>0</v>
      </c>
      <c r="R108" s="6">
        <v>102</v>
      </c>
      <c r="S108" s="6">
        <f t="shared" si="31"/>
        <v>950</v>
      </c>
      <c r="T108" s="5">
        <v>0.98813406930639636</v>
      </c>
      <c r="U108" s="6">
        <f t="shared" si="32"/>
        <v>939</v>
      </c>
      <c r="V108" s="6">
        <f t="shared" si="45"/>
        <v>0</v>
      </c>
      <c r="W108" s="6">
        <f t="shared" si="33"/>
        <v>939</v>
      </c>
      <c r="X108" s="6">
        <f t="shared" si="34"/>
        <v>939</v>
      </c>
      <c r="Y108" s="6">
        <f t="shared" si="35"/>
        <v>10</v>
      </c>
      <c r="Z108" s="6">
        <f t="shared" si="36"/>
        <v>0</v>
      </c>
      <c r="AA108" s="6">
        <f t="shared" si="37"/>
        <v>0</v>
      </c>
      <c r="AB108" s="6">
        <f t="shared" si="38"/>
        <v>0</v>
      </c>
      <c r="AC108" s="5">
        <f t="shared" si="39"/>
        <v>0.10642781875658588</v>
      </c>
      <c r="AD108" s="5">
        <f t="shared" si="40"/>
        <v>0.9662802950474183</v>
      </c>
      <c r="AE108" s="5">
        <f t="shared" si="41"/>
        <v>0.98946259220231825</v>
      </c>
      <c r="AF108" s="5">
        <f t="shared" si="42"/>
        <v>0.68833333333333335</v>
      </c>
      <c r="AG108" s="5">
        <f t="shared" si="43"/>
        <v>0.78249999999999997</v>
      </c>
    </row>
    <row r="109" spans="1:33">
      <c r="A109" s="4">
        <v>46183</v>
      </c>
      <c r="B109" s="3" t="s">
        <v>62</v>
      </c>
      <c r="C109" s="3">
        <v>7</v>
      </c>
      <c r="D109" s="6">
        <v>494</v>
      </c>
      <c r="E109" s="6">
        <v>510</v>
      </c>
      <c r="F109" s="6">
        <v>700</v>
      </c>
      <c r="G109" s="6">
        <f t="shared" si="23"/>
        <v>479</v>
      </c>
      <c r="H109" s="5">
        <v>1.0106242084711377</v>
      </c>
      <c r="I109" s="6">
        <f t="shared" si="24"/>
        <v>484</v>
      </c>
      <c r="J109" s="6">
        <f t="shared" si="44"/>
        <v>40</v>
      </c>
      <c r="K109" s="6">
        <f t="shared" si="25"/>
        <v>524</v>
      </c>
      <c r="L109" s="6">
        <f t="shared" si="26"/>
        <v>510</v>
      </c>
      <c r="M109" s="6">
        <f t="shared" si="27"/>
        <v>0</v>
      </c>
      <c r="N109" s="6">
        <f t="shared" si="28"/>
        <v>14</v>
      </c>
      <c r="O109" s="5">
        <v>1.7999999999999999E-2</v>
      </c>
      <c r="P109" s="6">
        <f t="shared" si="29"/>
        <v>0</v>
      </c>
      <c r="Q109" s="6">
        <f t="shared" si="30"/>
        <v>14</v>
      </c>
      <c r="R109" s="6">
        <v>89</v>
      </c>
      <c r="S109" s="6">
        <f t="shared" si="31"/>
        <v>555</v>
      </c>
      <c r="T109" s="5">
        <v>1.0180163759694223</v>
      </c>
      <c r="U109" s="6">
        <f t="shared" si="32"/>
        <v>565</v>
      </c>
      <c r="V109" s="6">
        <f t="shared" si="45"/>
        <v>28</v>
      </c>
      <c r="W109" s="6">
        <f t="shared" si="33"/>
        <v>593</v>
      </c>
      <c r="X109" s="6">
        <f t="shared" si="34"/>
        <v>510</v>
      </c>
      <c r="Y109" s="6">
        <f t="shared" si="35"/>
        <v>0</v>
      </c>
      <c r="Z109" s="6">
        <f t="shared" si="36"/>
        <v>83</v>
      </c>
      <c r="AA109" s="6">
        <f t="shared" si="37"/>
        <v>1</v>
      </c>
      <c r="AB109" s="6">
        <f t="shared" si="38"/>
        <v>82</v>
      </c>
      <c r="AC109" s="5">
        <f t="shared" si="39"/>
        <v>3.1372549019607843E-2</v>
      </c>
      <c r="AD109" s="5">
        <f t="shared" si="40"/>
        <v>1</v>
      </c>
      <c r="AE109" s="5">
        <f t="shared" si="41"/>
        <v>1</v>
      </c>
      <c r="AF109" s="5">
        <f t="shared" si="42"/>
        <v>0.69142857142857139</v>
      </c>
      <c r="AG109" s="5">
        <f t="shared" si="43"/>
        <v>0.80714285714285716</v>
      </c>
    </row>
    <row r="110" spans="1:33">
      <c r="A110" s="4">
        <v>46183</v>
      </c>
      <c r="B110" s="3" t="s">
        <v>63</v>
      </c>
      <c r="C110" s="3">
        <v>7</v>
      </c>
      <c r="D110" s="6">
        <v>395</v>
      </c>
      <c r="E110" s="6">
        <v>390</v>
      </c>
      <c r="F110" s="6">
        <v>560</v>
      </c>
      <c r="G110" s="6">
        <f t="shared" si="23"/>
        <v>383</v>
      </c>
      <c r="H110" s="5">
        <v>1.0190491402300275</v>
      </c>
      <c r="I110" s="6">
        <f t="shared" si="24"/>
        <v>390</v>
      </c>
      <c r="J110" s="6">
        <f t="shared" si="44"/>
        <v>0</v>
      </c>
      <c r="K110" s="6">
        <f t="shared" si="25"/>
        <v>390</v>
      </c>
      <c r="L110" s="6">
        <f t="shared" si="26"/>
        <v>390</v>
      </c>
      <c r="M110" s="6">
        <f t="shared" si="27"/>
        <v>0</v>
      </c>
      <c r="N110" s="6">
        <f t="shared" si="28"/>
        <v>0</v>
      </c>
      <c r="O110" s="5">
        <v>0.02</v>
      </c>
      <c r="P110" s="6">
        <f t="shared" si="29"/>
        <v>0</v>
      </c>
      <c r="Q110" s="6">
        <f t="shared" si="30"/>
        <v>0</v>
      </c>
      <c r="R110" s="6">
        <v>71</v>
      </c>
      <c r="S110" s="6">
        <f t="shared" si="31"/>
        <v>411</v>
      </c>
      <c r="T110" s="5">
        <v>1.0025941601332515</v>
      </c>
      <c r="U110" s="6">
        <f t="shared" si="32"/>
        <v>412</v>
      </c>
      <c r="V110" s="6">
        <f t="shared" si="45"/>
        <v>55</v>
      </c>
      <c r="W110" s="6">
        <f t="shared" si="33"/>
        <v>467</v>
      </c>
      <c r="X110" s="6">
        <f t="shared" si="34"/>
        <v>390</v>
      </c>
      <c r="Y110" s="6">
        <f t="shared" si="35"/>
        <v>0</v>
      </c>
      <c r="Z110" s="6">
        <f t="shared" si="36"/>
        <v>77</v>
      </c>
      <c r="AA110" s="6">
        <f t="shared" si="37"/>
        <v>2</v>
      </c>
      <c r="AB110" s="6">
        <f t="shared" si="38"/>
        <v>75</v>
      </c>
      <c r="AC110" s="5">
        <f t="shared" si="39"/>
        <v>1.282051282051282E-2</v>
      </c>
      <c r="AD110" s="5">
        <f t="shared" si="40"/>
        <v>1</v>
      </c>
      <c r="AE110" s="5">
        <f t="shared" si="41"/>
        <v>1</v>
      </c>
      <c r="AF110" s="5">
        <f t="shared" si="42"/>
        <v>0.6964285714285714</v>
      </c>
      <c r="AG110" s="5">
        <f t="shared" si="43"/>
        <v>0.73571428571428577</v>
      </c>
    </row>
    <row r="111" spans="1:33">
      <c r="A111" s="4">
        <v>46183</v>
      </c>
      <c r="B111" s="3" t="s">
        <v>64</v>
      </c>
      <c r="C111" s="3">
        <v>5</v>
      </c>
      <c r="D111" s="6">
        <v>158</v>
      </c>
      <c r="E111" s="6">
        <v>170</v>
      </c>
      <c r="F111" s="6">
        <v>230</v>
      </c>
      <c r="G111" s="6">
        <f t="shared" si="23"/>
        <v>153</v>
      </c>
      <c r="H111" s="5">
        <v>0.98558489591857068</v>
      </c>
      <c r="I111" s="6">
        <f t="shared" si="24"/>
        <v>151</v>
      </c>
      <c r="J111" s="6">
        <f t="shared" si="44"/>
        <v>26</v>
      </c>
      <c r="K111" s="6">
        <f t="shared" si="25"/>
        <v>177</v>
      </c>
      <c r="L111" s="6">
        <f t="shared" si="26"/>
        <v>170</v>
      </c>
      <c r="M111" s="6">
        <f t="shared" si="27"/>
        <v>0</v>
      </c>
      <c r="N111" s="6">
        <f t="shared" si="28"/>
        <v>7</v>
      </c>
      <c r="O111" s="5">
        <v>2.5000000000000001E-2</v>
      </c>
      <c r="P111" s="6">
        <f t="shared" si="29"/>
        <v>0</v>
      </c>
      <c r="Q111" s="6">
        <f t="shared" si="30"/>
        <v>7</v>
      </c>
      <c r="R111" s="6">
        <v>32</v>
      </c>
      <c r="S111" s="6">
        <f t="shared" si="31"/>
        <v>176</v>
      </c>
      <c r="T111" s="5">
        <v>1.0139443216567352</v>
      </c>
      <c r="U111" s="6">
        <f t="shared" si="32"/>
        <v>178</v>
      </c>
      <c r="V111" s="6">
        <f t="shared" si="45"/>
        <v>14</v>
      </c>
      <c r="W111" s="6">
        <f t="shared" si="33"/>
        <v>192</v>
      </c>
      <c r="X111" s="6">
        <f t="shared" si="34"/>
        <v>170</v>
      </c>
      <c r="Y111" s="6">
        <f t="shared" si="35"/>
        <v>0</v>
      </c>
      <c r="Z111" s="6">
        <f t="shared" si="36"/>
        <v>22</v>
      </c>
      <c r="AA111" s="6">
        <f t="shared" si="37"/>
        <v>1</v>
      </c>
      <c r="AB111" s="6">
        <f t="shared" si="38"/>
        <v>21</v>
      </c>
      <c r="AC111" s="5">
        <f t="shared" si="39"/>
        <v>7.0588235294117646E-2</v>
      </c>
      <c r="AD111" s="5">
        <f t="shared" si="40"/>
        <v>1</v>
      </c>
      <c r="AE111" s="5">
        <f t="shared" si="41"/>
        <v>1</v>
      </c>
      <c r="AF111" s="5">
        <f t="shared" si="42"/>
        <v>0.65652173913043477</v>
      </c>
      <c r="AG111" s="5">
        <f t="shared" si="43"/>
        <v>0.77391304347826084</v>
      </c>
    </row>
    <row r="112" spans="1:33">
      <c r="A112" s="4">
        <v>46184</v>
      </c>
      <c r="B112" s="3" t="s">
        <v>60</v>
      </c>
      <c r="C112" s="3">
        <v>2</v>
      </c>
      <c r="D112" s="6">
        <v>1713</v>
      </c>
      <c r="E112" s="6">
        <v>1876</v>
      </c>
      <c r="F112" s="6">
        <v>2250</v>
      </c>
      <c r="G112" s="6">
        <f t="shared" si="23"/>
        <v>1662</v>
      </c>
      <c r="H112" s="5">
        <v>1.0012538359362073</v>
      </c>
      <c r="I112" s="6">
        <f t="shared" si="24"/>
        <v>1664</v>
      </c>
      <c r="J112" s="6">
        <f t="shared" si="44"/>
        <v>1193</v>
      </c>
      <c r="K112" s="6">
        <f t="shared" si="25"/>
        <v>2857</v>
      </c>
      <c r="L112" s="6">
        <f t="shared" si="26"/>
        <v>1876</v>
      </c>
      <c r="M112" s="6">
        <f t="shared" si="27"/>
        <v>0</v>
      </c>
      <c r="N112" s="6">
        <f t="shared" si="28"/>
        <v>981</v>
      </c>
      <c r="O112" s="5">
        <v>2.5000000000000001E-2</v>
      </c>
      <c r="P112" s="6">
        <f t="shared" si="29"/>
        <v>25</v>
      </c>
      <c r="Q112" s="6">
        <f t="shared" si="30"/>
        <v>956</v>
      </c>
      <c r="R112" s="6">
        <v>206</v>
      </c>
      <c r="S112" s="6">
        <f t="shared" si="31"/>
        <v>1428</v>
      </c>
      <c r="T112" s="5">
        <v>1.0014788077157286</v>
      </c>
      <c r="U112" s="6">
        <f t="shared" si="32"/>
        <v>1430</v>
      </c>
      <c r="V112" s="6">
        <f t="shared" si="45"/>
        <v>491</v>
      </c>
      <c r="W112" s="6">
        <f t="shared" si="33"/>
        <v>1921</v>
      </c>
      <c r="X112" s="6">
        <f t="shared" si="34"/>
        <v>1876</v>
      </c>
      <c r="Y112" s="6">
        <f t="shared" si="35"/>
        <v>0</v>
      </c>
      <c r="Z112" s="6">
        <f t="shared" si="36"/>
        <v>45</v>
      </c>
      <c r="AA112" s="6">
        <f t="shared" si="37"/>
        <v>1</v>
      </c>
      <c r="AB112" s="6">
        <f t="shared" si="38"/>
        <v>44</v>
      </c>
      <c r="AC112" s="5">
        <f t="shared" si="39"/>
        <v>8.6886993603411511E-2</v>
      </c>
      <c r="AD112" s="5">
        <f t="shared" si="40"/>
        <v>1</v>
      </c>
      <c r="AE112" s="5">
        <f t="shared" si="41"/>
        <v>1</v>
      </c>
      <c r="AF112" s="5">
        <f t="shared" si="42"/>
        <v>0.73955555555555552</v>
      </c>
      <c r="AG112" s="5">
        <f t="shared" si="43"/>
        <v>0.63555555555555554</v>
      </c>
    </row>
    <row r="113" spans="1:33">
      <c r="A113" s="4">
        <v>46184</v>
      </c>
      <c r="B113" s="3" t="s">
        <v>61</v>
      </c>
      <c r="C113" s="3">
        <v>2</v>
      </c>
      <c r="D113" s="6">
        <v>857</v>
      </c>
      <c r="E113" s="6">
        <v>991</v>
      </c>
      <c r="F113" s="6">
        <v>1200</v>
      </c>
      <c r="G113" s="6">
        <f t="shared" si="23"/>
        <v>831</v>
      </c>
      <c r="H113" s="5">
        <v>0.98541077114276965</v>
      </c>
      <c r="I113" s="6">
        <f t="shared" si="24"/>
        <v>819</v>
      </c>
      <c r="J113" s="6">
        <f t="shared" si="44"/>
        <v>0</v>
      </c>
      <c r="K113" s="6">
        <f t="shared" si="25"/>
        <v>819</v>
      </c>
      <c r="L113" s="6">
        <f t="shared" si="26"/>
        <v>819</v>
      </c>
      <c r="M113" s="6">
        <f t="shared" si="27"/>
        <v>172</v>
      </c>
      <c r="N113" s="6">
        <f t="shared" si="28"/>
        <v>0</v>
      </c>
      <c r="O113" s="5">
        <v>0.03</v>
      </c>
      <c r="P113" s="6">
        <f t="shared" si="29"/>
        <v>0</v>
      </c>
      <c r="Q113" s="6">
        <f t="shared" si="30"/>
        <v>0</v>
      </c>
      <c r="R113" s="6">
        <v>103</v>
      </c>
      <c r="S113" s="6">
        <f t="shared" si="31"/>
        <v>960</v>
      </c>
      <c r="T113" s="5">
        <v>0.99656350697050256</v>
      </c>
      <c r="U113" s="6">
        <f t="shared" si="32"/>
        <v>957</v>
      </c>
      <c r="V113" s="6">
        <f t="shared" si="45"/>
        <v>0</v>
      </c>
      <c r="W113" s="6">
        <f t="shared" si="33"/>
        <v>957</v>
      </c>
      <c r="X113" s="6">
        <f t="shared" si="34"/>
        <v>957</v>
      </c>
      <c r="Y113" s="6">
        <f t="shared" si="35"/>
        <v>34</v>
      </c>
      <c r="Z113" s="6">
        <f t="shared" si="36"/>
        <v>0</v>
      </c>
      <c r="AA113" s="6">
        <f t="shared" si="37"/>
        <v>0</v>
      </c>
      <c r="AB113" s="6">
        <f t="shared" si="38"/>
        <v>0</v>
      </c>
      <c r="AC113" s="5">
        <f t="shared" si="39"/>
        <v>0.13521695257315844</v>
      </c>
      <c r="AD113" s="5">
        <f t="shared" si="40"/>
        <v>0.82643794147325933</v>
      </c>
      <c r="AE113" s="5">
        <f t="shared" si="41"/>
        <v>0.96569122098890015</v>
      </c>
      <c r="AF113" s="5">
        <f t="shared" si="42"/>
        <v>0.6825</v>
      </c>
      <c r="AG113" s="5">
        <f t="shared" si="43"/>
        <v>0.79749999999999999</v>
      </c>
    </row>
    <row r="114" spans="1:33">
      <c r="A114" s="4">
        <v>46184</v>
      </c>
      <c r="B114" s="3" t="s">
        <v>62</v>
      </c>
      <c r="C114" s="3">
        <v>7</v>
      </c>
      <c r="D114" s="6">
        <v>504</v>
      </c>
      <c r="E114" s="6">
        <v>527</v>
      </c>
      <c r="F114" s="6">
        <v>700</v>
      </c>
      <c r="G114" s="6">
        <f t="shared" si="23"/>
        <v>489</v>
      </c>
      <c r="H114" s="5">
        <v>0.99382161802621283</v>
      </c>
      <c r="I114" s="6">
        <f t="shared" si="24"/>
        <v>486</v>
      </c>
      <c r="J114" s="6">
        <f t="shared" si="44"/>
        <v>14</v>
      </c>
      <c r="K114" s="6">
        <f t="shared" si="25"/>
        <v>500</v>
      </c>
      <c r="L114" s="6">
        <f t="shared" si="26"/>
        <v>500</v>
      </c>
      <c r="M114" s="6">
        <f t="shared" si="27"/>
        <v>27</v>
      </c>
      <c r="N114" s="6">
        <f t="shared" si="28"/>
        <v>0</v>
      </c>
      <c r="O114" s="5">
        <v>1.7999999999999999E-2</v>
      </c>
      <c r="P114" s="6">
        <f t="shared" si="29"/>
        <v>0</v>
      </c>
      <c r="Q114" s="6">
        <f t="shared" si="30"/>
        <v>0</v>
      </c>
      <c r="R114" s="6">
        <v>91</v>
      </c>
      <c r="S114" s="6">
        <f t="shared" si="31"/>
        <v>513</v>
      </c>
      <c r="T114" s="5">
        <v>0.99806536571536275</v>
      </c>
      <c r="U114" s="6">
        <f t="shared" si="32"/>
        <v>512</v>
      </c>
      <c r="V114" s="6">
        <f t="shared" si="45"/>
        <v>82</v>
      </c>
      <c r="W114" s="6">
        <f t="shared" si="33"/>
        <v>594</v>
      </c>
      <c r="X114" s="6">
        <f t="shared" si="34"/>
        <v>527</v>
      </c>
      <c r="Y114" s="6">
        <f t="shared" si="35"/>
        <v>0</v>
      </c>
      <c r="Z114" s="6">
        <f t="shared" si="36"/>
        <v>67</v>
      </c>
      <c r="AA114" s="6">
        <f t="shared" si="37"/>
        <v>1</v>
      </c>
      <c r="AB114" s="6">
        <f t="shared" si="38"/>
        <v>66</v>
      </c>
      <c r="AC114" s="5">
        <f t="shared" si="39"/>
        <v>4.3643263757115747E-2</v>
      </c>
      <c r="AD114" s="5">
        <f t="shared" si="40"/>
        <v>0.94876660341555974</v>
      </c>
      <c r="AE114" s="5">
        <f t="shared" si="41"/>
        <v>1</v>
      </c>
      <c r="AF114" s="5">
        <f t="shared" si="42"/>
        <v>0.69428571428571428</v>
      </c>
      <c r="AG114" s="5">
        <f t="shared" si="43"/>
        <v>0.73142857142857143</v>
      </c>
    </row>
    <row r="115" spans="1:33">
      <c r="A115" s="4">
        <v>46184</v>
      </c>
      <c r="B115" s="3" t="s">
        <v>63</v>
      </c>
      <c r="C115" s="3">
        <v>7</v>
      </c>
      <c r="D115" s="6">
        <v>403</v>
      </c>
      <c r="E115" s="6">
        <v>475</v>
      </c>
      <c r="F115" s="6">
        <v>560</v>
      </c>
      <c r="G115" s="6">
        <f t="shared" si="23"/>
        <v>391</v>
      </c>
      <c r="H115" s="5">
        <v>0.99593554854028343</v>
      </c>
      <c r="I115" s="6">
        <f t="shared" si="24"/>
        <v>389</v>
      </c>
      <c r="J115" s="6">
        <f t="shared" si="44"/>
        <v>0</v>
      </c>
      <c r="K115" s="6">
        <f t="shared" si="25"/>
        <v>389</v>
      </c>
      <c r="L115" s="6">
        <f t="shared" si="26"/>
        <v>389</v>
      </c>
      <c r="M115" s="6">
        <f t="shared" si="27"/>
        <v>86</v>
      </c>
      <c r="N115" s="6">
        <f t="shared" si="28"/>
        <v>0</v>
      </c>
      <c r="O115" s="5">
        <v>0.02</v>
      </c>
      <c r="P115" s="6">
        <f t="shared" si="29"/>
        <v>0</v>
      </c>
      <c r="Q115" s="6">
        <f t="shared" si="30"/>
        <v>0</v>
      </c>
      <c r="R115" s="6">
        <v>73</v>
      </c>
      <c r="S115" s="6">
        <f t="shared" si="31"/>
        <v>401</v>
      </c>
      <c r="T115" s="5">
        <v>0.9883918222847764</v>
      </c>
      <c r="U115" s="6">
        <f t="shared" si="32"/>
        <v>396</v>
      </c>
      <c r="V115" s="6">
        <f t="shared" si="45"/>
        <v>75</v>
      </c>
      <c r="W115" s="6">
        <f t="shared" si="33"/>
        <v>471</v>
      </c>
      <c r="X115" s="6">
        <f t="shared" si="34"/>
        <v>471</v>
      </c>
      <c r="Y115" s="6">
        <f t="shared" si="35"/>
        <v>4</v>
      </c>
      <c r="Z115" s="6">
        <f t="shared" si="36"/>
        <v>0</v>
      </c>
      <c r="AA115" s="6">
        <f t="shared" si="37"/>
        <v>0</v>
      </c>
      <c r="AB115" s="6">
        <f t="shared" si="38"/>
        <v>0</v>
      </c>
      <c r="AC115" s="5">
        <f t="shared" si="39"/>
        <v>0.15157894736842106</v>
      </c>
      <c r="AD115" s="5">
        <f t="shared" si="40"/>
        <v>0.81894736842105265</v>
      </c>
      <c r="AE115" s="5">
        <f t="shared" si="41"/>
        <v>0.991578947368421</v>
      </c>
      <c r="AF115" s="5">
        <f t="shared" si="42"/>
        <v>0.69464285714285712</v>
      </c>
      <c r="AG115" s="5">
        <f t="shared" si="43"/>
        <v>0.70714285714285718</v>
      </c>
    </row>
    <row r="116" spans="1:33">
      <c r="A116" s="4">
        <v>46184</v>
      </c>
      <c r="B116" s="3" t="s">
        <v>64</v>
      </c>
      <c r="C116" s="3">
        <v>5</v>
      </c>
      <c r="D116" s="6">
        <v>161</v>
      </c>
      <c r="E116" s="6">
        <v>183</v>
      </c>
      <c r="F116" s="6">
        <v>230</v>
      </c>
      <c r="G116" s="6">
        <f t="shared" si="23"/>
        <v>156</v>
      </c>
      <c r="H116" s="5">
        <v>1.0016729507479663</v>
      </c>
      <c r="I116" s="6">
        <f t="shared" si="24"/>
        <v>156</v>
      </c>
      <c r="J116" s="6">
        <f t="shared" si="44"/>
        <v>7</v>
      </c>
      <c r="K116" s="6">
        <f t="shared" si="25"/>
        <v>163</v>
      </c>
      <c r="L116" s="6">
        <f t="shared" si="26"/>
        <v>163</v>
      </c>
      <c r="M116" s="6">
        <f t="shared" si="27"/>
        <v>20</v>
      </c>
      <c r="N116" s="6">
        <f t="shared" si="28"/>
        <v>0</v>
      </c>
      <c r="O116" s="5">
        <v>2.5000000000000001E-2</v>
      </c>
      <c r="P116" s="6">
        <f t="shared" si="29"/>
        <v>0</v>
      </c>
      <c r="Q116" s="6">
        <f t="shared" si="30"/>
        <v>0</v>
      </c>
      <c r="R116" s="6">
        <v>32</v>
      </c>
      <c r="S116" s="6">
        <f t="shared" si="31"/>
        <v>172</v>
      </c>
      <c r="T116" s="5">
        <v>0.98458608519582802</v>
      </c>
      <c r="U116" s="6">
        <f t="shared" si="32"/>
        <v>169</v>
      </c>
      <c r="V116" s="6">
        <f t="shared" si="45"/>
        <v>21</v>
      </c>
      <c r="W116" s="6">
        <f t="shared" si="33"/>
        <v>190</v>
      </c>
      <c r="X116" s="6">
        <f t="shared" si="34"/>
        <v>183</v>
      </c>
      <c r="Y116" s="6">
        <f t="shared" si="35"/>
        <v>0</v>
      </c>
      <c r="Z116" s="6">
        <f t="shared" si="36"/>
        <v>7</v>
      </c>
      <c r="AA116" s="6">
        <f t="shared" si="37"/>
        <v>0</v>
      </c>
      <c r="AB116" s="6">
        <f t="shared" si="38"/>
        <v>7</v>
      </c>
      <c r="AC116" s="5">
        <f t="shared" si="39"/>
        <v>0.12021857923497267</v>
      </c>
      <c r="AD116" s="5">
        <f t="shared" si="40"/>
        <v>0.89071038251366119</v>
      </c>
      <c r="AE116" s="5">
        <f t="shared" si="41"/>
        <v>1</v>
      </c>
      <c r="AF116" s="5">
        <f t="shared" si="42"/>
        <v>0.67826086956521736</v>
      </c>
      <c r="AG116" s="5">
        <f t="shared" si="43"/>
        <v>0.73478260869565215</v>
      </c>
    </row>
    <row r="117" spans="1:33">
      <c r="A117" s="4">
        <v>46185</v>
      </c>
      <c r="B117" s="3" t="s">
        <v>60</v>
      </c>
      <c r="C117" s="3">
        <v>2</v>
      </c>
      <c r="D117" s="6">
        <v>1782</v>
      </c>
      <c r="E117" s="6">
        <v>1678</v>
      </c>
      <c r="F117" s="6">
        <v>2250</v>
      </c>
      <c r="G117" s="6">
        <f t="shared" si="23"/>
        <v>1729</v>
      </c>
      <c r="H117" s="5">
        <v>0.99894302416057723</v>
      </c>
      <c r="I117" s="6">
        <f t="shared" si="24"/>
        <v>1727</v>
      </c>
      <c r="J117" s="6">
        <f t="shared" si="44"/>
        <v>956</v>
      </c>
      <c r="K117" s="6">
        <f t="shared" si="25"/>
        <v>2683</v>
      </c>
      <c r="L117" s="6">
        <f t="shared" si="26"/>
        <v>1678</v>
      </c>
      <c r="M117" s="6">
        <f t="shared" si="27"/>
        <v>0</v>
      </c>
      <c r="N117" s="6">
        <f t="shared" si="28"/>
        <v>1005</v>
      </c>
      <c r="O117" s="5">
        <v>2.5000000000000001E-2</v>
      </c>
      <c r="P117" s="6">
        <f t="shared" si="29"/>
        <v>25</v>
      </c>
      <c r="Q117" s="6">
        <f t="shared" si="30"/>
        <v>980</v>
      </c>
      <c r="R117" s="6">
        <v>214</v>
      </c>
      <c r="S117" s="6">
        <f t="shared" si="31"/>
        <v>1952</v>
      </c>
      <c r="T117" s="5">
        <v>1.0172237199177676</v>
      </c>
      <c r="U117" s="6">
        <f t="shared" si="32"/>
        <v>1986</v>
      </c>
      <c r="V117" s="6">
        <f t="shared" si="45"/>
        <v>44</v>
      </c>
      <c r="W117" s="6">
        <f t="shared" si="33"/>
        <v>2030</v>
      </c>
      <c r="X117" s="6">
        <f t="shared" si="34"/>
        <v>1678</v>
      </c>
      <c r="Y117" s="6">
        <f t="shared" si="35"/>
        <v>0</v>
      </c>
      <c r="Z117" s="6">
        <f t="shared" si="36"/>
        <v>352</v>
      </c>
      <c r="AA117" s="6">
        <f t="shared" si="37"/>
        <v>9</v>
      </c>
      <c r="AB117" s="6">
        <f t="shared" si="38"/>
        <v>343</v>
      </c>
      <c r="AC117" s="5">
        <f t="shared" si="39"/>
        <v>6.197854588796186E-2</v>
      </c>
      <c r="AD117" s="5">
        <f t="shared" si="40"/>
        <v>1</v>
      </c>
      <c r="AE117" s="5">
        <f t="shared" si="41"/>
        <v>1</v>
      </c>
      <c r="AF117" s="5">
        <f t="shared" si="42"/>
        <v>0.76755555555555555</v>
      </c>
      <c r="AG117" s="5">
        <f t="shared" si="43"/>
        <v>0.88266666666666671</v>
      </c>
    </row>
    <row r="118" spans="1:33">
      <c r="A118" s="4">
        <v>46185</v>
      </c>
      <c r="B118" s="3" t="s">
        <v>61</v>
      </c>
      <c r="C118" s="3">
        <v>2</v>
      </c>
      <c r="D118" s="6">
        <v>891</v>
      </c>
      <c r="E118" s="6">
        <v>733</v>
      </c>
      <c r="F118" s="6">
        <v>1200</v>
      </c>
      <c r="G118" s="6">
        <f t="shared" si="23"/>
        <v>864</v>
      </c>
      <c r="H118" s="5">
        <v>1.019882110340403</v>
      </c>
      <c r="I118" s="6">
        <f t="shared" si="24"/>
        <v>881</v>
      </c>
      <c r="J118" s="6">
        <f t="shared" si="44"/>
        <v>0</v>
      </c>
      <c r="K118" s="6">
        <f t="shared" si="25"/>
        <v>881</v>
      </c>
      <c r="L118" s="6">
        <f t="shared" si="26"/>
        <v>733</v>
      </c>
      <c r="M118" s="6">
        <f t="shared" si="27"/>
        <v>0</v>
      </c>
      <c r="N118" s="6">
        <f t="shared" si="28"/>
        <v>148</v>
      </c>
      <c r="O118" s="5">
        <v>0.03</v>
      </c>
      <c r="P118" s="6">
        <f t="shared" si="29"/>
        <v>4</v>
      </c>
      <c r="Q118" s="6">
        <f t="shared" si="30"/>
        <v>144</v>
      </c>
      <c r="R118" s="6">
        <v>107</v>
      </c>
      <c r="S118" s="6">
        <f t="shared" si="31"/>
        <v>998</v>
      </c>
      <c r="T118" s="5">
        <v>1.0054219344172151</v>
      </c>
      <c r="U118" s="6">
        <f t="shared" si="32"/>
        <v>1003</v>
      </c>
      <c r="V118" s="6">
        <f t="shared" si="45"/>
        <v>0</v>
      </c>
      <c r="W118" s="6">
        <f t="shared" si="33"/>
        <v>1003</v>
      </c>
      <c r="X118" s="6">
        <f t="shared" si="34"/>
        <v>733</v>
      </c>
      <c r="Y118" s="6">
        <f t="shared" si="35"/>
        <v>0</v>
      </c>
      <c r="Z118" s="6">
        <f t="shared" si="36"/>
        <v>270</v>
      </c>
      <c r="AA118" s="6">
        <f t="shared" si="37"/>
        <v>8</v>
      </c>
      <c r="AB118" s="6">
        <f t="shared" si="38"/>
        <v>262</v>
      </c>
      <c r="AC118" s="5">
        <f t="shared" si="39"/>
        <v>0.21555252387448839</v>
      </c>
      <c r="AD118" s="5">
        <f t="shared" si="40"/>
        <v>1</v>
      </c>
      <c r="AE118" s="5">
        <f t="shared" si="41"/>
        <v>1</v>
      </c>
      <c r="AF118" s="5">
        <f t="shared" si="42"/>
        <v>0.73416666666666663</v>
      </c>
      <c r="AG118" s="5">
        <f t="shared" si="43"/>
        <v>0.83583333333333332</v>
      </c>
    </row>
    <row r="119" spans="1:33">
      <c r="A119" s="4">
        <v>46185</v>
      </c>
      <c r="B119" s="3" t="s">
        <v>62</v>
      </c>
      <c r="C119" s="3">
        <v>7</v>
      </c>
      <c r="D119" s="6">
        <v>524</v>
      </c>
      <c r="E119" s="6">
        <v>493</v>
      </c>
      <c r="F119" s="6">
        <v>700</v>
      </c>
      <c r="G119" s="6">
        <f t="shared" si="23"/>
        <v>508</v>
      </c>
      <c r="H119" s="5">
        <v>0.99944984059550301</v>
      </c>
      <c r="I119" s="6">
        <f t="shared" si="24"/>
        <v>508</v>
      </c>
      <c r="J119" s="6">
        <f t="shared" si="44"/>
        <v>0</v>
      </c>
      <c r="K119" s="6">
        <f t="shared" si="25"/>
        <v>508</v>
      </c>
      <c r="L119" s="6">
        <f t="shared" si="26"/>
        <v>493</v>
      </c>
      <c r="M119" s="6">
        <f t="shared" si="27"/>
        <v>0</v>
      </c>
      <c r="N119" s="6">
        <f t="shared" si="28"/>
        <v>15</v>
      </c>
      <c r="O119" s="5">
        <v>1.7999999999999999E-2</v>
      </c>
      <c r="P119" s="6">
        <f t="shared" si="29"/>
        <v>0</v>
      </c>
      <c r="Q119" s="6">
        <f t="shared" si="30"/>
        <v>15</v>
      </c>
      <c r="R119" s="6">
        <v>94</v>
      </c>
      <c r="S119" s="6">
        <f t="shared" si="31"/>
        <v>552</v>
      </c>
      <c r="T119" s="5">
        <v>0.99608007545309474</v>
      </c>
      <c r="U119" s="6">
        <f t="shared" si="32"/>
        <v>550</v>
      </c>
      <c r="V119" s="6">
        <f t="shared" si="45"/>
        <v>66</v>
      </c>
      <c r="W119" s="6">
        <f t="shared" si="33"/>
        <v>616</v>
      </c>
      <c r="X119" s="6">
        <f t="shared" si="34"/>
        <v>493</v>
      </c>
      <c r="Y119" s="6">
        <f t="shared" si="35"/>
        <v>0</v>
      </c>
      <c r="Z119" s="6">
        <f t="shared" si="36"/>
        <v>123</v>
      </c>
      <c r="AA119" s="6">
        <f t="shared" si="37"/>
        <v>2</v>
      </c>
      <c r="AB119" s="6">
        <f t="shared" si="38"/>
        <v>121</v>
      </c>
      <c r="AC119" s="5">
        <f t="shared" si="39"/>
        <v>6.2880324543610547E-2</v>
      </c>
      <c r="AD119" s="5">
        <f t="shared" si="40"/>
        <v>1</v>
      </c>
      <c r="AE119" s="5">
        <f t="shared" si="41"/>
        <v>1</v>
      </c>
      <c r="AF119" s="5">
        <f t="shared" si="42"/>
        <v>0.72571428571428576</v>
      </c>
      <c r="AG119" s="5">
        <f t="shared" si="43"/>
        <v>0.7857142857142857</v>
      </c>
    </row>
    <row r="120" spans="1:33">
      <c r="A120" s="4">
        <v>46185</v>
      </c>
      <c r="B120" s="3" t="s">
        <v>63</v>
      </c>
      <c r="C120" s="3">
        <v>7</v>
      </c>
      <c r="D120" s="6">
        <v>419</v>
      </c>
      <c r="E120" s="6">
        <v>348</v>
      </c>
      <c r="F120" s="6">
        <v>560</v>
      </c>
      <c r="G120" s="6">
        <f t="shared" si="23"/>
        <v>406</v>
      </c>
      <c r="H120" s="5">
        <v>1.0003695375113193</v>
      </c>
      <c r="I120" s="6">
        <f t="shared" si="24"/>
        <v>406</v>
      </c>
      <c r="J120" s="6">
        <f t="shared" si="44"/>
        <v>0</v>
      </c>
      <c r="K120" s="6">
        <f t="shared" si="25"/>
        <v>406</v>
      </c>
      <c r="L120" s="6">
        <f t="shared" si="26"/>
        <v>348</v>
      </c>
      <c r="M120" s="6">
        <f t="shared" si="27"/>
        <v>0</v>
      </c>
      <c r="N120" s="6">
        <f t="shared" si="28"/>
        <v>58</v>
      </c>
      <c r="O120" s="5">
        <v>0.02</v>
      </c>
      <c r="P120" s="6">
        <f t="shared" si="29"/>
        <v>1</v>
      </c>
      <c r="Q120" s="6">
        <f t="shared" si="30"/>
        <v>57</v>
      </c>
      <c r="R120" s="6">
        <v>75</v>
      </c>
      <c r="S120" s="6">
        <f t="shared" si="31"/>
        <v>494</v>
      </c>
      <c r="T120" s="5">
        <v>1.0082439454316465</v>
      </c>
      <c r="U120" s="6">
        <f t="shared" si="32"/>
        <v>498</v>
      </c>
      <c r="V120" s="6">
        <f t="shared" si="45"/>
        <v>0</v>
      </c>
      <c r="W120" s="6">
        <f t="shared" si="33"/>
        <v>498</v>
      </c>
      <c r="X120" s="6">
        <f t="shared" si="34"/>
        <v>348</v>
      </c>
      <c r="Y120" s="6">
        <f t="shared" si="35"/>
        <v>0</v>
      </c>
      <c r="Z120" s="6">
        <f t="shared" si="36"/>
        <v>150</v>
      </c>
      <c r="AA120" s="6">
        <f t="shared" si="37"/>
        <v>3</v>
      </c>
      <c r="AB120" s="6">
        <f t="shared" si="38"/>
        <v>147</v>
      </c>
      <c r="AC120" s="5">
        <f t="shared" si="39"/>
        <v>0.20402298850574713</v>
      </c>
      <c r="AD120" s="5">
        <f t="shared" si="40"/>
        <v>1</v>
      </c>
      <c r="AE120" s="5">
        <f t="shared" si="41"/>
        <v>1</v>
      </c>
      <c r="AF120" s="5">
        <f t="shared" si="42"/>
        <v>0.72499999999999998</v>
      </c>
      <c r="AG120" s="5">
        <f t="shared" si="43"/>
        <v>0.88928571428571423</v>
      </c>
    </row>
    <row r="121" spans="1:33">
      <c r="A121" s="4">
        <v>46185</v>
      </c>
      <c r="B121" s="3" t="s">
        <v>64</v>
      </c>
      <c r="C121" s="3">
        <v>5</v>
      </c>
      <c r="D121" s="6">
        <v>168</v>
      </c>
      <c r="E121" s="6">
        <v>143</v>
      </c>
      <c r="F121" s="6">
        <v>230</v>
      </c>
      <c r="G121" s="6">
        <f t="shared" si="23"/>
        <v>163</v>
      </c>
      <c r="H121" s="5">
        <v>1.0074549082849269</v>
      </c>
      <c r="I121" s="6">
        <f t="shared" si="24"/>
        <v>164</v>
      </c>
      <c r="J121" s="6">
        <f t="shared" si="44"/>
        <v>0</v>
      </c>
      <c r="K121" s="6">
        <f t="shared" si="25"/>
        <v>164</v>
      </c>
      <c r="L121" s="6">
        <f t="shared" si="26"/>
        <v>143</v>
      </c>
      <c r="M121" s="6">
        <f t="shared" si="27"/>
        <v>0</v>
      </c>
      <c r="N121" s="6">
        <f t="shared" si="28"/>
        <v>21</v>
      </c>
      <c r="O121" s="5">
        <v>2.5000000000000001E-2</v>
      </c>
      <c r="P121" s="6">
        <f t="shared" si="29"/>
        <v>1</v>
      </c>
      <c r="Q121" s="6">
        <f t="shared" si="30"/>
        <v>20</v>
      </c>
      <c r="R121" s="6">
        <v>34</v>
      </c>
      <c r="S121" s="6">
        <f t="shared" si="31"/>
        <v>195</v>
      </c>
      <c r="T121" s="5">
        <v>1.0082268869866788</v>
      </c>
      <c r="U121" s="6">
        <f t="shared" si="32"/>
        <v>197</v>
      </c>
      <c r="V121" s="6">
        <f t="shared" si="45"/>
        <v>7</v>
      </c>
      <c r="W121" s="6">
        <f t="shared" si="33"/>
        <v>204</v>
      </c>
      <c r="X121" s="6">
        <f t="shared" si="34"/>
        <v>143</v>
      </c>
      <c r="Y121" s="6">
        <f t="shared" si="35"/>
        <v>0</v>
      </c>
      <c r="Z121" s="6">
        <f t="shared" si="36"/>
        <v>61</v>
      </c>
      <c r="AA121" s="6">
        <f t="shared" si="37"/>
        <v>2</v>
      </c>
      <c r="AB121" s="6">
        <f t="shared" si="38"/>
        <v>59</v>
      </c>
      <c r="AC121" s="5">
        <f t="shared" si="39"/>
        <v>0.17482517482517482</v>
      </c>
      <c r="AD121" s="5">
        <f t="shared" si="40"/>
        <v>1</v>
      </c>
      <c r="AE121" s="5">
        <f t="shared" si="41"/>
        <v>1</v>
      </c>
      <c r="AF121" s="5">
        <f t="shared" si="42"/>
        <v>0.71304347826086956</v>
      </c>
      <c r="AG121" s="5">
        <f t="shared" si="43"/>
        <v>0.85652173913043483</v>
      </c>
    </row>
    <row r="122" spans="1:33">
      <c r="A122" s="4">
        <v>46186</v>
      </c>
      <c r="B122" s="3" t="s">
        <v>60</v>
      </c>
      <c r="C122" s="3">
        <v>2</v>
      </c>
      <c r="D122" s="6">
        <v>1954</v>
      </c>
      <c r="E122" s="6">
        <v>1906</v>
      </c>
      <c r="F122" s="6">
        <v>2250</v>
      </c>
      <c r="G122" s="6">
        <f t="shared" si="23"/>
        <v>1895</v>
      </c>
      <c r="H122" s="5">
        <v>1.0123653299907565</v>
      </c>
      <c r="I122" s="6">
        <f t="shared" si="24"/>
        <v>1918</v>
      </c>
      <c r="J122" s="6">
        <f t="shared" si="44"/>
        <v>980</v>
      </c>
      <c r="K122" s="6">
        <f t="shared" si="25"/>
        <v>2898</v>
      </c>
      <c r="L122" s="6">
        <f t="shared" si="26"/>
        <v>1906</v>
      </c>
      <c r="M122" s="6">
        <f t="shared" si="27"/>
        <v>0</v>
      </c>
      <c r="N122" s="6">
        <f t="shared" si="28"/>
        <v>992</v>
      </c>
      <c r="O122" s="5">
        <v>2.5000000000000001E-2</v>
      </c>
      <c r="P122" s="6">
        <f t="shared" si="29"/>
        <v>25</v>
      </c>
      <c r="Q122" s="6">
        <f t="shared" si="30"/>
        <v>967</v>
      </c>
      <c r="R122" s="6">
        <v>234</v>
      </c>
      <c r="S122" s="6">
        <f t="shared" si="31"/>
        <v>1845</v>
      </c>
      <c r="T122" s="5">
        <v>0.99264983412812624</v>
      </c>
      <c r="U122" s="6">
        <f t="shared" si="32"/>
        <v>1831</v>
      </c>
      <c r="V122" s="6">
        <f t="shared" si="45"/>
        <v>343</v>
      </c>
      <c r="W122" s="6">
        <f t="shared" si="33"/>
        <v>2174</v>
      </c>
      <c r="X122" s="6">
        <f t="shared" si="34"/>
        <v>1906</v>
      </c>
      <c r="Y122" s="6">
        <f t="shared" si="35"/>
        <v>0</v>
      </c>
      <c r="Z122" s="6">
        <f t="shared" si="36"/>
        <v>268</v>
      </c>
      <c r="AA122" s="6">
        <f t="shared" si="37"/>
        <v>7</v>
      </c>
      <c r="AB122" s="6">
        <f t="shared" si="38"/>
        <v>261</v>
      </c>
      <c r="AC122" s="5">
        <f t="shared" si="39"/>
        <v>2.5183630640083946E-2</v>
      </c>
      <c r="AD122" s="5">
        <f t="shared" si="40"/>
        <v>1</v>
      </c>
      <c r="AE122" s="5">
        <f t="shared" si="41"/>
        <v>1</v>
      </c>
      <c r="AF122" s="5">
        <f t="shared" si="42"/>
        <v>0.85244444444444445</v>
      </c>
      <c r="AG122" s="5">
        <f t="shared" si="43"/>
        <v>0.81377777777777782</v>
      </c>
    </row>
    <row r="123" spans="1:33">
      <c r="A123" s="4">
        <v>46186</v>
      </c>
      <c r="B123" s="3" t="s">
        <v>61</v>
      </c>
      <c r="C123" s="3">
        <v>2</v>
      </c>
      <c r="D123" s="6">
        <v>977</v>
      </c>
      <c r="E123" s="6">
        <v>1054</v>
      </c>
      <c r="F123" s="6">
        <v>1200</v>
      </c>
      <c r="G123" s="6">
        <f t="shared" si="23"/>
        <v>948</v>
      </c>
      <c r="H123" s="5">
        <v>0.99485737220590342</v>
      </c>
      <c r="I123" s="6">
        <f t="shared" si="24"/>
        <v>943</v>
      </c>
      <c r="J123" s="6">
        <f t="shared" si="44"/>
        <v>144</v>
      </c>
      <c r="K123" s="6">
        <f t="shared" si="25"/>
        <v>1087</v>
      </c>
      <c r="L123" s="6">
        <f t="shared" si="26"/>
        <v>1054</v>
      </c>
      <c r="M123" s="6">
        <f t="shared" si="27"/>
        <v>0</v>
      </c>
      <c r="N123" s="6">
        <f t="shared" si="28"/>
        <v>33</v>
      </c>
      <c r="O123" s="5">
        <v>0.03</v>
      </c>
      <c r="P123" s="6">
        <f t="shared" si="29"/>
        <v>1</v>
      </c>
      <c r="Q123" s="6">
        <f t="shared" si="30"/>
        <v>32</v>
      </c>
      <c r="R123" s="6">
        <v>117</v>
      </c>
      <c r="S123" s="6">
        <f t="shared" si="31"/>
        <v>832</v>
      </c>
      <c r="T123" s="5">
        <v>1.0099068803103859</v>
      </c>
      <c r="U123" s="6">
        <f t="shared" si="32"/>
        <v>840</v>
      </c>
      <c r="V123" s="6">
        <f t="shared" si="45"/>
        <v>262</v>
      </c>
      <c r="W123" s="6">
        <f t="shared" si="33"/>
        <v>1102</v>
      </c>
      <c r="X123" s="6">
        <f t="shared" si="34"/>
        <v>1054</v>
      </c>
      <c r="Y123" s="6">
        <f t="shared" si="35"/>
        <v>0</v>
      </c>
      <c r="Z123" s="6">
        <f t="shared" si="36"/>
        <v>48</v>
      </c>
      <c r="AA123" s="6">
        <f t="shared" si="37"/>
        <v>1</v>
      </c>
      <c r="AB123" s="6">
        <f t="shared" si="38"/>
        <v>47</v>
      </c>
      <c r="AC123" s="5">
        <f t="shared" si="39"/>
        <v>7.3055028462998106E-2</v>
      </c>
      <c r="AD123" s="5">
        <f t="shared" si="40"/>
        <v>1</v>
      </c>
      <c r="AE123" s="5">
        <f t="shared" si="41"/>
        <v>1</v>
      </c>
      <c r="AF123" s="5">
        <f t="shared" si="42"/>
        <v>0.78583333333333338</v>
      </c>
      <c r="AG123" s="5">
        <f t="shared" si="43"/>
        <v>0.7</v>
      </c>
    </row>
    <row r="124" spans="1:33">
      <c r="A124" s="4">
        <v>46186</v>
      </c>
      <c r="B124" s="3" t="s">
        <v>62</v>
      </c>
      <c r="C124" s="3">
        <v>7</v>
      </c>
      <c r="D124" s="6">
        <v>575</v>
      </c>
      <c r="E124" s="6">
        <v>571</v>
      </c>
      <c r="F124" s="6">
        <v>700</v>
      </c>
      <c r="G124" s="6">
        <f t="shared" si="23"/>
        <v>558</v>
      </c>
      <c r="H124" s="5">
        <v>0.9904459893051083</v>
      </c>
      <c r="I124" s="6">
        <f t="shared" si="24"/>
        <v>553</v>
      </c>
      <c r="J124" s="6">
        <f t="shared" si="44"/>
        <v>15</v>
      </c>
      <c r="K124" s="6">
        <f t="shared" si="25"/>
        <v>568</v>
      </c>
      <c r="L124" s="6">
        <f t="shared" si="26"/>
        <v>568</v>
      </c>
      <c r="M124" s="6">
        <f t="shared" si="27"/>
        <v>3</v>
      </c>
      <c r="N124" s="6">
        <f t="shared" si="28"/>
        <v>0</v>
      </c>
      <c r="O124" s="5">
        <v>1.7999999999999999E-2</v>
      </c>
      <c r="P124" s="6">
        <f t="shared" si="29"/>
        <v>0</v>
      </c>
      <c r="Q124" s="6">
        <f t="shared" si="30"/>
        <v>0</v>
      </c>
      <c r="R124" s="6">
        <v>104</v>
      </c>
      <c r="S124" s="6">
        <f t="shared" si="31"/>
        <v>558</v>
      </c>
      <c r="T124" s="5">
        <v>0.98052411842997966</v>
      </c>
      <c r="U124" s="6">
        <f t="shared" si="32"/>
        <v>547</v>
      </c>
      <c r="V124" s="6">
        <f t="shared" si="45"/>
        <v>121</v>
      </c>
      <c r="W124" s="6">
        <f t="shared" si="33"/>
        <v>668</v>
      </c>
      <c r="X124" s="6">
        <f t="shared" si="34"/>
        <v>571</v>
      </c>
      <c r="Y124" s="6">
        <f t="shared" si="35"/>
        <v>0</v>
      </c>
      <c r="Z124" s="6">
        <f t="shared" si="36"/>
        <v>97</v>
      </c>
      <c r="AA124" s="6">
        <f t="shared" si="37"/>
        <v>2</v>
      </c>
      <c r="AB124" s="6">
        <f t="shared" si="38"/>
        <v>95</v>
      </c>
      <c r="AC124" s="5">
        <f t="shared" si="39"/>
        <v>7.0052539404553416E-3</v>
      </c>
      <c r="AD124" s="5">
        <f t="shared" si="40"/>
        <v>0.99474605954465845</v>
      </c>
      <c r="AE124" s="5">
        <f t="shared" si="41"/>
        <v>1</v>
      </c>
      <c r="AF124" s="5">
        <f t="shared" si="42"/>
        <v>0.79</v>
      </c>
      <c r="AG124" s="5">
        <f t="shared" si="43"/>
        <v>0.78142857142857147</v>
      </c>
    </row>
    <row r="125" spans="1:33">
      <c r="A125" s="4">
        <v>46186</v>
      </c>
      <c r="B125" s="3" t="s">
        <v>63</v>
      </c>
      <c r="C125" s="3">
        <v>7</v>
      </c>
      <c r="D125" s="6">
        <v>456</v>
      </c>
      <c r="E125" s="6">
        <v>397</v>
      </c>
      <c r="F125" s="6">
        <v>560</v>
      </c>
      <c r="G125" s="6">
        <f t="shared" si="23"/>
        <v>442</v>
      </c>
      <c r="H125" s="5">
        <v>0.98155875532133963</v>
      </c>
      <c r="I125" s="6">
        <f t="shared" si="24"/>
        <v>434</v>
      </c>
      <c r="J125" s="6">
        <f t="shared" si="44"/>
        <v>57</v>
      </c>
      <c r="K125" s="6">
        <f t="shared" si="25"/>
        <v>491</v>
      </c>
      <c r="L125" s="6">
        <f t="shared" si="26"/>
        <v>397</v>
      </c>
      <c r="M125" s="6">
        <f t="shared" si="27"/>
        <v>0</v>
      </c>
      <c r="N125" s="6">
        <f t="shared" si="28"/>
        <v>94</v>
      </c>
      <c r="O125" s="5">
        <v>0.02</v>
      </c>
      <c r="P125" s="6">
        <f t="shared" si="29"/>
        <v>2</v>
      </c>
      <c r="Q125" s="6">
        <f t="shared" si="30"/>
        <v>92</v>
      </c>
      <c r="R125" s="6">
        <v>82</v>
      </c>
      <c r="S125" s="6">
        <f t="shared" si="31"/>
        <v>391</v>
      </c>
      <c r="T125" s="5">
        <v>1.0130639812740758</v>
      </c>
      <c r="U125" s="6">
        <f t="shared" si="32"/>
        <v>396</v>
      </c>
      <c r="V125" s="6">
        <f t="shared" si="45"/>
        <v>147</v>
      </c>
      <c r="W125" s="6">
        <f t="shared" si="33"/>
        <v>543</v>
      </c>
      <c r="X125" s="6">
        <f t="shared" si="34"/>
        <v>397</v>
      </c>
      <c r="Y125" s="6">
        <f t="shared" si="35"/>
        <v>0</v>
      </c>
      <c r="Z125" s="6">
        <f t="shared" si="36"/>
        <v>146</v>
      </c>
      <c r="AA125" s="6">
        <f t="shared" si="37"/>
        <v>3</v>
      </c>
      <c r="AB125" s="6">
        <f t="shared" si="38"/>
        <v>143</v>
      </c>
      <c r="AC125" s="5">
        <f t="shared" si="39"/>
        <v>0.1486146095717884</v>
      </c>
      <c r="AD125" s="5">
        <f t="shared" si="40"/>
        <v>1</v>
      </c>
      <c r="AE125" s="5">
        <f t="shared" si="41"/>
        <v>1</v>
      </c>
      <c r="AF125" s="5">
        <f t="shared" si="42"/>
        <v>0.77500000000000002</v>
      </c>
      <c r="AG125" s="5">
        <f t="shared" si="43"/>
        <v>0.70714285714285718</v>
      </c>
    </row>
    <row r="126" spans="1:33">
      <c r="A126" s="4">
        <v>46186</v>
      </c>
      <c r="B126" s="3" t="s">
        <v>64</v>
      </c>
      <c r="C126" s="3">
        <v>5</v>
      </c>
      <c r="D126" s="6">
        <v>181</v>
      </c>
      <c r="E126" s="6">
        <v>155</v>
      </c>
      <c r="F126" s="6">
        <v>230</v>
      </c>
      <c r="G126" s="6">
        <f t="shared" si="23"/>
        <v>176</v>
      </c>
      <c r="H126" s="5">
        <v>0.98553056605870948</v>
      </c>
      <c r="I126" s="6">
        <f t="shared" si="24"/>
        <v>173</v>
      </c>
      <c r="J126" s="6">
        <f t="shared" si="44"/>
        <v>20</v>
      </c>
      <c r="K126" s="6">
        <f t="shared" si="25"/>
        <v>193</v>
      </c>
      <c r="L126" s="6">
        <f t="shared" si="26"/>
        <v>155</v>
      </c>
      <c r="M126" s="6">
        <f t="shared" si="27"/>
        <v>0</v>
      </c>
      <c r="N126" s="6">
        <f t="shared" si="28"/>
        <v>38</v>
      </c>
      <c r="O126" s="5">
        <v>2.5000000000000001E-2</v>
      </c>
      <c r="P126" s="6">
        <f t="shared" si="29"/>
        <v>1</v>
      </c>
      <c r="Q126" s="6">
        <f t="shared" si="30"/>
        <v>37</v>
      </c>
      <c r="R126" s="6">
        <v>36</v>
      </c>
      <c r="S126" s="6">
        <f t="shared" si="31"/>
        <v>158</v>
      </c>
      <c r="T126" s="5">
        <v>1.000636147725229</v>
      </c>
      <c r="U126" s="6">
        <f t="shared" si="32"/>
        <v>158</v>
      </c>
      <c r="V126" s="6">
        <f t="shared" si="45"/>
        <v>59</v>
      </c>
      <c r="W126" s="6">
        <f t="shared" si="33"/>
        <v>217</v>
      </c>
      <c r="X126" s="6">
        <f t="shared" si="34"/>
        <v>155</v>
      </c>
      <c r="Y126" s="6">
        <f t="shared" si="35"/>
        <v>0</v>
      </c>
      <c r="Z126" s="6">
        <f t="shared" si="36"/>
        <v>62</v>
      </c>
      <c r="AA126" s="6">
        <f t="shared" si="37"/>
        <v>2</v>
      </c>
      <c r="AB126" s="6">
        <f t="shared" si="38"/>
        <v>60</v>
      </c>
      <c r="AC126" s="5">
        <f t="shared" si="39"/>
        <v>0.16774193548387098</v>
      </c>
      <c r="AD126" s="5">
        <f t="shared" si="40"/>
        <v>1</v>
      </c>
      <c r="AE126" s="5">
        <f t="shared" si="41"/>
        <v>1</v>
      </c>
      <c r="AF126" s="5">
        <f t="shared" si="42"/>
        <v>0.75217391304347825</v>
      </c>
      <c r="AG126" s="5">
        <f t="shared" si="43"/>
        <v>0.68695652173913047</v>
      </c>
    </row>
    <row r="127" spans="1:33">
      <c r="A127" s="4">
        <v>46187</v>
      </c>
      <c r="B127" s="3" t="s">
        <v>60</v>
      </c>
      <c r="C127" s="3">
        <v>2</v>
      </c>
      <c r="D127" s="6">
        <v>1921</v>
      </c>
      <c r="E127" s="6">
        <v>1700</v>
      </c>
      <c r="F127" s="6">
        <v>2250</v>
      </c>
      <c r="G127" s="6">
        <f t="shared" si="23"/>
        <v>1863</v>
      </c>
      <c r="H127" s="5">
        <v>1.0094286620055526</v>
      </c>
      <c r="I127" s="6">
        <f t="shared" si="24"/>
        <v>1881</v>
      </c>
      <c r="J127" s="6">
        <f t="shared" si="44"/>
        <v>967</v>
      </c>
      <c r="K127" s="6">
        <f t="shared" si="25"/>
        <v>2848</v>
      </c>
      <c r="L127" s="6">
        <f t="shared" si="26"/>
        <v>1700</v>
      </c>
      <c r="M127" s="6">
        <f t="shared" si="27"/>
        <v>0</v>
      </c>
      <c r="N127" s="6">
        <f t="shared" si="28"/>
        <v>1148</v>
      </c>
      <c r="O127" s="5">
        <v>2.5000000000000001E-2</v>
      </c>
      <c r="P127" s="6">
        <f t="shared" si="29"/>
        <v>29</v>
      </c>
      <c r="Q127" s="6">
        <f t="shared" si="30"/>
        <v>1119</v>
      </c>
      <c r="R127" s="6">
        <v>231</v>
      </c>
      <c r="S127" s="6">
        <f t="shared" si="31"/>
        <v>1891</v>
      </c>
      <c r="T127" s="5">
        <v>1.0157684365799482</v>
      </c>
      <c r="U127" s="6">
        <f t="shared" si="32"/>
        <v>1921</v>
      </c>
      <c r="V127" s="6">
        <f t="shared" si="45"/>
        <v>261</v>
      </c>
      <c r="W127" s="6">
        <f t="shared" si="33"/>
        <v>2182</v>
      </c>
      <c r="X127" s="6">
        <f t="shared" si="34"/>
        <v>1700</v>
      </c>
      <c r="Y127" s="6">
        <f t="shared" si="35"/>
        <v>0</v>
      </c>
      <c r="Z127" s="6">
        <f t="shared" si="36"/>
        <v>482</v>
      </c>
      <c r="AA127" s="6">
        <f t="shared" si="37"/>
        <v>12</v>
      </c>
      <c r="AB127" s="6">
        <f t="shared" si="38"/>
        <v>470</v>
      </c>
      <c r="AC127" s="5">
        <f t="shared" si="39"/>
        <v>0.13</v>
      </c>
      <c r="AD127" s="5">
        <f t="shared" si="40"/>
        <v>1</v>
      </c>
      <c r="AE127" s="5">
        <f t="shared" si="41"/>
        <v>1</v>
      </c>
      <c r="AF127" s="5">
        <f t="shared" si="42"/>
        <v>0.83599999999999997</v>
      </c>
      <c r="AG127" s="5">
        <f t="shared" si="43"/>
        <v>0.85377777777777775</v>
      </c>
    </row>
    <row r="128" spans="1:33">
      <c r="A128" s="4">
        <v>46187</v>
      </c>
      <c r="B128" s="3" t="s">
        <v>61</v>
      </c>
      <c r="C128" s="3">
        <v>2</v>
      </c>
      <c r="D128" s="6">
        <v>960</v>
      </c>
      <c r="E128" s="6">
        <v>838</v>
      </c>
      <c r="F128" s="6">
        <v>1200</v>
      </c>
      <c r="G128" s="6">
        <f t="shared" si="23"/>
        <v>931</v>
      </c>
      <c r="H128" s="5">
        <v>0.98013902874107017</v>
      </c>
      <c r="I128" s="6">
        <f t="shared" si="24"/>
        <v>913</v>
      </c>
      <c r="J128" s="6">
        <f t="shared" si="44"/>
        <v>32</v>
      </c>
      <c r="K128" s="6">
        <f t="shared" si="25"/>
        <v>945</v>
      </c>
      <c r="L128" s="6">
        <f t="shared" si="26"/>
        <v>838</v>
      </c>
      <c r="M128" s="6">
        <f t="shared" si="27"/>
        <v>0</v>
      </c>
      <c r="N128" s="6">
        <f t="shared" si="28"/>
        <v>107</v>
      </c>
      <c r="O128" s="5">
        <v>0.03</v>
      </c>
      <c r="P128" s="6">
        <f t="shared" si="29"/>
        <v>3</v>
      </c>
      <c r="Q128" s="6">
        <f t="shared" si="30"/>
        <v>104</v>
      </c>
      <c r="R128" s="6">
        <v>115</v>
      </c>
      <c r="S128" s="6">
        <f t="shared" si="31"/>
        <v>1028</v>
      </c>
      <c r="T128" s="5">
        <v>0.99565381279400178</v>
      </c>
      <c r="U128" s="6">
        <f t="shared" si="32"/>
        <v>1024</v>
      </c>
      <c r="V128" s="6">
        <f t="shared" si="45"/>
        <v>47</v>
      </c>
      <c r="W128" s="6">
        <f t="shared" si="33"/>
        <v>1071</v>
      </c>
      <c r="X128" s="6">
        <f t="shared" si="34"/>
        <v>838</v>
      </c>
      <c r="Y128" s="6">
        <f t="shared" si="35"/>
        <v>0</v>
      </c>
      <c r="Z128" s="6">
        <f t="shared" si="36"/>
        <v>233</v>
      </c>
      <c r="AA128" s="6">
        <f t="shared" si="37"/>
        <v>7</v>
      </c>
      <c r="AB128" s="6">
        <f t="shared" si="38"/>
        <v>226</v>
      </c>
      <c r="AC128" s="5">
        <f t="shared" si="39"/>
        <v>0.14558472553699284</v>
      </c>
      <c r="AD128" s="5">
        <f t="shared" si="40"/>
        <v>1</v>
      </c>
      <c r="AE128" s="5">
        <f t="shared" si="41"/>
        <v>1</v>
      </c>
      <c r="AF128" s="5">
        <f t="shared" si="42"/>
        <v>0.76083333333333336</v>
      </c>
      <c r="AG128" s="5">
        <f t="shared" si="43"/>
        <v>0.85333333333333339</v>
      </c>
    </row>
    <row r="129" spans="1:33">
      <c r="A129" s="4">
        <v>46187</v>
      </c>
      <c r="B129" s="3" t="s">
        <v>62</v>
      </c>
      <c r="C129" s="3">
        <v>7</v>
      </c>
      <c r="D129" s="6">
        <v>585</v>
      </c>
      <c r="E129" s="6">
        <v>621</v>
      </c>
      <c r="F129" s="6">
        <v>700</v>
      </c>
      <c r="G129" s="6">
        <f t="shared" si="23"/>
        <v>567</v>
      </c>
      <c r="H129" s="5">
        <v>1.0120771059268077</v>
      </c>
      <c r="I129" s="6">
        <f t="shared" si="24"/>
        <v>574</v>
      </c>
      <c r="J129" s="6">
        <f t="shared" si="44"/>
        <v>0</v>
      </c>
      <c r="K129" s="6">
        <f t="shared" si="25"/>
        <v>574</v>
      </c>
      <c r="L129" s="6">
        <f t="shared" si="26"/>
        <v>574</v>
      </c>
      <c r="M129" s="6">
        <f t="shared" si="27"/>
        <v>47</v>
      </c>
      <c r="N129" s="6">
        <f t="shared" si="28"/>
        <v>0</v>
      </c>
      <c r="O129" s="5">
        <v>1.7999999999999999E-2</v>
      </c>
      <c r="P129" s="6">
        <f t="shared" si="29"/>
        <v>0</v>
      </c>
      <c r="Q129" s="6">
        <f t="shared" si="30"/>
        <v>0</v>
      </c>
      <c r="R129" s="6">
        <v>105</v>
      </c>
      <c r="S129" s="6">
        <f t="shared" si="31"/>
        <v>595</v>
      </c>
      <c r="T129" s="5">
        <v>1.0043484189177978</v>
      </c>
      <c r="U129" s="6">
        <f t="shared" si="32"/>
        <v>598</v>
      </c>
      <c r="V129" s="6">
        <f t="shared" si="45"/>
        <v>95</v>
      </c>
      <c r="W129" s="6">
        <f t="shared" si="33"/>
        <v>693</v>
      </c>
      <c r="X129" s="6">
        <f t="shared" si="34"/>
        <v>621</v>
      </c>
      <c r="Y129" s="6">
        <f t="shared" si="35"/>
        <v>0</v>
      </c>
      <c r="Z129" s="6">
        <f t="shared" si="36"/>
        <v>72</v>
      </c>
      <c r="AA129" s="6">
        <f t="shared" si="37"/>
        <v>1</v>
      </c>
      <c r="AB129" s="6">
        <f t="shared" si="38"/>
        <v>71</v>
      </c>
      <c r="AC129" s="5">
        <f t="shared" si="39"/>
        <v>5.7971014492753624E-2</v>
      </c>
      <c r="AD129" s="5">
        <f t="shared" si="40"/>
        <v>0.92431561996779388</v>
      </c>
      <c r="AE129" s="5">
        <f t="shared" si="41"/>
        <v>1</v>
      </c>
      <c r="AF129" s="5">
        <f t="shared" si="42"/>
        <v>0.82</v>
      </c>
      <c r="AG129" s="5">
        <f t="shared" si="43"/>
        <v>0.85428571428571431</v>
      </c>
    </row>
    <row r="130" spans="1:33">
      <c r="A130" s="4">
        <v>46187</v>
      </c>
      <c r="B130" s="3" t="s">
        <v>63</v>
      </c>
      <c r="C130" s="3">
        <v>7</v>
      </c>
      <c r="D130" s="6">
        <v>468</v>
      </c>
      <c r="E130" s="6">
        <v>493</v>
      </c>
      <c r="F130" s="6">
        <v>560</v>
      </c>
      <c r="G130" s="6">
        <f t="shared" ref="G130:G193" si="46">ROUND(D130*0.97,0)</f>
        <v>454</v>
      </c>
      <c r="H130" s="5">
        <v>0.99056490825087784</v>
      </c>
      <c r="I130" s="6">
        <f t="shared" ref="I130:I193" si="47">MIN(F130,ROUND(G130*H130,0))</f>
        <v>450</v>
      </c>
      <c r="J130" s="6">
        <f t="shared" si="44"/>
        <v>92</v>
      </c>
      <c r="K130" s="6">
        <f t="shared" ref="K130:K193" si="48">I130+J130</f>
        <v>542</v>
      </c>
      <c r="L130" s="6">
        <f t="shared" ref="L130:L193" si="49">MIN(E130,K130)</f>
        <v>493</v>
      </c>
      <c r="M130" s="6">
        <f t="shared" ref="M130:M193" si="50">MAX(E130-K130,0)</f>
        <v>0</v>
      </c>
      <c r="N130" s="6">
        <f t="shared" ref="N130:N193" si="51">MAX(K130-L130,0)</f>
        <v>49</v>
      </c>
      <c r="O130" s="5">
        <v>0.02</v>
      </c>
      <c r="P130" s="6">
        <f t="shared" ref="P130:P193" si="52">MIN(N130,ROUND(N130*O130,0))</f>
        <v>1</v>
      </c>
      <c r="Q130" s="6">
        <f t="shared" ref="Q130:Q193" si="53">N130-P130</f>
        <v>48</v>
      </c>
      <c r="R130" s="6">
        <v>84</v>
      </c>
      <c r="S130" s="6">
        <f t="shared" ref="S130:S193" si="54">MIN(F130,MAX(0,ROUND(D130+R130-V130,0)))</f>
        <v>409</v>
      </c>
      <c r="T130" s="5">
        <v>1.009340346781376</v>
      </c>
      <c r="U130" s="6">
        <f t="shared" ref="U130:U193" si="55">MIN(F130,MAX(0,ROUND(S130*T130,0)))</f>
        <v>413</v>
      </c>
      <c r="V130" s="6">
        <f t="shared" si="45"/>
        <v>143</v>
      </c>
      <c r="W130" s="6">
        <f t="shared" ref="W130:W193" si="56">U130+V130</f>
        <v>556</v>
      </c>
      <c r="X130" s="6">
        <f t="shared" ref="X130:X193" si="57">MIN(E130,W130)</f>
        <v>493</v>
      </c>
      <c r="Y130" s="6">
        <f t="shared" ref="Y130:Y193" si="58">MAX(E130-W130,0)</f>
        <v>0</v>
      </c>
      <c r="Z130" s="6">
        <f t="shared" ref="Z130:Z193" si="59">MAX(W130-X130,0)</f>
        <v>63</v>
      </c>
      <c r="AA130" s="6">
        <f t="shared" ref="AA130:AA193" si="60">MIN(Z130,ROUND(Z130*O130,0))</f>
        <v>1</v>
      </c>
      <c r="AB130" s="6">
        <f t="shared" ref="AB130:AB193" si="61">Z130-AA130</f>
        <v>62</v>
      </c>
      <c r="AC130" s="5">
        <f t="shared" ref="AC130:AC193" si="62">IFERROR(ABS(E130-D130)/E130,0)</f>
        <v>5.0709939148073022E-2</v>
      </c>
      <c r="AD130" s="5">
        <f t="shared" ref="AD130:AD193" si="63">IFERROR(L130/E130,1)</f>
        <v>1</v>
      </c>
      <c r="AE130" s="5">
        <f t="shared" ref="AE130:AE193" si="64">IFERROR(X130/E130,1)</f>
        <v>1</v>
      </c>
      <c r="AF130" s="5">
        <f t="shared" ref="AF130:AF193" si="65">IFERROR(I130/F130,0)</f>
        <v>0.8035714285714286</v>
      </c>
      <c r="AG130" s="5">
        <f t="shared" ref="AG130:AG193" si="66">IFERROR(U130/F130,0)</f>
        <v>0.73750000000000004</v>
      </c>
    </row>
    <row r="131" spans="1:33">
      <c r="A131" s="4">
        <v>46187</v>
      </c>
      <c r="B131" s="3" t="s">
        <v>64</v>
      </c>
      <c r="C131" s="3">
        <v>5</v>
      </c>
      <c r="D131" s="6">
        <v>186</v>
      </c>
      <c r="E131" s="6">
        <v>170</v>
      </c>
      <c r="F131" s="6">
        <v>230</v>
      </c>
      <c r="G131" s="6">
        <f t="shared" si="46"/>
        <v>180</v>
      </c>
      <c r="H131" s="5">
        <v>1.0039055140481352</v>
      </c>
      <c r="I131" s="6">
        <f t="shared" si="47"/>
        <v>181</v>
      </c>
      <c r="J131" s="6">
        <f t="shared" si="44"/>
        <v>37</v>
      </c>
      <c r="K131" s="6">
        <f t="shared" si="48"/>
        <v>218</v>
      </c>
      <c r="L131" s="6">
        <f t="shared" si="49"/>
        <v>170</v>
      </c>
      <c r="M131" s="6">
        <f t="shared" si="50"/>
        <v>0</v>
      </c>
      <c r="N131" s="6">
        <f t="shared" si="51"/>
        <v>48</v>
      </c>
      <c r="O131" s="5">
        <v>2.5000000000000001E-2</v>
      </c>
      <c r="P131" s="6">
        <f t="shared" si="52"/>
        <v>1</v>
      </c>
      <c r="Q131" s="6">
        <f t="shared" si="53"/>
        <v>47</v>
      </c>
      <c r="R131" s="6">
        <v>37</v>
      </c>
      <c r="S131" s="6">
        <f t="shared" si="54"/>
        <v>163</v>
      </c>
      <c r="T131" s="5">
        <v>1.009051954922533</v>
      </c>
      <c r="U131" s="6">
        <f t="shared" si="55"/>
        <v>164</v>
      </c>
      <c r="V131" s="6">
        <f t="shared" si="45"/>
        <v>60</v>
      </c>
      <c r="W131" s="6">
        <f t="shared" si="56"/>
        <v>224</v>
      </c>
      <c r="X131" s="6">
        <f t="shared" si="57"/>
        <v>170</v>
      </c>
      <c r="Y131" s="6">
        <f t="shared" si="58"/>
        <v>0</v>
      </c>
      <c r="Z131" s="6">
        <f t="shared" si="59"/>
        <v>54</v>
      </c>
      <c r="AA131" s="6">
        <f t="shared" si="60"/>
        <v>1</v>
      </c>
      <c r="AB131" s="6">
        <f t="shared" si="61"/>
        <v>53</v>
      </c>
      <c r="AC131" s="5">
        <f t="shared" si="62"/>
        <v>9.4117647058823528E-2</v>
      </c>
      <c r="AD131" s="5">
        <f t="shared" si="63"/>
        <v>1</v>
      </c>
      <c r="AE131" s="5">
        <f t="shared" si="64"/>
        <v>1</v>
      </c>
      <c r="AF131" s="5">
        <f t="shared" si="65"/>
        <v>0.78695652173913044</v>
      </c>
      <c r="AG131" s="5">
        <f t="shared" si="66"/>
        <v>0.71304347826086956</v>
      </c>
    </row>
    <row r="132" spans="1:33">
      <c r="A132" s="4">
        <v>46188</v>
      </c>
      <c r="B132" s="3" t="s">
        <v>60</v>
      </c>
      <c r="C132" s="3">
        <v>2</v>
      </c>
      <c r="D132" s="6">
        <v>1647</v>
      </c>
      <c r="E132" s="6">
        <v>1415</v>
      </c>
      <c r="F132" s="6">
        <v>2250</v>
      </c>
      <c r="G132" s="6">
        <f t="shared" si="46"/>
        <v>1598</v>
      </c>
      <c r="H132" s="5">
        <v>0.99466857007072496</v>
      </c>
      <c r="I132" s="6">
        <f t="shared" si="47"/>
        <v>1589</v>
      </c>
      <c r="J132" s="6">
        <f t="shared" si="44"/>
        <v>1119</v>
      </c>
      <c r="K132" s="6">
        <f t="shared" si="48"/>
        <v>2708</v>
      </c>
      <c r="L132" s="6">
        <f t="shared" si="49"/>
        <v>1415</v>
      </c>
      <c r="M132" s="6">
        <f t="shared" si="50"/>
        <v>0</v>
      </c>
      <c r="N132" s="6">
        <f t="shared" si="51"/>
        <v>1293</v>
      </c>
      <c r="O132" s="5">
        <v>2.5000000000000001E-2</v>
      </c>
      <c r="P132" s="6">
        <f t="shared" si="52"/>
        <v>32</v>
      </c>
      <c r="Q132" s="6">
        <f t="shared" si="53"/>
        <v>1261</v>
      </c>
      <c r="R132" s="6">
        <v>198</v>
      </c>
      <c r="S132" s="6">
        <f t="shared" si="54"/>
        <v>1375</v>
      </c>
      <c r="T132" s="5">
        <v>1.0103433822974122</v>
      </c>
      <c r="U132" s="6">
        <f t="shared" si="55"/>
        <v>1389</v>
      </c>
      <c r="V132" s="6">
        <f t="shared" si="45"/>
        <v>470</v>
      </c>
      <c r="W132" s="6">
        <f t="shared" si="56"/>
        <v>1859</v>
      </c>
      <c r="X132" s="6">
        <f t="shared" si="57"/>
        <v>1415</v>
      </c>
      <c r="Y132" s="6">
        <f t="shared" si="58"/>
        <v>0</v>
      </c>
      <c r="Z132" s="6">
        <f t="shared" si="59"/>
        <v>444</v>
      </c>
      <c r="AA132" s="6">
        <f t="shared" si="60"/>
        <v>11</v>
      </c>
      <c r="AB132" s="6">
        <f t="shared" si="61"/>
        <v>433</v>
      </c>
      <c r="AC132" s="5">
        <f t="shared" si="62"/>
        <v>0.16395759717314487</v>
      </c>
      <c r="AD132" s="5">
        <f t="shared" si="63"/>
        <v>1</v>
      </c>
      <c r="AE132" s="5">
        <f t="shared" si="64"/>
        <v>1</v>
      </c>
      <c r="AF132" s="5">
        <f t="shared" si="65"/>
        <v>0.7062222222222222</v>
      </c>
      <c r="AG132" s="5">
        <f t="shared" si="66"/>
        <v>0.61733333333333329</v>
      </c>
    </row>
    <row r="133" spans="1:33">
      <c r="A133" s="4">
        <v>46188</v>
      </c>
      <c r="B133" s="3" t="s">
        <v>61</v>
      </c>
      <c r="C133" s="3">
        <v>2</v>
      </c>
      <c r="D133" s="6">
        <v>815</v>
      </c>
      <c r="E133" s="6">
        <v>932</v>
      </c>
      <c r="F133" s="6">
        <v>1200</v>
      </c>
      <c r="G133" s="6">
        <f t="shared" si="46"/>
        <v>791</v>
      </c>
      <c r="H133" s="5">
        <v>0.9999825067984166</v>
      </c>
      <c r="I133" s="6">
        <f t="shared" si="47"/>
        <v>791</v>
      </c>
      <c r="J133" s="6">
        <f t="shared" si="44"/>
        <v>104</v>
      </c>
      <c r="K133" s="6">
        <f t="shared" si="48"/>
        <v>895</v>
      </c>
      <c r="L133" s="6">
        <f t="shared" si="49"/>
        <v>895</v>
      </c>
      <c r="M133" s="6">
        <f t="shared" si="50"/>
        <v>37</v>
      </c>
      <c r="N133" s="6">
        <f t="shared" si="51"/>
        <v>0</v>
      </c>
      <c r="O133" s="5">
        <v>0.03</v>
      </c>
      <c r="P133" s="6">
        <f t="shared" si="52"/>
        <v>0</v>
      </c>
      <c r="Q133" s="6">
        <f t="shared" si="53"/>
        <v>0</v>
      </c>
      <c r="R133" s="6">
        <v>98</v>
      </c>
      <c r="S133" s="6">
        <f t="shared" si="54"/>
        <v>687</v>
      </c>
      <c r="T133" s="5">
        <v>1.0075799420447213</v>
      </c>
      <c r="U133" s="6">
        <f t="shared" si="55"/>
        <v>692</v>
      </c>
      <c r="V133" s="6">
        <f t="shared" si="45"/>
        <v>226</v>
      </c>
      <c r="W133" s="6">
        <f t="shared" si="56"/>
        <v>918</v>
      </c>
      <c r="X133" s="6">
        <f t="shared" si="57"/>
        <v>918</v>
      </c>
      <c r="Y133" s="6">
        <f t="shared" si="58"/>
        <v>14</v>
      </c>
      <c r="Z133" s="6">
        <f t="shared" si="59"/>
        <v>0</v>
      </c>
      <c r="AA133" s="6">
        <f t="shared" si="60"/>
        <v>0</v>
      </c>
      <c r="AB133" s="6">
        <f t="shared" si="61"/>
        <v>0</v>
      </c>
      <c r="AC133" s="5">
        <f t="shared" si="62"/>
        <v>0.12553648068669529</v>
      </c>
      <c r="AD133" s="5">
        <f t="shared" si="63"/>
        <v>0.96030042918454939</v>
      </c>
      <c r="AE133" s="5">
        <f t="shared" si="64"/>
        <v>0.98497854077253222</v>
      </c>
      <c r="AF133" s="5">
        <f t="shared" si="65"/>
        <v>0.65916666666666668</v>
      </c>
      <c r="AG133" s="5">
        <f t="shared" si="66"/>
        <v>0.57666666666666666</v>
      </c>
    </row>
    <row r="134" spans="1:33">
      <c r="A134" s="4">
        <v>46188</v>
      </c>
      <c r="B134" s="3" t="s">
        <v>62</v>
      </c>
      <c r="C134" s="3">
        <v>7</v>
      </c>
      <c r="D134" s="6">
        <v>469</v>
      </c>
      <c r="E134" s="6">
        <v>503</v>
      </c>
      <c r="F134" s="6">
        <v>700</v>
      </c>
      <c r="G134" s="6">
        <f t="shared" si="46"/>
        <v>455</v>
      </c>
      <c r="H134" s="5">
        <v>0.9887010495009545</v>
      </c>
      <c r="I134" s="6">
        <f t="shared" si="47"/>
        <v>450</v>
      </c>
      <c r="J134" s="6">
        <f t="shared" si="44"/>
        <v>0</v>
      </c>
      <c r="K134" s="6">
        <f t="shared" si="48"/>
        <v>450</v>
      </c>
      <c r="L134" s="6">
        <f t="shared" si="49"/>
        <v>450</v>
      </c>
      <c r="M134" s="6">
        <f t="shared" si="50"/>
        <v>53</v>
      </c>
      <c r="N134" s="6">
        <f t="shared" si="51"/>
        <v>0</v>
      </c>
      <c r="O134" s="5">
        <v>1.7999999999999999E-2</v>
      </c>
      <c r="P134" s="6">
        <f t="shared" si="52"/>
        <v>0</v>
      </c>
      <c r="Q134" s="6">
        <f t="shared" si="53"/>
        <v>0</v>
      </c>
      <c r="R134" s="6">
        <v>84</v>
      </c>
      <c r="S134" s="6">
        <f t="shared" si="54"/>
        <v>482</v>
      </c>
      <c r="T134" s="5">
        <v>1.0162681128437676</v>
      </c>
      <c r="U134" s="6">
        <f t="shared" si="55"/>
        <v>490</v>
      </c>
      <c r="V134" s="6">
        <f t="shared" si="45"/>
        <v>71</v>
      </c>
      <c r="W134" s="6">
        <f t="shared" si="56"/>
        <v>561</v>
      </c>
      <c r="X134" s="6">
        <f t="shared" si="57"/>
        <v>503</v>
      </c>
      <c r="Y134" s="6">
        <f t="shared" si="58"/>
        <v>0</v>
      </c>
      <c r="Z134" s="6">
        <f t="shared" si="59"/>
        <v>58</v>
      </c>
      <c r="AA134" s="6">
        <f t="shared" si="60"/>
        <v>1</v>
      </c>
      <c r="AB134" s="6">
        <f t="shared" si="61"/>
        <v>57</v>
      </c>
      <c r="AC134" s="5">
        <f t="shared" si="62"/>
        <v>6.7594433399602388E-2</v>
      </c>
      <c r="AD134" s="5">
        <f t="shared" si="63"/>
        <v>0.89463220675944333</v>
      </c>
      <c r="AE134" s="5">
        <f t="shared" si="64"/>
        <v>1</v>
      </c>
      <c r="AF134" s="5">
        <f t="shared" si="65"/>
        <v>0.6428571428571429</v>
      </c>
      <c r="AG134" s="5">
        <f t="shared" si="66"/>
        <v>0.7</v>
      </c>
    </row>
    <row r="135" spans="1:33">
      <c r="A135" s="4">
        <v>46188</v>
      </c>
      <c r="B135" s="3" t="s">
        <v>63</v>
      </c>
      <c r="C135" s="3">
        <v>7</v>
      </c>
      <c r="D135" s="6">
        <v>363</v>
      </c>
      <c r="E135" s="6">
        <v>376</v>
      </c>
      <c r="F135" s="6">
        <v>560</v>
      </c>
      <c r="G135" s="6">
        <f t="shared" si="46"/>
        <v>352</v>
      </c>
      <c r="H135" s="5">
        <v>0.99970070630068264</v>
      </c>
      <c r="I135" s="6">
        <f t="shared" si="47"/>
        <v>352</v>
      </c>
      <c r="J135" s="6">
        <f t="shared" ref="J135:J198" si="67">Q130</f>
        <v>48</v>
      </c>
      <c r="K135" s="6">
        <f t="shared" si="48"/>
        <v>400</v>
      </c>
      <c r="L135" s="6">
        <f t="shared" si="49"/>
        <v>376</v>
      </c>
      <c r="M135" s="6">
        <f t="shared" si="50"/>
        <v>0</v>
      </c>
      <c r="N135" s="6">
        <f t="shared" si="51"/>
        <v>24</v>
      </c>
      <c r="O135" s="5">
        <v>0.02</v>
      </c>
      <c r="P135" s="6">
        <f t="shared" si="52"/>
        <v>0</v>
      </c>
      <c r="Q135" s="6">
        <f t="shared" si="53"/>
        <v>24</v>
      </c>
      <c r="R135" s="6">
        <v>65</v>
      </c>
      <c r="S135" s="6">
        <f t="shared" si="54"/>
        <v>366</v>
      </c>
      <c r="T135" s="5">
        <v>0.98902278431208834</v>
      </c>
      <c r="U135" s="6">
        <f t="shared" si="55"/>
        <v>362</v>
      </c>
      <c r="V135" s="6">
        <f t="shared" ref="V135:V198" si="68">AB130</f>
        <v>62</v>
      </c>
      <c r="W135" s="6">
        <f t="shared" si="56"/>
        <v>424</v>
      </c>
      <c r="X135" s="6">
        <f t="shared" si="57"/>
        <v>376</v>
      </c>
      <c r="Y135" s="6">
        <f t="shared" si="58"/>
        <v>0</v>
      </c>
      <c r="Z135" s="6">
        <f t="shared" si="59"/>
        <v>48</v>
      </c>
      <c r="AA135" s="6">
        <f t="shared" si="60"/>
        <v>1</v>
      </c>
      <c r="AB135" s="6">
        <f t="shared" si="61"/>
        <v>47</v>
      </c>
      <c r="AC135" s="5">
        <f t="shared" si="62"/>
        <v>3.4574468085106384E-2</v>
      </c>
      <c r="AD135" s="5">
        <f t="shared" si="63"/>
        <v>1</v>
      </c>
      <c r="AE135" s="5">
        <f t="shared" si="64"/>
        <v>1</v>
      </c>
      <c r="AF135" s="5">
        <f t="shared" si="65"/>
        <v>0.62857142857142856</v>
      </c>
      <c r="AG135" s="5">
        <f t="shared" si="66"/>
        <v>0.64642857142857146</v>
      </c>
    </row>
    <row r="136" spans="1:33">
      <c r="A136" s="4">
        <v>46188</v>
      </c>
      <c r="B136" s="3" t="s">
        <v>64</v>
      </c>
      <c r="C136" s="3">
        <v>5</v>
      </c>
      <c r="D136" s="6">
        <v>149</v>
      </c>
      <c r="E136" s="6">
        <v>167</v>
      </c>
      <c r="F136" s="6">
        <v>230</v>
      </c>
      <c r="G136" s="6">
        <f t="shared" si="46"/>
        <v>145</v>
      </c>
      <c r="H136" s="5">
        <v>0.98199774404427154</v>
      </c>
      <c r="I136" s="6">
        <f t="shared" si="47"/>
        <v>142</v>
      </c>
      <c r="J136" s="6">
        <f t="shared" si="67"/>
        <v>47</v>
      </c>
      <c r="K136" s="6">
        <f t="shared" si="48"/>
        <v>189</v>
      </c>
      <c r="L136" s="6">
        <f t="shared" si="49"/>
        <v>167</v>
      </c>
      <c r="M136" s="6">
        <f t="shared" si="50"/>
        <v>0</v>
      </c>
      <c r="N136" s="6">
        <f t="shared" si="51"/>
        <v>22</v>
      </c>
      <c r="O136" s="5">
        <v>2.5000000000000001E-2</v>
      </c>
      <c r="P136" s="6">
        <f t="shared" si="52"/>
        <v>1</v>
      </c>
      <c r="Q136" s="6">
        <f t="shared" si="53"/>
        <v>21</v>
      </c>
      <c r="R136" s="6">
        <v>30</v>
      </c>
      <c r="S136" s="6">
        <f t="shared" si="54"/>
        <v>126</v>
      </c>
      <c r="T136" s="5">
        <v>0.99559452457403097</v>
      </c>
      <c r="U136" s="6">
        <f t="shared" si="55"/>
        <v>125</v>
      </c>
      <c r="V136" s="6">
        <f t="shared" si="68"/>
        <v>53</v>
      </c>
      <c r="W136" s="6">
        <f t="shared" si="56"/>
        <v>178</v>
      </c>
      <c r="X136" s="6">
        <f t="shared" si="57"/>
        <v>167</v>
      </c>
      <c r="Y136" s="6">
        <f t="shared" si="58"/>
        <v>0</v>
      </c>
      <c r="Z136" s="6">
        <f t="shared" si="59"/>
        <v>11</v>
      </c>
      <c r="AA136" s="6">
        <f t="shared" si="60"/>
        <v>0</v>
      </c>
      <c r="AB136" s="6">
        <f t="shared" si="61"/>
        <v>11</v>
      </c>
      <c r="AC136" s="5">
        <f t="shared" si="62"/>
        <v>0.10778443113772455</v>
      </c>
      <c r="AD136" s="5">
        <f t="shared" si="63"/>
        <v>1</v>
      </c>
      <c r="AE136" s="5">
        <f t="shared" si="64"/>
        <v>1</v>
      </c>
      <c r="AF136" s="5">
        <f t="shared" si="65"/>
        <v>0.61739130434782608</v>
      </c>
      <c r="AG136" s="5">
        <f t="shared" si="66"/>
        <v>0.54347826086956519</v>
      </c>
    </row>
    <row r="137" spans="1:33">
      <c r="A137" s="4">
        <v>46189</v>
      </c>
      <c r="B137" s="3" t="s">
        <v>60</v>
      </c>
      <c r="C137" s="3">
        <v>2</v>
      </c>
      <c r="D137" s="6">
        <v>1682</v>
      </c>
      <c r="E137" s="6">
        <v>1803</v>
      </c>
      <c r="F137" s="6">
        <v>2250</v>
      </c>
      <c r="G137" s="6">
        <f t="shared" si="46"/>
        <v>1632</v>
      </c>
      <c r="H137" s="5">
        <v>1.0178556321179746</v>
      </c>
      <c r="I137" s="6">
        <f t="shared" si="47"/>
        <v>1661</v>
      </c>
      <c r="J137" s="6">
        <f t="shared" si="67"/>
        <v>1261</v>
      </c>
      <c r="K137" s="6">
        <f t="shared" si="48"/>
        <v>2922</v>
      </c>
      <c r="L137" s="6">
        <f t="shared" si="49"/>
        <v>1803</v>
      </c>
      <c r="M137" s="6">
        <f t="shared" si="50"/>
        <v>0</v>
      </c>
      <c r="N137" s="6">
        <f t="shared" si="51"/>
        <v>1119</v>
      </c>
      <c r="O137" s="5">
        <v>2.5000000000000001E-2</v>
      </c>
      <c r="P137" s="6">
        <f t="shared" si="52"/>
        <v>28</v>
      </c>
      <c r="Q137" s="6">
        <f t="shared" si="53"/>
        <v>1091</v>
      </c>
      <c r="R137" s="6">
        <v>202</v>
      </c>
      <c r="S137" s="6">
        <f t="shared" si="54"/>
        <v>1451</v>
      </c>
      <c r="T137" s="5">
        <v>1.0169826979557388</v>
      </c>
      <c r="U137" s="6">
        <f t="shared" si="55"/>
        <v>1476</v>
      </c>
      <c r="V137" s="6">
        <f t="shared" si="68"/>
        <v>433</v>
      </c>
      <c r="W137" s="6">
        <f t="shared" si="56"/>
        <v>1909</v>
      </c>
      <c r="X137" s="6">
        <f t="shared" si="57"/>
        <v>1803</v>
      </c>
      <c r="Y137" s="6">
        <f t="shared" si="58"/>
        <v>0</v>
      </c>
      <c r="Z137" s="6">
        <f t="shared" si="59"/>
        <v>106</v>
      </c>
      <c r="AA137" s="6">
        <f t="shared" si="60"/>
        <v>3</v>
      </c>
      <c r="AB137" s="6">
        <f t="shared" si="61"/>
        <v>103</v>
      </c>
      <c r="AC137" s="5">
        <f t="shared" si="62"/>
        <v>6.7110371602884078E-2</v>
      </c>
      <c r="AD137" s="5">
        <f t="shared" si="63"/>
        <v>1</v>
      </c>
      <c r="AE137" s="5">
        <f t="shared" si="64"/>
        <v>1</v>
      </c>
      <c r="AF137" s="5">
        <f t="shared" si="65"/>
        <v>0.73822222222222222</v>
      </c>
      <c r="AG137" s="5">
        <f t="shared" si="66"/>
        <v>0.65600000000000003</v>
      </c>
    </row>
    <row r="138" spans="1:33">
      <c r="A138" s="4">
        <v>46189</v>
      </c>
      <c r="B138" s="3" t="s">
        <v>61</v>
      </c>
      <c r="C138" s="3">
        <v>2</v>
      </c>
      <c r="D138" s="6">
        <v>841</v>
      </c>
      <c r="E138" s="6">
        <v>804</v>
      </c>
      <c r="F138" s="6">
        <v>1200</v>
      </c>
      <c r="G138" s="6">
        <f t="shared" si="46"/>
        <v>816</v>
      </c>
      <c r="H138" s="5">
        <v>0.98230140202309379</v>
      </c>
      <c r="I138" s="6">
        <f t="shared" si="47"/>
        <v>802</v>
      </c>
      <c r="J138" s="6">
        <f t="shared" si="67"/>
        <v>0</v>
      </c>
      <c r="K138" s="6">
        <f t="shared" si="48"/>
        <v>802</v>
      </c>
      <c r="L138" s="6">
        <f t="shared" si="49"/>
        <v>802</v>
      </c>
      <c r="M138" s="6">
        <f t="shared" si="50"/>
        <v>2</v>
      </c>
      <c r="N138" s="6">
        <f t="shared" si="51"/>
        <v>0</v>
      </c>
      <c r="O138" s="5">
        <v>0.03</v>
      </c>
      <c r="P138" s="6">
        <f t="shared" si="52"/>
        <v>0</v>
      </c>
      <c r="Q138" s="6">
        <f t="shared" si="53"/>
        <v>0</v>
      </c>
      <c r="R138" s="6">
        <v>101</v>
      </c>
      <c r="S138" s="6">
        <f t="shared" si="54"/>
        <v>942</v>
      </c>
      <c r="T138" s="5">
        <v>0.9871940868852479</v>
      </c>
      <c r="U138" s="6">
        <f t="shared" si="55"/>
        <v>930</v>
      </c>
      <c r="V138" s="6">
        <f t="shared" si="68"/>
        <v>0</v>
      </c>
      <c r="W138" s="6">
        <f t="shared" si="56"/>
        <v>930</v>
      </c>
      <c r="X138" s="6">
        <f t="shared" si="57"/>
        <v>804</v>
      </c>
      <c r="Y138" s="6">
        <f t="shared" si="58"/>
        <v>0</v>
      </c>
      <c r="Z138" s="6">
        <f t="shared" si="59"/>
        <v>126</v>
      </c>
      <c r="AA138" s="6">
        <f t="shared" si="60"/>
        <v>4</v>
      </c>
      <c r="AB138" s="6">
        <f t="shared" si="61"/>
        <v>122</v>
      </c>
      <c r="AC138" s="5">
        <f t="shared" si="62"/>
        <v>4.6019900497512436E-2</v>
      </c>
      <c r="AD138" s="5">
        <f t="shared" si="63"/>
        <v>0.99751243781094523</v>
      </c>
      <c r="AE138" s="5">
        <f t="shared" si="64"/>
        <v>1</v>
      </c>
      <c r="AF138" s="5">
        <f t="shared" si="65"/>
        <v>0.66833333333333333</v>
      </c>
      <c r="AG138" s="5">
        <f t="shared" si="66"/>
        <v>0.77500000000000002</v>
      </c>
    </row>
    <row r="139" spans="1:33">
      <c r="A139" s="4">
        <v>46189</v>
      </c>
      <c r="B139" s="3" t="s">
        <v>62</v>
      </c>
      <c r="C139" s="3">
        <v>7</v>
      </c>
      <c r="D139" s="6">
        <v>485</v>
      </c>
      <c r="E139" s="6">
        <v>447</v>
      </c>
      <c r="F139" s="6">
        <v>700</v>
      </c>
      <c r="G139" s="6">
        <f t="shared" si="46"/>
        <v>470</v>
      </c>
      <c r="H139" s="5">
        <v>1.0195898577308933</v>
      </c>
      <c r="I139" s="6">
        <f t="shared" si="47"/>
        <v>479</v>
      </c>
      <c r="J139" s="6">
        <f t="shared" si="67"/>
        <v>0</v>
      </c>
      <c r="K139" s="6">
        <f t="shared" si="48"/>
        <v>479</v>
      </c>
      <c r="L139" s="6">
        <f t="shared" si="49"/>
        <v>447</v>
      </c>
      <c r="M139" s="6">
        <f t="shared" si="50"/>
        <v>0</v>
      </c>
      <c r="N139" s="6">
        <f t="shared" si="51"/>
        <v>32</v>
      </c>
      <c r="O139" s="5">
        <v>1.7999999999999999E-2</v>
      </c>
      <c r="P139" s="6">
        <f t="shared" si="52"/>
        <v>1</v>
      </c>
      <c r="Q139" s="6">
        <f t="shared" si="53"/>
        <v>31</v>
      </c>
      <c r="R139" s="6">
        <v>87</v>
      </c>
      <c r="S139" s="6">
        <f t="shared" si="54"/>
        <v>515</v>
      </c>
      <c r="T139" s="5">
        <v>0.99647199080043536</v>
      </c>
      <c r="U139" s="6">
        <f t="shared" si="55"/>
        <v>513</v>
      </c>
      <c r="V139" s="6">
        <f t="shared" si="68"/>
        <v>57</v>
      </c>
      <c r="W139" s="6">
        <f t="shared" si="56"/>
        <v>570</v>
      </c>
      <c r="X139" s="6">
        <f t="shared" si="57"/>
        <v>447</v>
      </c>
      <c r="Y139" s="6">
        <f t="shared" si="58"/>
        <v>0</v>
      </c>
      <c r="Z139" s="6">
        <f t="shared" si="59"/>
        <v>123</v>
      </c>
      <c r="AA139" s="6">
        <f t="shared" si="60"/>
        <v>2</v>
      </c>
      <c r="AB139" s="6">
        <f t="shared" si="61"/>
        <v>121</v>
      </c>
      <c r="AC139" s="5">
        <f t="shared" si="62"/>
        <v>8.5011185682326629E-2</v>
      </c>
      <c r="AD139" s="5">
        <f t="shared" si="63"/>
        <v>1</v>
      </c>
      <c r="AE139" s="5">
        <f t="shared" si="64"/>
        <v>1</v>
      </c>
      <c r="AF139" s="5">
        <f t="shared" si="65"/>
        <v>0.68428571428571427</v>
      </c>
      <c r="AG139" s="5">
        <f t="shared" si="66"/>
        <v>0.73285714285714287</v>
      </c>
    </row>
    <row r="140" spans="1:33">
      <c r="A140" s="4">
        <v>46189</v>
      </c>
      <c r="B140" s="3" t="s">
        <v>63</v>
      </c>
      <c r="C140" s="3">
        <v>7</v>
      </c>
      <c r="D140" s="6">
        <v>380</v>
      </c>
      <c r="E140" s="6">
        <v>385</v>
      </c>
      <c r="F140" s="6">
        <v>560</v>
      </c>
      <c r="G140" s="6">
        <f t="shared" si="46"/>
        <v>369</v>
      </c>
      <c r="H140" s="5">
        <v>1.0103504760196169</v>
      </c>
      <c r="I140" s="6">
        <f t="shared" si="47"/>
        <v>373</v>
      </c>
      <c r="J140" s="6">
        <f t="shared" si="67"/>
        <v>24</v>
      </c>
      <c r="K140" s="6">
        <f t="shared" si="48"/>
        <v>397</v>
      </c>
      <c r="L140" s="6">
        <f t="shared" si="49"/>
        <v>385</v>
      </c>
      <c r="M140" s="6">
        <f t="shared" si="50"/>
        <v>0</v>
      </c>
      <c r="N140" s="6">
        <f t="shared" si="51"/>
        <v>12</v>
      </c>
      <c r="O140" s="5">
        <v>0.02</v>
      </c>
      <c r="P140" s="6">
        <f t="shared" si="52"/>
        <v>0</v>
      </c>
      <c r="Q140" s="6">
        <f t="shared" si="53"/>
        <v>12</v>
      </c>
      <c r="R140" s="6">
        <v>68</v>
      </c>
      <c r="S140" s="6">
        <f t="shared" si="54"/>
        <v>401</v>
      </c>
      <c r="T140" s="5">
        <v>1.0160970549137167</v>
      </c>
      <c r="U140" s="6">
        <f t="shared" si="55"/>
        <v>407</v>
      </c>
      <c r="V140" s="6">
        <f t="shared" si="68"/>
        <v>47</v>
      </c>
      <c r="W140" s="6">
        <f t="shared" si="56"/>
        <v>454</v>
      </c>
      <c r="X140" s="6">
        <f t="shared" si="57"/>
        <v>385</v>
      </c>
      <c r="Y140" s="6">
        <f t="shared" si="58"/>
        <v>0</v>
      </c>
      <c r="Z140" s="6">
        <f t="shared" si="59"/>
        <v>69</v>
      </c>
      <c r="AA140" s="6">
        <f t="shared" si="60"/>
        <v>1</v>
      </c>
      <c r="AB140" s="6">
        <f t="shared" si="61"/>
        <v>68</v>
      </c>
      <c r="AC140" s="5">
        <f t="shared" si="62"/>
        <v>1.2987012987012988E-2</v>
      </c>
      <c r="AD140" s="5">
        <f t="shared" si="63"/>
        <v>1</v>
      </c>
      <c r="AE140" s="5">
        <f t="shared" si="64"/>
        <v>1</v>
      </c>
      <c r="AF140" s="5">
        <f t="shared" si="65"/>
        <v>0.66607142857142854</v>
      </c>
      <c r="AG140" s="5">
        <f t="shared" si="66"/>
        <v>0.72678571428571426</v>
      </c>
    </row>
    <row r="141" spans="1:33">
      <c r="A141" s="4">
        <v>46189</v>
      </c>
      <c r="B141" s="3" t="s">
        <v>64</v>
      </c>
      <c r="C141" s="3">
        <v>5</v>
      </c>
      <c r="D141" s="6">
        <v>153</v>
      </c>
      <c r="E141" s="6">
        <v>147</v>
      </c>
      <c r="F141" s="6">
        <v>230</v>
      </c>
      <c r="G141" s="6">
        <f t="shared" si="46"/>
        <v>148</v>
      </c>
      <c r="H141" s="5">
        <v>0.98578747856651749</v>
      </c>
      <c r="I141" s="6">
        <f t="shared" si="47"/>
        <v>146</v>
      </c>
      <c r="J141" s="6">
        <f t="shared" si="67"/>
        <v>21</v>
      </c>
      <c r="K141" s="6">
        <f t="shared" si="48"/>
        <v>167</v>
      </c>
      <c r="L141" s="6">
        <f t="shared" si="49"/>
        <v>147</v>
      </c>
      <c r="M141" s="6">
        <f t="shared" si="50"/>
        <v>0</v>
      </c>
      <c r="N141" s="6">
        <f t="shared" si="51"/>
        <v>20</v>
      </c>
      <c r="O141" s="5">
        <v>2.5000000000000001E-2</v>
      </c>
      <c r="P141" s="6">
        <f t="shared" si="52"/>
        <v>1</v>
      </c>
      <c r="Q141" s="6">
        <f t="shared" si="53"/>
        <v>19</v>
      </c>
      <c r="R141" s="6">
        <v>31</v>
      </c>
      <c r="S141" s="6">
        <f t="shared" si="54"/>
        <v>173</v>
      </c>
      <c r="T141" s="5">
        <v>0.98997349679571733</v>
      </c>
      <c r="U141" s="6">
        <f t="shared" si="55"/>
        <v>171</v>
      </c>
      <c r="V141" s="6">
        <f t="shared" si="68"/>
        <v>11</v>
      </c>
      <c r="W141" s="6">
        <f t="shared" si="56"/>
        <v>182</v>
      </c>
      <c r="X141" s="6">
        <f t="shared" si="57"/>
        <v>147</v>
      </c>
      <c r="Y141" s="6">
        <f t="shared" si="58"/>
        <v>0</v>
      </c>
      <c r="Z141" s="6">
        <f t="shared" si="59"/>
        <v>35</v>
      </c>
      <c r="AA141" s="6">
        <f t="shared" si="60"/>
        <v>1</v>
      </c>
      <c r="AB141" s="6">
        <f t="shared" si="61"/>
        <v>34</v>
      </c>
      <c r="AC141" s="5">
        <f t="shared" si="62"/>
        <v>4.0816326530612242E-2</v>
      </c>
      <c r="AD141" s="5">
        <f t="shared" si="63"/>
        <v>1</v>
      </c>
      <c r="AE141" s="5">
        <f t="shared" si="64"/>
        <v>1</v>
      </c>
      <c r="AF141" s="5">
        <f t="shared" si="65"/>
        <v>0.63478260869565217</v>
      </c>
      <c r="AG141" s="5">
        <f t="shared" si="66"/>
        <v>0.74347826086956526</v>
      </c>
    </row>
    <row r="142" spans="1:33">
      <c r="A142" s="4">
        <v>46190</v>
      </c>
      <c r="B142" s="3" t="s">
        <v>60</v>
      </c>
      <c r="C142" s="3">
        <v>2</v>
      </c>
      <c r="D142" s="6">
        <v>1699</v>
      </c>
      <c r="E142" s="6">
        <v>1735</v>
      </c>
      <c r="F142" s="6">
        <v>2250</v>
      </c>
      <c r="G142" s="6">
        <f t="shared" si="46"/>
        <v>1648</v>
      </c>
      <c r="H142" s="5">
        <v>0.99143347027145357</v>
      </c>
      <c r="I142" s="6">
        <f t="shared" si="47"/>
        <v>1634</v>
      </c>
      <c r="J142" s="6">
        <f t="shared" si="67"/>
        <v>1091</v>
      </c>
      <c r="K142" s="6">
        <f t="shared" si="48"/>
        <v>2725</v>
      </c>
      <c r="L142" s="6">
        <f t="shared" si="49"/>
        <v>1735</v>
      </c>
      <c r="M142" s="6">
        <f t="shared" si="50"/>
        <v>0</v>
      </c>
      <c r="N142" s="6">
        <f t="shared" si="51"/>
        <v>990</v>
      </c>
      <c r="O142" s="5">
        <v>2.5000000000000001E-2</v>
      </c>
      <c r="P142" s="6">
        <f t="shared" si="52"/>
        <v>25</v>
      </c>
      <c r="Q142" s="6">
        <f t="shared" si="53"/>
        <v>965</v>
      </c>
      <c r="R142" s="6">
        <v>204</v>
      </c>
      <c r="S142" s="6">
        <f t="shared" si="54"/>
        <v>1800</v>
      </c>
      <c r="T142" s="5">
        <v>0.98263019099879301</v>
      </c>
      <c r="U142" s="6">
        <f t="shared" si="55"/>
        <v>1769</v>
      </c>
      <c r="V142" s="6">
        <f t="shared" si="68"/>
        <v>103</v>
      </c>
      <c r="W142" s="6">
        <f t="shared" si="56"/>
        <v>1872</v>
      </c>
      <c r="X142" s="6">
        <f t="shared" si="57"/>
        <v>1735</v>
      </c>
      <c r="Y142" s="6">
        <f t="shared" si="58"/>
        <v>0</v>
      </c>
      <c r="Z142" s="6">
        <f t="shared" si="59"/>
        <v>137</v>
      </c>
      <c r="AA142" s="6">
        <f t="shared" si="60"/>
        <v>3</v>
      </c>
      <c r="AB142" s="6">
        <f t="shared" si="61"/>
        <v>134</v>
      </c>
      <c r="AC142" s="5">
        <f t="shared" si="62"/>
        <v>2.0749279538904899E-2</v>
      </c>
      <c r="AD142" s="5">
        <f t="shared" si="63"/>
        <v>1</v>
      </c>
      <c r="AE142" s="5">
        <f t="shared" si="64"/>
        <v>1</v>
      </c>
      <c r="AF142" s="5">
        <f t="shared" si="65"/>
        <v>0.72622222222222221</v>
      </c>
      <c r="AG142" s="5">
        <f t="shared" si="66"/>
        <v>0.78622222222222227</v>
      </c>
    </row>
    <row r="143" spans="1:33">
      <c r="A143" s="4">
        <v>46190</v>
      </c>
      <c r="B143" s="3" t="s">
        <v>61</v>
      </c>
      <c r="C143" s="3">
        <v>2</v>
      </c>
      <c r="D143" s="6">
        <v>850</v>
      </c>
      <c r="E143" s="6">
        <v>738</v>
      </c>
      <c r="F143" s="6">
        <v>1200</v>
      </c>
      <c r="G143" s="6">
        <f t="shared" si="46"/>
        <v>825</v>
      </c>
      <c r="H143" s="5">
        <v>1.0124594388682262</v>
      </c>
      <c r="I143" s="6">
        <f t="shared" si="47"/>
        <v>835</v>
      </c>
      <c r="J143" s="6">
        <f t="shared" si="67"/>
        <v>0</v>
      </c>
      <c r="K143" s="6">
        <f t="shared" si="48"/>
        <v>835</v>
      </c>
      <c r="L143" s="6">
        <f t="shared" si="49"/>
        <v>738</v>
      </c>
      <c r="M143" s="6">
        <f t="shared" si="50"/>
        <v>0</v>
      </c>
      <c r="N143" s="6">
        <f t="shared" si="51"/>
        <v>97</v>
      </c>
      <c r="O143" s="5">
        <v>0.03</v>
      </c>
      <c r="P143" s="6">
        <f t="shared" si="52"/>
        <v>3</v>
      </c>
      <c r="Q143" s="6">
        <f t="shared" si="53"/>
        <v>94</v>
      </c>
      <c r="R143" s="6">
        <v>102</v>
      </c>
      <c r="S143" s="6">
        <f t="shared" si="54"/>
        <v>830</v>
      </c>
      <c r="T143" s="5">
        <v>1.0053607205747495</v>
      </c>
      <c r="U143" s="6">
        <f t="shared" si="55"/>
        <v>834</v>
      </c>
      <c r="V143" s="6">
        <f t="shared" si="68"/>
        <v>122</v>
      </c>
      <c r="W143" s="6">
        <f t="shared" si="56"/>
        <v>956</v>
      </c>
      <c r="X143" s="6">
        <f t="shared" si="57"/>
        <v>738</v>
      </c>
      <c r="Y143" s="6">
        <f t="shared" si="58"/>
        <v>0</v>
      </c>
      <c r="Z143" s="6">
        <f t="shared" si="59"/>
        <v>218</v>
      </c>
      <c r="AA143" s="6">
        <f t="shared" si="60"/>
        <v>7</v>
      </c>
      <c r="AB143" s="6">
        <f t="shared" si="61"/>
        <v>211</v>
      </c>
      <c r="AC143" s="5">
        <f t="shared" si="62"/>
        <v>0.15176151761517614</v>
      </c>
      <c r="AD143" s="5">
        <f t="shared" si="63"/>
        <v>1</v>
      </c>
      <c r="AE143" s="5">
        <f t="shared" si="64"/>
        <v>1</v>
      </c>
      <c r="AF143" s="5">
        <f t="shared" si="65"/>
        <v>0.6958333333333333</v>
      </c>
      <c r="AG143" s="5">
        <f t="shared" si="66"/>
        <v>0.69499999999999995</v>
      </c>
    </row>
    <row r="144" spans="1:33">
      <c r="A144" s="4">
        <v>46190</v>
      </c>
      <c r="B144" s="3" t="s">
        <v>62</v>
      </c>
      <c r="C144" s="3">
        <v>7</v>
      </c>
      <c r="D144" s="6">
        <v>495</v>
      </c>
      <c r="E144" s="6">
        <v>523</v>
      </c>
      <c r="F144" s="6">
        <v>700</v>
      </c>
      <c r="G144" s="6">
        <f t="shared" si="46"/>
        <v>480</v>
      </c>
      <c r="H144" s="5">
        <v>0.99191157944990715</v>
      </c>
      <c r="I144" s="6">
        <f t="shared" si="47"/>
        <v>476</v>
      </c>
      <c r="J144" s="6">
        <f t="shared" si="67"/>
        <v>31</v>
      </c>
      <c r="K144" s="6">
        <f t="shared" si="48"/>
        <v>507</v>
      </c>
      <c r="L144" s="6">
        <f t="shared" si="49"/>
        <v>507</v>
      </c>
      <c r="M144" s="6">
        <f t="shared" si="50"/>
        <v>16</v>
      </c>
      <c r="N144" s="6">
        <f t="shared" si="51"/>
        <v>0</v>
      </c>
      <c r="O144" s="5">
        <v>1.7999999999999999E-2</v>
      </c>
      <c r="P144" s="6">
        <f t="shared" si="52"/>
        <v>0</v>
      </c>
      <c r="Q144" s="6">
        <f t="shared" si="53"/>
        <v>0</v>
      </c>
      <c r="R144" s="6">
        <v>89</v>
      </c>
      <c r="S144" s="6">
        <f t="shared" si="54"/>
        <v>463</v>
      </c>
      <c r="T144" s="5">
        <v>1.0127378594448895</v>
      </c>
      <c r="U144" s="6">
        <f t="shared" si="55"/>
        <v>469</v>
      </c>
      <c r="V144" s="6">
        <f t="shared" si="68"/>
        <v>121</v>
      </c>
      <c r="W144" s="6">
        <f t="shared" si="56"/>
        <v>590</v>
      </c>
      <c r="X144" s="6">
        <f t="shared" si="57"/>
        <v>523</v>
      </c>
      <c r="Y144" s="6">
        <f t="shared" si="58"/>
        <v>0</v>
      </c>
      <c r="Z144" s="6">
        <f t="shared" si="59"/>
        <v>67</v>
      </c>
      <c r="AA144" s="6">
        <f t="shared" si="60"/>
        <v>1</v>
      </c>
      <c r="AB144" s="6">
        <f t="shared" si="61"/>
        <v>66</v>
      </c>
      <c r="AC144" s="5">
        <f t="shared" si="62"/>
        <v>5.3537284894837479E-2</v>
      </c>
      <c r="AD144" s="5">
        <f t="shared" si="63"/>
        <v>0.96940726577437863</v>
      </c>
      <c r="AE144" s="5">
        <f t="shared" si="64"/>
        <v>1</v>
      </c>
      <c r="AF144" s="5">
        <f t="shared" si="65"/>
        <v>0.68</v>
      </c>
      <c r="AG144" s="5">
        <f t="shared" si="66"/>
        <v>0.67</v>
      </c>
    </row>
    <row r="145" spans="1:33">
      <c r="A145" s="4">
        <v>46190</v>
      </c>
      <c r="B145" s="3" t="s">
        <v>63</v>
      </c>
      <c r="C145" s="3">
        <v>7</v>
      </c>
      <c r="D145" s="6">
        <v>396</v>
      </c>
      <c r="E145" s="6">
        <v>461</v>
      </c>
      <c r="F145" s="6">
        <v>560</v>
      </c>
      <c r="G145" s="6">
        <f t="shared" si="46"/>
        <v>384</v>
      </c>
      <c r="H145" s="5">
        <v>0.98239476515823243</v>
      </c>
      <c r="I145" s="6">
        <f t="shared" si="47"/>
        <v>377</v>
      </c>
      <c r="J145" s="6">
        <f t="shared" si="67"/>
        <v>12</v>
      </c>
      <c r="K145" s="6">
        <f t="shared" si="48"/>
        <v>389</v>
      </c>
      <c r="L145" s="6">
        <f t="shared" si="49"/>
        <v>389</v>
      </c>
      <c r="M145" s="6">
        <f t="shared" si="50"/>
        <v>72</v>
      </c>
      <c r="N145" s="6">
        <f t="shared" si="51"/>
        <v>0</v>
      </c>
      <c r="O145" s="5">
        <v>0.02</v>
      </c>
      <c r="P145" s="6">
        <f t="shared" si="52"/>
        <v>0</v>
      </c>
      <c r="Q145" s="6">
        <f t="shared" si="53"/>
        <v>0</v>
      </c>
      <c r="R145" s="6">
        <v>71</v>
      </c>
      <c r="S145" s="6">
        <f t="shared" si="54"/>
        <v>399</v>
      </c>
      <c r="T145" s="5">
        <v>0.99060044649759715</v>
      </c>
      <c r="U145" s="6">
        <f t="shared" si="55"/>
        <v>395</v>
      </c>
      <c r="V145" s="6">
        <f t="shared" si="68"/>
        <v>68</v>
      </c>
      <c r="W145" s="6">
        <f t="shared" si="56"/>
        <v>463</v>
      </c>
      <c r="X145" s="6">
        <f t="shared" si="57"/>
        <v>461</v>
      </c>
      <c r="Y145" s="6">
        <f t="shared" si="58"/>
        <v>0</v>
      </c>
      <c r="Z145" s="6">
        <f t="shared" si="59"/>
        <v>2</v>
      </c>
      <c r="AA145" s="6">
        <f t="shared" si="60"/>
        <v>0</v>
      </c>
      <c r="AB145" s="6">
        <f t="shared" si="61"/>
        <v>2</v>
      </c>
      <c r="AC145" s="5">
        <f t="shared" si="62"/>
        <v>0.14099783080260303</v>
      </c>
      <c r="AD145" s="5">
        <f t="shared" si="63"/>
        <v>0.8438177874186551</v>
      </c>
      <c r="AE145" s="5">
        <f t="shared" si="64"/>
        <v>1</v>
      </c>
      <c r="AF145" s="5">
        <f t="shared" si="65"/>
        <v>0.67321428571428577</v>
      </c>
      <c r="AG145" s="5">
        <f t="shared" si="66"/>
        <v>0.7053571428571429</v>
      </c>
    </row>
    <row r="146" spans="1:33">
      <c r="A146" s="4">
        <v>46190</v>
      </c>
      <c r="B146" s="3" t="s">
        <v>64</v>
      </c>
      <c r="C146" s="3">
        <v>5</v>
      </c>
      <c r="D146" s="6">
        <v>158</v>
      </c>
      <c r="E146" s="6">
        <v>173</v>
      </c>
      <c r="F146" s="6">
        <v>230</v>
      </c>
      <c r="G146" s="6">
        <f t="shared" si="46"/>
        <v>153</v>
      </c>
      <c r="H146" s="5">
        <v>1.0089793073320068</v>
      </c>
      <c r="I146" s="6">
        <f t="shared" si="47"/>
        <v>154</v>
      </c>
      <c r="J146" s="6">
        <f t="shared" si="67"/>
        <v>19</v>
      </c>
      <c r="K146" s="6">
        <f t="shared" si="48"/>
        <v>173</v>
      </c>
      <c r="L146" s="6">
        <f t="shared" si="49"/>
        <v>173</v>
      </c>
      <c r="M146" s="6">
        <f t="shared" si="50"/>
        <v>0</v>
      </c>
      <c r="N146" s="6">
        <f t="shared" si="51"/>
        <v>0</v>
      </c>
      <c r="O146" s="5">
        <v>2.5000000000000001E-2</v>
      </c>
      <c r="P146" s="6">
        <f t="shared" si="52"/>
        <v>0</v>
      </c>
      <c r="Q146" s="6">
        <f t="shared" si="53"/>
        <v>0</v>
      </c>
      <c r="R146" s="6">
        <v>32</v>
      </c>
      <c r="S146" s="6">
        <f t="shared" si="54"/>
        <v>156</v>
      </c>
      <c r="T146" s="5">
        <v>1.0023735659002539</v>
      </c>
      <c r="U146" s="6">
        <f t="shared" si="55"/>
        <v>156</v>
      </c>
      <c r="V146" s="6">
        <f t="shared" si="68"/>
        <v>34</v>
      </c>
      <c r="W146" s="6">
        <f t="shared" si="56"/>
        <v>190</v>
      </c>
      <c r="X146" s="6">
        <f t="shared" si="57"/>
        <v>173</v>
      </c>
      <c r="Y146" s="6">
        <f t="shared" si="58"/>
        <v>0</v>
      </c>
      <c r="Z146" s="6">
        <f t="shared" si="59"/>
        <v>17</v>
      </c>
      <c r="AA146" s="6">
        <f t="shared" si="60"/>
        <v>0</v>
      </c>
      <c r="AB146" s="6">
        <f t="shared" si="61"/>
        <v>17</v>
      </c>
      <c r="AC146" s="5">
        <f t="shared" si="62"/>
        <v>8.6705202312138727E-2</v>
      </c>
      <c r="AD146" s="5">
        <f t="shared" si="63"/>
        <v>1</v>
      </c>
      <c r="AE146" s="5">
        <f t="shared" si="64"/>
        <v>1</v>
      </c>
      <c r="AF146" s="5">
        <f t="shared" si="65"/>
        <v>0.66956521739130437</v>
      </c>
      <c r="AG146" s="5">
        <f t="shared" si="66"/>
        <v>0.67826086956521736</v>
      </c>
    </row>
    <row r="147" spans="1:33">
      <c r="A147" s="4">
        <v>46191</v>
      </c>
      <c r="B147" s="3" t="s">
        <v>60</v>
      </c>
      <c r="C147" s="3">
        <v>2</v>
      </c>
      <c r="D147" s="6">
        <v>1717</v>
      </c>
      <c r="E147" s="6">
        <v>1940</v>
      </c>
      <c r="F147" s="6">
        <v>2250</v>
      </c>
      <c r="G147" s="6">
        <f t="shared" si="46"/>
        <v>1665</v>
      </c>
      <c r="H147" s="5">
        <v>0.98421708834362109</v>
      </c>
      <c r="I147" s="6">
        <f t="shared" si="47"/>
        <v>1639</v>
      </c>
      <c r="J147" s="6">
        <f t="shared" si="67"/>
        <v>965</v>
      </c>
      <c r="K147" s="6">
        <f t="shared" si="48"/>
        <v>2604</v>
      </c>
      <c r="L147" s="6">
        <f t="shared" si="49"/>
        <v>1940</v>
      </c>
      <c r="M147" s="6">
        <f t="shared" si="50"/>
        <v>0</v>
      </c>
      <c r="N147" s="6">
        <f t="shared" si="51"/>
        <v>664</v>
      </c>
      <c r="O147" s="5">
        <v>2.5000000000000001E-2</v>
      </c>
      <c r="P147" s="6">
        <f t="shared" si="52"/>
        <v>17</v>
      </c>
      <c r="Q147" s="6">
        <f t="shared" si="53"/>
        <v>647</v>
      </c>
      <c r="R147" s="6">
        <v>206</v>
      </c>
      <c r="S147" s="6">
        <f t="shared" si="54"/>
        <v>1789</v>
      </c>
      <c r="T147" s="5">
        <v>1.0081640233192926</v>
      </c>
      <c r="U147" s="6">
        <f t="shared" si="55"/>
        <v>1804</v>
      </c>
      <c r="V147" s="6">
        <f t="shared" si="68"/>
        <v>134</v>
      </c>
      <c r="W147" s="6">
        <f t="shared" si="56"/>
        <v>1938</v>
      </c>
      <c r="X147" s="6">
        <f t="shared" si="57"/>
        <v>1938</v>
      </c>
      <c r="Y147" s="6">
        <f t="shared" si="58"/>
        <v>2</v>
      </c>
      <c r="Z147" s="6">
        <f t="shared" si="59"/>
        <v>0</v>
      </c>
      <c r="AA147" s="6">
        <f t="shared" si="60"/>
        <v>0</v>
      </c>
      <c r="AB147" s="6">
        <f t="shared" si="61"/>
        <v>0</v>
      </c>
      <c r="AC147" s="5">
        <f t="shared" si="62"/>
        <v>0.11494845360824742</v>
      </c>
      <c r="AD147" s="5">
        <f t="shared" si="63"/>
        <v>1</v>
      </c>
      <c r="AE147" s="5">
        <f t="shared" si="64"/>
        <v>0.99896907216494846</v>
      </c>
      <c r="AF147" s="5">
        <f t="shared" si="65"/>
        <v>0.72844444444444445</v>
      </c>
      <c r="AG147" s="5">
        <f t="shared" si="66"/>
        <v>0.80177777777777781</v>
      </c>
    </row>
    <row r="148" spans="1:33">
      <c r="A148" s="4">
        <v>46191</v>
      </c>
      <c r="B148" s="3" t="s">
        <v>61</v>
      </c>
      <c r="C148" s="3">
        <v>2</v>
      </c>
      <c r="D148" s="6">
        <v>859</v>
      </c>
      <c r="E148" s="6">
        <v>967</v>
      </c>
      <c r="F148" s="6">
        <v>1200</v>
      </c>
      <c r="G148" s="6">
        <f t="shared" si="46"/>
        <v>833</v>
      </c>
      <c r="H148" s="5">
        <v>1.0095259729065689</v>
      </c>
      <c r="I148" s="6">
        <f t="shared" si="47"/>
        <v>841</v>
      </c>
      <c r="J148" s="6">
        <f t="shared" si="67"/>
        <v>94</v>
      </c>
      <c r="K148" s="6">
        <f t="shared" si="48"/>
        <v>935</v>
      </c>
      <c r="L148" s="6">
        <f t="shared" si="49"/>
        <v>935</v>
      </c>
      <c r="M148" s="6">
        <f t="shared" si="50"/>
        <v>32</v>
      </c>
      <c r="N148" s="6">
        <f t="shared" si="51"/>
        <v>0</v>
      </c>
      <c r="O148" s="5">
        <v>0.03</v>
      </c>
      <c r="P148" s="6">
        <f t="shared" si="52"/>
        <v>0</v>
      </c>
      <c r="Q148" s="6">
        <f t="shared" si="53"/>
        <v>0</v>
      </c>
      <c r="R148" s="6">
        <v>103</v>
      </c>
      <c r="S148" s="6">
        <f t="shared" si="54"/>
        <v>751</v>
      </c>
      <c r="T148" s="5">
        <v>1.0010519393208823</v>
      </c>
      <c r="U148" s="6">
        <f t="shared" si="55"/>
        <v>752</v>
      </c>
      <c r="V148" s="6">
        <f t="shared" si="68"/>
        <v>211</v>
      </c>
      <c r="W148" s="6">
        <f t="shared" si="56"/>
        <v>963</v>
      </c>
      <c r="X148" s="6">
        <f t="shared" si="57"/>
        <v>963</v>
      </c>
      <c r="Y148" s="6">
        <f t="shared" si="58"/>
        <v>4</v>
      </c>
      <c r="Z148" s="6">
        <f t="shared" si="59"/>
        <v>0</v>
      </c>
      <c r="AA148" s="6">
        <f t="shared" si="60"/>
        <v>0</v>
      </c>
      <c r="AB148" s="6">
        <f t="shared" si="61"/>
        <v>0</v>
      </c>
      <c r="AC148" s="5">
        <f t="shared" si="62"/>
        <v>0.11168562564632885</v>
      </c>
      <c r="AD148" s="5">
        <f t="shared" si="63"/>
        <v>0.96690796277145807</v>
      </c>
      <c r="AE148" s="5">
        <f t="shared" si="64"/>
        <v>0.99586349534643226</v>
      </c>
      <c r="AF148" s="5">
        <f t="shared" si="65"/>
        <v>0.70083333333333331</v>
      </c>
      <c r="AG148" s="5">
        <f t="shared" si="66"/>
        <v>0.62666666666666671</v>
      </c>
    </row>
    <row r="149" spans="1:33">
      <c r="A149" s="4">
        <v>46191</v>
      </c>
      <c r="B149" s="3" t="s">
        <v>62</v>
      </c>
      <c r="C149" s="3">
        <v>7</v>
      </c>
      <c r="D149" s="6">
        <v>505</v>
      </c>
      <c r="E149" s="6">
        <v>583</v>
      </c>
      <c r="F149" s="6">
        <v>700</v>
      </c>
      <c r="G149" s="6">
        <f t="shared" si="46"/>
        <v>490</v>
      </c>
      <c r="H149" s="5">
        <v>0.98819071038412132</v>
      </c>
      <c r="I149" s="6">
        <f t="shared" si="47"/>
        <v>484</v>
      </c>
      <c r="J149" s="6">
        <f t="shared" si="67"/>
        <v>0</v>
      </c>
      <c r="K149" s="6">
        <f t="shared" si="48"/>
        <v>484</v>
      </c>
      <c r="L149" s="6">
        <f t="shared" si="49"/>
        <v>484</v>
      </c>
      <c r="M149" s="6">
        <f t="shared" si="50"/>
        <v>99</v>
      </c>
      <c r="N149" s="6">
        <f t="shared" si="51"/>
        <v>0</v>
      </c>
      <c r="O149" s="5">
        <v>1.7999999999999999E-2</v>
      </c>
      <c r="P149" s="6">
        <f t="shared" si="52"/>
        <v>0</v>
      </c>
      <c r="Q149" s="6">
        <f t="shared" si="53"/>
        <v>0</v>
      </c>
      <c r="R149" s="6">
        <v>91</v>
      </c>
      <c r="S149" s="6">
        <f t="shared" si="54"/>
        <v>530</v>
      </c>
      <c r="T149" s="5">
        <v>1.0009755831790992</v>
      </c>
      <c r="U149" s="6">
        <f t="shared" si="55"/>
        <v>531</v>
      </c>
      <c r="V149" s="6">
        <f t="shared" si="68"/>
        <v>66</v>
      </c>
      <c r="W149" s="6">
        <f t="shared" si="56"/>
        <v>597</v>
      </c>
      <c r="X149" s="6">
        <f t="shared" si="57"/>
        <v>583</v>
      </c>
      <c r="Y149" s="6">
        <f t="shared" si="58"/>
        <v>0</v>
      </c>
      <c r="Z149" s="6">
        <f t="shared" si="59"/>
        <v>14</v>
      </c>
      <c r="AA149" s="6">
        <f t="shared" si="60"/>
        <v>0</v>
      </c>
      <c r="AB149" s="6">
        <f t="shared" si="61"/>
        <v>14</v>
      </c>
      <c r="AC149" s="5">
        <f t="shared" si="62"/>
        <v>0.13379073756432247</v>
      </c>
      <c r="AD149" s="5">
        <f t="shared" si="63"/>
        <v>0.83018867924528306</v>
      </c>
      <c r="AE149" s="5">
        <f t="shared" si="64"/>
        <v>1</v>
      </c>
      <c r="AF149" s="5">
        <f t="shared" si="65"/>
        <v>0.69142857142857139</v>
      </c>
      <c r="AG149" s="5">
        <f t="shared" si="66"/>
        <v>0.75857142857142856</v>
      </c>
    </row>
    <row r="150" spans="1:33">
      <c r="A150" s="4">
        <v>46191</v>
      </c>
      <c r="B150" s="3" t="s">
        <v>63</v>
      </c>
      <c r="C150" s="3">
        <v>7</v>
      </c>
      <c r="D150" s="6">
        <v>404</v>
      </c>
      <c r="E150" s="6">
        <v>446</v>
      </c>
      <c r="F150" s="6">
        <v>560</v>
      </c>
      <c r="G150" s="6">
        <f t="shared" si="46"/>
        <v>392</v>
      </c>
      <c r="H150" s="5">
        <v>0.98416827840011134</v>
      </c>
      <c r="I150" s="6">
        <f t="shared" si="47"/>
        <v>386</v>
      </c>
      <c r="J150" s="6">
        <f t="shared" si="67"/>
        <v>0</v>
      </c>
      <c r="K150" s="6">
        <f t="shared" si="48"/>
        <v>386</v>
      </c>
      <c r="L150" s="6">
        <f t="shared" si="49"/>
        <v>386</v>
      </c>
      <c r="M150" s="6">
        <f t="shared" si="50"/>
        <v>60</v>
      </c>
      <c r="N150" s="6">
        <f t="shared" si="51"/>
        <v>0</v>
      </c>
      <c r="O150" s="5">
        <v>0.02</v>
      </c>
      <c r="P150" s="6">
        <f t="shared" si="52"/>
        <v>0</v>
      </c>
      <c r="Q150" s="6">
        <f t="shared" si="53"/>
        <v>0</v>
      </c>
      <c r="R150" s="6">
        <v>73</v>
      </c>
      <c r="S150" s="6">
        <f t="shared" si="54"/>
        <v>475</v>
      </c>
      <c r="T150" s="5">
        <v>1.0103407428390687</v>
      </c>
      <c r="U150" s="6">
        <f t="shared" si="55"/>
        <v>480</v>
      </c>
      <c r="V150" s="6">
        <f t="shared" si="68"/>
        <v>2</v>
      </c>
      <c r="W150" s="6">
        <f t="shared" si="56"/>
        <v>482</v>
      </c>
      <c r="X150" s="6">
        <f t="shared" si="57"/>
        <v>446</v>
      </c>
      <c r="Y150" s="6">
        <f t="shared" si="58"/>
        <v>0</v>
      </c>
      <c r="Z150" s="6">
        <f t="shared" si="59"/>
        <v>36</v>
      </c>
      <c r="AA150" s="6">
        <f t="shared" si="60"/>
        <v>1</v>
      </c>
      <c r="AB150" s="6">
        <f t="shared" si="61"/>
        <v>35</v>
      </c>
      <c r="AC150" s="5">
        <f t="shared" si="62"/>
        <v>9.417040358744394E-2</v>
      </c>
      <c r="AD150" s="5">
        <f t="shared" si="63"/>
        <v>0.86547085201793716</v>
      </c>
      <c r="AE150" s="5">
        <f t="shared" si="64"/>
        <v>1</v>
      </c>
      <c r="AF150" s="5">
        <f t="shared" si="65"/>
        <v>0.68928571428571428</v>
      </c>
      <c r="AG150" s="5">
        <f t="shared" si="66"/>
        <v>0.8571428571428571</v>
      </c>
    </row>
    <row r="151" spans="1:33">
      <c r="A151" s="4">
        <v>46191</v>
      </c>
      <c r="B151" s="3" t="s">
        <v>64</v>
      </c>
      <c r="C151" s="3">
        <v>5</v>
      </c>
      <c r="D151" s="6">
        <v>162</v>
      </c>
      <c r="E151" s="6">
        <v>153</v>
      </c>
      <c r="F151" s="6">
        <v>230</v>
      </c>
      <c r="G151" s="6">
        <f t="shared" si="46"/>
        <v>157</v>
      </c>
      <c r="H151" s="5">
        <v>1.0116776279835238</v>
      </c>
      <c r="I151" s="6">
        <f t="shared" si="47"/>
        <v>159</v>
      </c>
      <c r="J151" s="6">
        <f t="shared" si="67"/>
        <v>0</v>
      </c>
      <c r="K151" s="6">
        <f t="shared" si="48"/>
        <v>159</v>
      </c>
      <c r="L151" s="6">
        <f t="shared" si="49"/>
        <v>153</v>
      </c>
      <c r="M151" s="6">
        <f t="shared" si="50"/>
        <v>0</v>
      </c>
      <c r="N151" s="6">
        <f t="shared" si="51"/>
        <v>6</v>
      </c>
      <c r="O151" s="5">
        <v>2.5000000000000001E-2</v>
      </c>
      <c r="P151" s="6">
        <f t="shared" si="52"/>
        <v>0</v>
      </c>
      <c r="Q151" s="6">
        <f t="shared" si="53"/>
        <v>6</v>
      </c>
      <c r="R151" s="6">
        <v>32</v>
      </c>
      <c r="S151" s="6">
        <f t="shared" si="54"/>
        <v>177</v>
      </c>
      <c r="T151" s="5">
        <v>0.98667412727479709</v>
      </c>
      <c r="U151" s="6">
        <f t="shared" si="55"/>
        <v>175</v>
      </c>
      <c r="V151" s="6">
        <f t="shared" si="68"/>
        <v>17</v>
      </c>
      <c r="W151" s="6">
        <f t="shared" si="56"/>
        <v>192</v>
      </c>
      <c r="X151" s="6">
        <f t="shared" si="57"/>
        <v>153</v>
      </c>
      <c r="Y151" s="6">
        <f t="shared" si="58"/>
        <v>0</v>
      </c>
      <c r="Z151" s="6">
        <f t="shared" si="59"/>
        <v>39</v>
      </c>
      <c r="AA151" s="6">
        <f t="shared" si="60"/>
        <v>1</v>
      </c>
      <c r="AB151" s="6">
        <f t="shared" si="61"/>
        <v>38</v>
      </c>
      <c r="AC151" s="5">
        <f t="shared" si="62"/>
        <v>5.8823529411764705E-2</v>
      </c>
      <c r="AD151" s="5">
        <f t="shared" si="63"/>
        <v>1</v>
      </c>
      <c r="AE151" s="5">
        <f t="shared" si="64"/>
        <v>1</v>
      </c>
      <c r="AF151" s="5">
        <f t="shared" si="65"/>
        <v>0.69130434782608696</v>
      </c>
      <c r="AG151" s="5">
        <f t="shared" si="66"/>
        <v>0.76086956521739135</v>
      </c>
    </row>
    <row r="152" spans="1:33">
      <c r="A152" s="4">
        <v>46192</v>
      </c>
      <c r="B152" s="3" t="s">
        <v>60</v>
      </c>
      <c r="C152" s="3">
        <v>2</v>
      </c>
      <c r="D152" s="6">
        <v>1787</v>
      </c>
      <c r="E152" s="6">
        <v>2098</v>
      </c>
      <c r="F152" s="6">
        <v>2250</v>
      </c>
      <c r="G152" s="6">
        <f t="shared" si="46"/>
        <v>1733</v>
      </c>
      <c r="H152" s="5">
        <v>1.0158140332881607</v>
      </c>
      <c r="I152" s="6">
        <f t="shared" si="47"/>
        <v>1760</v>
      </c>
      <c r="J152" s="6">
        <f t="shared" si="67"/>
        <v>647</v>
      </c>
      <c r="K152" s="6">
        <f t="shared" si="48"/>
        <v>2407</v>
      </c>
      <c r="L152" s="6">
        <f t="shared" si="49"/>
        <v>2098</v>
      </c>
      <c r="M152" s="6">
        <f t="shared" si="50"/>
        <v>0</v>
      </c>
      <c r="N152" s="6">
        <f t="shared" si="51"/>
        <v>309</v>
      </c>
      <c r="O152" s="5">
        <v>2.5000000000000001E-2</v>
      </c>
      <c r="P152" s="6">
        <f t="shared" si="52"/>
        <v>8</v>
      </c>
      <c r="Q152" s="6">
        <f t="shared" si="53"/>
        <v>301</v>
      </c>
      <c r="R152" s="6">
        <v>214</v>
      </c>
      <c r="S152" s="6">
        <f t="shared" si="54"/>
        <v>2001</v>
      </c>
      <c r="T152" s="5">
        <v>0.98589203693655714</v>
      </c>
      <c r="U152" s="6">
        <f t="shared" si="55"/>
        <v>1973</v>
      </c>
      <c r="V152" s="6">
        <f t="shared" si="68"/>
        <v>0</v>
      </c>
      <c r="W152" s="6">
        <f t="shared" si="56"/>
        <v>1973</v>
      </c>
      <c r="X152" s="6">
        <f t="shared" si="57"/>
        <v>1973</v>
      </c>
      <c r="Y152" s="6">
        <f t="shared" si="58"/>
        <v>125</v>
      </c>
      <c r="Z152" s="6">
        <f t="shared" si="59"/>
        <v>0</v>
      </c>
      <c r="AA152" s="6">
        <f t="shared" si="60"/>
        <v>0</v>
      </c>
      <c r="AB152" s="6">
        <f t="shared" si="61"/>
        <v>0</v>
      </c>
      <c r="AC152" s="5">
        <f t="shared" si="62"/>
        <v>0.14823641563393708</v>
      </c>
      <c r="AD152" s="5">
        <f t="shared" si="63"/>
        <v>1</v>
      </c>
      <c r="AE152" s="5">
        <f t="shared" si="64"/>
        <v>0.94041944709246905</v>
      </c>
      <c r="AF152" s="5">
        <f t="shared" si="65"/>
        <v>0.78222222222222226</v>
      </c>
      <c r="AG152" s="5">
        <f t="shared" si="66"/>
        <v>0.87688888888888894</v>
      </c>
    </row>
    <row r="153" spans="1:33">
      <c r="A153" s="4">
        <v>46192</v>
      </c>
      <c r="B153" s="3" t="s">
        <v>61</v>
      </c>
      <c r="C153" s="3">
        <v>2</v>
      </c>
      <c r="D153" s="6">
        <v>893</v>
      </c>
      <c r="E153" s="6">
        <v>828</v>
      </c>
      <c r="F153" s="6">
        <v>1200</v>
      </c>
      <c r="G153" s="6">
        <f t="shared" si="46"/>
        <v>866</v>
      </c>
      <c r="H153" s="5">
        <v>1.0099854352600113</v>
      </c>
      <c r="I153" s="6">
        <f t="shared" si="47"/>
        <v>875</v>
      </c>
      <c r="J153" s="6">
        <f t="shared" si="67"/>
        <v>0</v>
      </c>
      <c r="K153" s="6">
        <f t="shared" si="48"/>
        <v>875</v>
      </c>
      <c r="L153" s="6">
        <f t="shared" si="49"/>
        <v>828</v>
      </c>
      <c r="M153" s="6">
        <f t="shared" si="50"/>
        <v>0</v>
      </c>
      <c r="N153" s="6">
        <f t="shared" si="51"/>
        <v>47</v>
      </c>
      <c r="O153" s="5">
        <v>0.03</v>
      </c>
      <c r="P153" s="6">
        <f t="shared" si="52"/>
        <v>1</v>
      </c>
      <c r="Q153" s="6">
        <f t="shared" si="53"/>
        <v>46</v>
      </c>
      <c r="R153" s="6">
        <v>107</v>
      </c>
      <c r="S153" s="6">
        <f t="shared" si="54"/>
        <v>1000</v>
      </c>
      <c r="T153" s="5">
        <v>1.0097429205777286</v>
      </c>
      <c r="U153" s="6">
        <f t="shared" si="55"/>
        <v>1010</v>
      </c>
      <c r="V153" s="6">
        <f t="shared" si="68"/>
        <v>0</v>
      </c>
      <c r="W153" s="6">
        <f t="shared" si="56"/>
        <v>1010</v>
      </c>
      <c r="X153" s="6">
        <f t="shared" si="57"/>
        <v>828</v>
      </c>
      <c r="Y153" s="6">
        <f t="shared" si="58"/>
        <v>0</v>
      </c>
      <c r="Z153" s="6">
        <f t="shared" si="59"/>
        <v>182</v>
      </c>
      <c r="AA153" s="6">
        <f t="shared" si="60"/>
        <v>5</v>
      </c>
      <c r="AB153" s="6">
        <f t="shared" si="61"/>
        <v>177</v>
      </c>
      <c r="AC153" s="5">
        <f t="shared" si="62"/>
        <v>7.85024154589372E-2</v>
      </c>
      <c r="AD153" s="5">
        <f t="shared" si="63"/>
        <v>1</v>
      </c>
      <c r="AE153" s="5">
        <f t="shared" si="64"/>
        <v>1</v>
      </c>
      <c r="AF153" s="5">
        <f t="shared" si="65"/>
        <v>0.72916666666666663</v>
      </c>
      <c r="AG153" s="5">
        <f t="shared" si="66"/>
        <v>0.84166666666666667</v>
      </c>
    </row>
    <row r="154" spans="1:33">
      <c r="A154" s="4">
        <v>46192</v>
      </c>
      <c r="B154" s="3" t="s">
        <v>62</v>
      </c>
      <c r="C154" s="3">
        <v>7</v>
      </c>
      <c r="D154" s="6">
        <v>525</v>
      </c>
      <c r="E154" s="6">
        <v>486</v>
      </c>
      <c r="F154" s="6">
        <v>700</v>
      </c>
      <c r="G154" s="6">
        <f t="shared" si="46"/>
        <v>509</v>
      </c>
      <c r="H154" s="5">
        <v>1.0156250942475233</v>
      </c>
      <c r="I154" s="6">
        <f t="shared" si="47"/>
        <v>517</v>
      </c>
      <c r="J154" s="6">
        <f t="shared" si="67"/>
        <v>0</v>
      </c>
      <c r="K154" s="6">
        <f t="shared" si="48"/>
        <v>517</v>
      </c>
      <c r="L154" s="6">
        <f t="shared" si="49"/>
        <v>486</v>
      </c>
      <c r="M154" s="6">
        <f t="shared" si="50"/>
        <v>0</v>
      </c>
      <c r="N154" s="6">
        <f t="shared" si="51"/>
        <v>31</v>
      </c>
      <c r="O154" s="5">
        <v>1.7999999999999999E-2</v>
      </c>
      <c r="P154" s="6">
        <f t="shared" si="52"/>
        <v>1</v>
      </c>
      <c r="Q154" s="6">
        <f t="shared" si="53"/>
        <v>30</v>
      </c>
      <c r="R154" s="6">
        <v>94</v>
      </c>
      <c r="S154" s="6">
        <f t="shared" si="54"/>
        <v>605</v>
      </c>
      <c r="T154" s="5">
        <v>0.9926989871570624</v>
      </c>
      <c r="U154" s="6">
        <f t="shared" si="55"/>
        <v>601</v>
      </c>
      <c r="V154" s="6">
        <f t="shared" si="68"/>
        <v>14</v>
      </c>
      <c r="W154" s="6">
        <f t="shared" si="56"/>
        <v>615</v>
      </c>
      <c r="X154" s="6">
        <f t="shared" si="57"/>
        <v>486</v>
      </c>
      <c r="Y154" s="6">
        <f t="shared" si="58"/>
        <v>0</v>
      </c>
      <c r="Z154" s="6">
        <f t="shared" si="59"/>
        <v>129</v>
      </c>
      <c r="AA154" s="6">
        <f t="shared" si="60"/>
        <v>2</v>
      </c>
      <c r="AB154" s="6">
        <f t="shared" si="61"/>
        <v>127</v>
      </c>
      <c r="AC154" s="5">
        <f t="shared" si="62"/>
        <v>8.0246913580246909E-2</v>
      </c>
      <c r="AD154" s="5">
        <f t="shared" si="63"/>
        <v>1</v>
      </c>
      <c r="AE154" s="5">
        <f t="shared" si="64"/>
        <v>1</v>
      </c>
      <c r="AF154" s="5">
        <f t="shared" si="65"/>
        <v>0.73857142857142855</v>
      </c>
      <c r="AG154" s="5">
        <f t="shared" si="66"/>
        <v>0.85857142857142854</v>
      </c>
    </row>
    <row r="155" spans="1:33">
      <c r="A155" s="4">
        <v>46192</v>
      </c>
      <c r="B155" s="3" t="s">
        <v>63</v>
      </c>
      <c r="C155" s="3">
        <v>7</v>
      </c>
      <c r="D155" s="6">
        <v>420</v>
      </c>
      <c r="E155" s="6">
        <v>390</v>
      </c>
      <c r="F155" s="6">
        <v>560</v>
      </c>
      <c r="G155" s="6">
        <f t="shared" si="46"/>
        <v>407</v>
      </c>
      <c r="H155" s="5">
        <v>0.99597369470404895</v>
      </c>
      <c r="I155" s="6">
        <f t="shared" si="47"/>
        <v>405</v>
      </c>
      <c r="J155" s="6">
        <f t="shared" si="67"/>
        <v>0</v>
      </c>
      <c r="K155" s="6">
        <f t="shared" si="48"/>
        <v>405</v>
      </c>
      <c r="L155" s="6">
        <f t="shared" si="49"/>
        <v>390</v>
      </c>
      <c r="M155" s="6">
        <f t="shared" si="50"/>
        <v>0</v>
      </c>
      <c r="N155" s="6">
        <f t="shared" si="51"/>
        <v>15</v>
      </c>
      <c r="O155" s="5">
        <v>0.02</v>
      </c>
      <c r="P155" s="6">
        <f t="shared" si="52"/>
        <v>0</v>
      </c>
      <c r="Q155" s="6">
        <f t="shared" si="53"/>
        <v>15</v>
      </c>
      <c r="R155" s="6">
        <v>76</v>
      </c>
      <c r="S155" s="6">
        <f t="shared" si="54"/>
        <v>461</v>
      </c>
      <c r="T155" s="5">
        <v>1.0086316588592188</v>
      </c>
      <c r="U155" s="6">
        <f t="shared" si="55"/>
        <v>465</v>
      </c>
      <c r="V155" s="6">
        <f t="shared" si="68"/>
        <v>35</v>
      </c>
      <c r="W155" s="6">
        <f t="shared" si="56"/>
        <v>500</v>
      </c>
      <c r="X155" s="6">
        <f t="shared" si="57"/>
        <v>390</v>
      </c>
      <c r="Y155" s="6">
        <f t="shared" si="58"/>
        <v>0</v>
      </c>
      <c r="Z155" s="6">
        <f t="shared" si="59"/>
        <v>110</v>
      </c>
      <c r="AA155" s="6">
        <f t="shared" si="60"/>
        <v>2</v>
      </c>
      <c r="AB155" s="6">
        <f t="shared" si="61"/>
        <v>108</v>
      </c>
      <c r="AC155" s="5">
        <f t="shared" si="62"/>
        <v>7.6923076923076927E-2</v>
      </c>
      <c r="AD155" s="5">
        <f t="shared" si="63"/>
        <v>1</v>
      </c>
      <c r="AE155" s="5">
        <f t="shared" si="64"/>
        <v>1</v>
      </c>
      <c r="AF155" s="5">
        <f t="shared" si="65"/>
        <v>0.7232142857142857</v>
      </c>
      <c r="AG155" s="5">
        <f t="shared" si="66"/>
        <v>0.8303571428571429</v>
      </c>
    </row>
    <row r="156" spans="1:33">
      <c r="A156" s="4">
        <v>46192</v>
      </c>
      <c r="B156" s="3" t="s">
        <v>64</v>
      </c>
      <c r="C156" s="3">
        <v>5</v>
      </c>
      <c r="D156" s="6">
        <v>168</v>
      </c>
      <c r="E156" s="6">
        <v>181</v>
      </c>
      <c r="F156" s="6">
        <v>230</v>
      </c>
      <c r="G156" s="6">
        <f t="shared" si="46"/>
        <v>163</v>
      </c>
      <c r="H156" s="5">
        <v>0.98618231361443875</v>
      </c>
      <c r="I156" s="6">
        <f t="shared" si="47"/>
        <v>161</v>
      </c>
      <c r="J156" s="6">
        <f t="shared" si="67"/>
        <v>6</v>
      </c>
      <c r="K156" s="6">
        <f t="shared" si="48"/>
        <v>167</v>
      </c>
      <c r="L156" s="6">
        <f t="shared" si="49"/>
        <v>167</v>
      </c>
      <c r="M156" s="6">
        <f t="shared" si="50"/>
        <v>14</v>
      </c>
      <c r="N156" s="6">
        <f t="shared" si="51"/>
        <v>0</v>
      </c>
      <c r="O156" s="5">
        <v>2.5000000000000001E-2</v>
      </c>
      <c r="P156" s="6">
        <f t="shared" si="52"/>
        <v>0</v>
      </c>
      <c r="Q156" s="6">
        <f t="shared" si="53"/>
        <v>0</v>
      </c>
      <c r="R156" s="6">
        <v>34</v>
      </c>
      <c r="S156" s="6">
        <f t="shared" si="54"/>
        <v>164</v>
      </c>
      <c r="T156" s="5">
        <v>1.0176629061001845</v>
      </c>
      <c r="U156" s="6">
        <f t="shared" si="55"/>
        <v>167</v>
      </c>
      <c r="V156" s="6">
        <f t="shared" si="68"/>
        <v>38</v>
      </c>
      <c r="W156" s="6">
        <f t="shared" si="56"/>
        <v>205</v>
      </c>
      <c r="X156" s="6">
        <f t="shared" si="57"/>
        <v>181</v>
      </c>
      <c r="Y156" s="6">
        <f t="shared" si="58"/>
        <v>0</v>
      </c>
      <c r="Z156" s="6">
        <f t="shared" si="59"/>
        <v>24</v>
      </c>
      <c r="AA156" s="6">
        <f t="shared" si="60"/>
        <v>1</v>
      </c>
      <c r="AB156" s="6">
        <f t="shared" si="61"/>
        <v>23</v>
      </c>
      <c r="AC156" s="5">
        <f t="shared" si="62"/>
        <v>7.18232044198895E-2</v>
      </c>
      <c r="AD156" s="5">
        <f t="shared" si="63"/>
        <v>0.92265193370165743</v>
      </c>
      <c r="AE156" s="5">
        <f t="shared" si="64"/>
        <v>1</v>
      </c>
      <c r="AF156" s="5">
        <f t="shared" si="65"/>
        <v>0.7</v>
      </c>
      <c r="AG156" s="5">
        <f t="shared" si="66"/>
        <v>0.72608695652173916</v>
      </c>
    </row>
    <row r="157" spans="1:33">
      <c r="A157" s="4">
        <v>46193</v>
      </c>
      <c r="B157" s="3" t="s">
        <v>60</v>
      </c>
      <c r="C157" s="3">
        <v>2</v>
      </c>
      <c r="D157" s="6">
        <v>1959</v>
      </c>
      <c r="E157" s="6">
        <v>1876</v>
      </c>
      <c r="F157" s="6">
        <v>2250</v>
      </c>
      <c r="G157" s="6">
        <f t="shared" si="46"/>
        <v>1900</v>
      </c>
      <c r="H157" s="5">
        <v>1.0161789937788679</v>
      </c>
      <c r="I157" s="6">
        <f t="shared" si="47"/>
        <v>1931</v>
      </c>
      <c r="J157" s="6">
        <f t="shared" si="67"/>
        <v>301</v>
      </c>
      <c r="K157" s="6">
        <f t="shared" si="48"/>
        <v>2232</v>
      </c>
      <c r="L157" s="6">
        <f t="shared" si="49"/>
        <v>1876</v>
      </c>
      <c r="M157" s="6">
        <f t="shared" si="50"/>
        <v>0</v>
      </c>
      <c r="N157" s="6">
        <f t="shared" si="51"/>
        <v>356</v>
      </c>
      <c r="O157" s="5">
        <v>2.5000000000000001E-2</v>
      </c>
      <c r="P157" s="6">
        <f t="shared" si="52"/>
        <v>9</v>
      </c>
      <c r="Q157" s="6">
        <f t="shared" si="53"/>
        <v>347</v>
      </c>
      <c r="R157" s="6">
        <v>235</v>
      </c>
      <c r="S157" s="6">
        <f t="shared" si="54"/>
        <v>2194</v>
      </c>
      <c r="T157" s="5">
        <v>0.9894991013974187</v>
      </c>
      <c r="U157" s="6">
        <f t="shared" si="55"/>
        <v>2171</v>
      </c>
      <c r="V157" s="6">
        <f t="shared" si="68"/>
        <v>0</v>
      </c>
      <c r="W157" s="6">
        <f t="shared" si="56"/>
        <v>2171</v>
      </c>
      <c r="X157" s="6">
        <f t="shared" si="57"/>
        <v>1876</v>
      </c>
      <c r="Y157" s="6">
        <f t="shared" si="58"/>
        <v>0</v>
      </c>
      <c r="Z157" s="6">
        <f t="shared" si="59"/>
        <v>295</v>
      </c>
      <c r="AA157" s="6">
        <f t="shared" si="60"/>
        <v>7</v>
      </c>
      <c r="AB157" s="6">
        <f t="shared" si="61"/>
        <v>288</v>
      </c>
      <c r="AC157" s="5">
        <f t="shared" si="62"/>
        <v>4.4243070362473345E-2</v>
      </c>
      <c r="AD157" s="5">
        <f t="shared" si="63"/>
        <v>1</v>
      </c>
      <c r="AE157" s="5">
        <f t="shared" si="64"/>
        <v>1</v>
      </c>
      <c r="AF157" s="5">
        <f t="shared" si="65"/>
        <v>0.85822222222222222</v>
      </c>
      <c r="AG157" s="5">
        <f t="shared" si="66"/>
        <v>0.96488888888888891</v>
      </c>
    </row>
    <row r="158" spans="1:33">
      <c r="A158" s="4">
        <v>46193</v>
      </c>
      <c r="B158" s="3" t="s">
        <v>61</v>
      </c>
      <c r="C158" s="3">
        <v>2</v>
      </c>
      <c r="D158" s="6">
        <v>980</v>
      </c>
      <c r="E158" s="6">
        <v>1113</v>
      </c>
      <c r="F158" s="6">
        <v>1200</v>
      </c>
      <c r="G158" s="6">
        <f t="shared" si="46"/>
        <v>951</v>
      </c>
      <c r="H158" s="5">
        <v>0.98440443115630483</v>
      </c>
      <c r="I158" s="6">
        <f t="shared" si="47"/>
        <v>936</v>
      </c>
      <c r="J158" s="6">
        <f t="shared" si="67"/>
        <v>46</v>
      </c>
      <c r="K158" s="6">
        <f t="shared" si="48"/>
        <v>982</v>
      </c>
      <c r="L158" s="6">
        <f t="shared" si="49"/>
        <v>982</v>
      </c>
      <c r="M158" s="6">
        <f t="shared" si="50"/>
        <v>131</v>
      </c>
      <c r="N158" s="6">
        <f t="shared" si="51"/>
        <v>0</v>
      </c>
      <c r="O158" s="5">
        <v>0.03</v>
      </c>
      <c r="P158" s="6">
        <f t="shared" si="52"/>
        <v>0</v>
      </c>
      <c r="Q158" s="6">
        <f t="shared" si="53"/>
        <v>0</v>
      </c>
      <c r="R158" s="6">
        <v>118</v>
      </c>
      <c r="S158" s="6">
        <f t="shared" si="54"/>
        <v>921</v>
      </c>
      <c r="T158" s="5">
        <v>0.98384744287482973</v>
      </c>
      <c r="U158" s="6">
        <f t="shared" si="55"/>
        <v>906</v>
      </c>
      <c r="V158" s="6">
        <f t="shared" si="68"/>
        <v>177</v>
      </c>
      <c r="W158" s="6">
        <f t="shared" si="56"/>
        <v>1083</v>
      </c>
      <c r="X158" s="6">
        <f t="shared" si="57"/>
        <v>1083</v>
      </c>
      <c r="Y158" s="6">
        <f t="shared" si="58"/>
        <v>30</v>
      </c>
      <c r="Z158" s="6">
        <f t="shared" si="59"/>
        <v>0</v>
      </c>
      <c r="AA158" s="6">
        <f t="shared" si="60"/>
        <v>0</v>
      </c>
      <c r="AB158" s="6">
        <f t="shared" si="61"/>
        <v>0</v>
      </c>
      <c r="AC158" s="5">
        <f t="shared" si="62"/>
        <v>0.11949685534591195</v>
      </c>
      <c r="AD158" s="5">
        <f t="shared" si="63"/>
        <v>0.88230008984725961</v>
      </c>
      <c r="AE158" s="5">
        <f t="shared" si="64"/>
        <v>0.97304582210242585</v>
      </c>
      <c r="AF158" s="5">
        <f t="shared" si="65"/>
        <v>0.78</v>
      </c>
      <c r="AG158" s="5">
        <f t="shared" si="66"/>
        <v>0.755</v>
      </c>
    </row>
    <row r="159" spans="1:33">
      <c r="A159" s="4">
        <v>46193</v>
      </c>
      <c r="B159" s="3" t="s">
        <v>62</v>
      </c>
      <c r="C159" s="3">
        <v>7</v>
      </c>
      <c r="D159" s="6">
        <v>576</v>
      </c>
      <c r="E159" s="6">
        <v>511</v>
      </c>
      <c r="F159" s="6">
        <v>700</v>
      </c>
      <c r="G159" s="6">
        <f t="shared" si="46"/>
        <v>559</v>
      </c>
      <c r="H159" s="5">
        <v>0.98675532585448567</v>
      </c>
      <c r="I159" s="6">
        <f t="shared" si="47"/>
        <v>552</v>
      </c>
      <c r="J159" s="6">
        <f t="shared" si="67"/>
        <v>30</v>
      </c>
      <c r="K159" s="6">
        <f t="shared" si="48"/>
        <v>582</v>
      </c>
      <c r="L159" s="6">
        <f t="shared" si="49"/>
        <v>511</v>
      </c>
      <c r="M159" s="6">
        <f t="shared" si="50"/>
        <v>0</v>
      </c>
      <c r="N159" s="6">
        <f t="shared" si="51"/>
        <v>71</v>
      </c>
      <c r="O159" s="5">
        <v>1.7999999999999999E-2</v>
      </c>
      <c r="P159" s="6">
        <f t="shared" si="52"/>
        <v>1</v>
      </c>
      <c r="Q159" s="6">
        <f t="shared" si="53"/>
        <v>70</v>
      </c>
      <c r="R159" s="6">
        <v>104</v>
      </c>
      <c r="S159" s="6">
        <f t="shared" si="54"/>
        <v>553</v>
      </c>
      <c r="T159" s="5">
        <v>1.0058755988442374</v>
      </c>
      <c r="U159" s="6">
        <f t="shared" si="55"/>
        <v>556</v>
      </c>
      <c r="V159" s="6">
        <f t="shared" si="68"/>
        <v>127</v>
      </c>
      <c r="W159" s="6">
        <f t="shared" si="56"/>
        <v>683</v>
      </c>
      <c r="X159" s="6">
        <f t="shared" si="57"/>
        <v>511</v>
      </c>
      <c r="Y159" s="6">
        <f t="shared" si="58"/>
        <v>0</v>
      </c>
      <c r="Z159" s="6">
        <f t="shared" si="59"/>
        <v>172</v>
      </c>
      <c r="AA159" s="6">
        <f t="shared" si="60"/>
        <v>3</v>
      </c>
      <c r="AB159" s="6">
        <f t="shared" si="61"/>
        <v>169</v>
      </c>
      <c r="AC159" s="5">
        <f t="shared" si="62"/>
        <v>0.12720156555772993</v>
      </c>
      <c r="AD159" s="5">
        <f t="shared" si="63"/>
        <v>1</v>
      </c>
      <c r="AE159" s="5">
        <f t="shared" si="64"/>
        <v>1</v>
      </c>
      <c r="AF159" s="5">
        <f t="shared" si="65"/>
        <v>0.78857142857142859</v>
      </c>
      <c r="AG159" s="5">
        <f t="shared" si="66"/>
        <v>0.79428571428571426</v>
      </c>
    </row>
    <row r="160" spans="1:33">
      <c r="A160" s="4">
        <v>46193</v>
      </c>
      <c r="B160" s="3" t="s">
        <v>63</v>
      </c>
      <c r="C160" s="3">
        <v>7</v>
      </c>
      <c r="D160" s="6">
        <v>457</v>
      </c>
      <c r="E160" s="6">
        <v>379</v>
      </c>
      <c r="F160" s="6">
        <v>560</v>
      </c>
      <c r="G160" s="6">
        <f t="shared" si="46"/>
        <v>443</v>
      </c>
      <c r="H160" s="5">
        <v>0.98884537332117617</v>
      </c>
      <c r="I160" s="6">
        <f t="shared" si="47"/>
        <v>438</v>
      </c>
      <c r="J160" s="6">
        <f t="shared" si="67"/>
        <v>15</v>
      </c>
      <c r="K160" s="6">
        <f t="shared" si="48"/>
        <v>453</v>
      </c>
      <c r="L160" s="6">
        <f t="shared" si="49"/>
        <v>379</v>
      </c>
      <c r="M160" s="6">
        <f t="shared" si="50"/>
        <v>0</v>
      </c>
      <c r="N160" s="6">
        <f t="shared" si="51"/>
        <v>74</v>
      </c>
      <c r="O160" s="5">
        <v>0.02</v>
      </c>
      <c r="P160" s="6">
        <f t="shared" si="52"/>
        <v>1</v>
      </c>
      <c r="Q160" s="6">
        <f t="shared" si="53"/>
        <v>73</v>
      </c>
      <c r="R160" s="6">
        <v>82</v>
      </c>
      <c r="S160" s="6">
        <f t="shared" si="54"/>
        <v>431</v>
      </c>
      <c r="T160" s="5">
        <v>1.0032347948451577</v>
      </c>
      <c r="U160" s="6">
        <f t="shared" si="55"/>
        <v>432</v>
      </c>
      <c r="V160" s="6">
        <f t="shared" si="68"/>
        <v>108</v>
      </c>
      <c r="W160" s="6">
        <f t="shared" si="56"/>
        <v>540</v>
      </c>
      <c r="X160" s="6">
        <f t="shared" si="57"/>
        <v>379</v>
      </c>
      <c r="Y160" s="6">
        <f t="shared" si="58"/>
        <v>0</v>
      </c>
      <c r="Z160" s="6">
        <f t="shared" si="59"/>
        <v>161</v>
      </c>
      <c r="AA160" s="6">
        <f t="shared" si="60"/>
        <v>3</v>
      </c>
      <c r="AB160" s="6">
        <f t="shared" si="61"/>
        <v>158</v>
      </c>
      <c r="AC160" s="5">
        <f t="shared" si="62"/>
        <v>0.20580474934036938</v>
      </c>
      <c r="AD160" s="5">
        <f t="shared" si="63"/>
        <v>1</v>
      </c>
      <c r="AE160" s="5">
        <f t="shared" si="64"/>
        <v>1</v>
      </c>
      <c r="AF160" s="5">
        <f t="shared" si="65"/>
        <v>0.78214285714285714</v>
      </c>
      <c r="AG160" s="5">
        <f t="shared" si="66"/>
        <v>0.77142857142857146</v>
      </c>
    </row>
    <row r="161" spans="1:33">
      <c r="A161" s="4">
        <v>46193</v>
      </c>
      <c r="B161" s="3" t="s">
        <v>64</v>
      </c>
      <c r="C161" s="3">
        <v>5</v>
      </c>
      <c r="D161" s="6">
        <v>181</v>
      </c>
      <c r="E161" s="6">
        <v>186</v>
      </c>
      <c r="F161" s="6">
        <v>230</v>
      </c>
      <c r="G161" s="6">
        <f t="shared" si="46"/>
        <v>176</v>
      </c>
      <c r="H161" s="5">
        <v>0.9980632186565207</v>
      </c>
      <c r="I161" s="6">
        <f t="shared" si="47"/>
        <v>176</v>
      </c>
      <c r="J161" s="6">
        <f t="shared" si="67"/>
        <v>0</v>
      </c>
      <c r="K161" s="6">
        <f t="shared" si="48"/>
        <v>176</v>
      </c>
      <c r="L161" s="6">
        <f t="shared" si="49"/>
        <v>176</v>
      </c>
      <c r="M161" s="6">
        <f t="shared" si="50"/>
        <v>10</v>
      </c>
      <c r="N161" s="6">
        <f t="shared" si="51"/>
        <v>0</v>
      </c>
      <c r="O161" s="5">
        <v>2.5000000000000001E-2</v>
      </c>
      <c r="P161" s="6">
        <f t="shared" si="52"/>
        <v>0</v>
      </c>
      <c r="Q161" s="6">
        <f t="shared" si="53"/>
        <v>0</v>
      </c>
      <c r="R161" s="6">
        <v>36</v>
      </c>
      <c r="S161" s="6">
        <f t="shared" si="54"/>
        <v>194</v>
      </c>
      <c r="T161" s="5">
        <v>0.98667465031837398</v>
      </c>
      <c r="U161" s="6">
        <f t="shared" si="55"/>
        <v>191</v>
      </c>
      <c r="V161" s="6">
        <f t="shared" si="68"/>
        <v>23</v>
      </c>
      <c r="W161" s="6">
        <f t="shared" si="56"/>
        <v>214</v>
      </c>
      <c r="X161" s="6">
        <f t="shared" si="57"/>
        <v>186</v>
      </c>
      <c r="Y161" s="6">
        <f t="shared" si="58"/>
        <v>0</v>
      </c>
      <c r="Z161" s="6">
        <f t="shared" si="59"/>
        <v>28</v>
      </c>
      <c r="AA161" s="6">
        <f t="shared" si="60"/>
        <v>1</v>
      </c>
      <c r="AB161" s="6">
        <f t="shared" si="61"/>
        <v>27</v>
      </c>
      <c r="AC161" s="5">
        <f t="shared" si="62"/>
        <v>2.6881720430107527E-2</v>
      </c>
      <c r="AD161" s="5">
        <f t="shared" si="63"/>
        <v>0.94623655913978499</v>
      </c>
      <c r="AE161" s="5">
        <f t="shared" si="64"/>
        <v>1</v>
      </c>
      <c r="AF161" s="5">
        <f t="shared" si="65"/>
        <v>0.76521739130434785</v>
      </c>
      <c r="AG161" s="5">
        <f t="shared" si="66"/>
        <v>0.83043478260869563</v>
      </c>
    </row>
    <row r="162" spans="1:33">
      <c r="A162" s="4">
        <v>46194</v>
      </c>
      <c r="B162" s="3" t="s">
        <v>60</v>
      </c>
      <c r="C162" s="3">
        <v>2</v>
      </c>
      <c r="D162" s="6">
        <v>1925</v>
      </c>
      <c r="E162" s="6">
        <v>1593</v>
      </c>
      <c r="F162" s="6">
        <v>2250</v>
      </c>
      <c r="G162" s="6">
        <f t="shared" si="46"/>
        <v>1867</v>
      </c>
      <c r="H162" s="5">
        <v>0.98835790308395166</v>
      </c>
      <c r="I162" s="6">
        <f t="shared" si="47"/>
        <v>1845</v>
      </c>
      <c r="J162" s="6">
        <f t="shared" si="67"/>
        <v>347</v>
      </c>
      <c r="K162" s="6">
        <f t="shared" si="48"/>
        <v>2192</v>
      </c>
      <c r="L162" s="6">
        <f t="shared" si="49"/>
        <v>1593</v>
      </c>
      <c r="M162" s="6">
        <f t="shared" si="50"/>
        <v>0</v>
      </c>
      <c r="N162" s="6">
        <f t="shared" si="51"/>
        <v>599</v>
      </c>
      <c r="O162" s="5">
        <v>2.5000000000000001E-2</v>
      </c>
      <c r="P162" s="6">
        <f t="shared" si="52"/>
        <v>15</v>
      </c>
      <c r="Q162" s="6">
        <f t="shared" si="53"/>
        <v>584</v>
      </c>
      <c r="R162" s="6">
        <v>231</v>
      </c>
      <c r="S162" s="6">
        <f t="shared" si="54"/>
        <v>1868</v>
      </c>
      <c r="T162" s="5">
        <v>0.99713853197919922</v>
      </c>
      <c r="U162" s="6">
        <f t="shared" si="55"/>
        <v>1863</v>
      </c>
      <c r="V162" s="6">
        <f t="shared" si="68"/>
        <v>288</v>
      </c>
      <c r="W162" s="6">
        <f t="shared" si="56"/>
        <v>2151</v>
      </c>
      <c r="X162" s="6">
        <f t="shared" si="57"/>
        <v>1593</v>
      </c>
      <c r="Y162" s="6">
        <f t="shared" si="58"/>
        <v>0</v>
      </c>
      <c r="Z162" s="6">
        <f t="shared" si="59"/>
        <v>558</v>
      </c>
      <c r="AA162" s="6">
        <f t="shared" si="60"/>
        <v>14</v>
      </c>
      <c r="AB162" s="6">
        <f t="shared" si="61"/>
        <v>544</v>
      </c>
      <c r="AC162" s="5">
        <f t="shared" si="62"/>
        <v>0.20841180163214063</v>
      </c>
      <c r="AD162" s="5">
        <f t="shared" si="63"/>
        <v>1</v>
      </c>
      <c r="AE162" s="5">
        <f t="shared" si="64"/>
        <v>1</v>
      </c>
      <c r="AF162" s="5">
        <f t="shared" si="65"/>
        <v>0.82</v>
      </c>
      <c r="AG162" s="5">
        <f t="shared" si="66"/>
        <v>0.82799999999999996</v>
      </c>
    </row>
    <row r="163" spans="1:33">
      <c r="A163" s="4">
        <v>46194</v>
      </c>
      <c r="B163" s="3" t="s">
        <v>61</v>
      </c>
      <c r="C163" s="3">
        <v>2</v>
      </c>
      <c r="D163" s="6">
        <v>963</v>
      </c>
      <c r="E163" s="6">
        <v>1087</v>
      </c>
      <c r="F163" s="6">
        <v>1200</v>
      </c>
      <c r="G163" s="6">
        <f t="shared" si="46"/>
        <v>934</v>
      </c>
      <c r="H163" s="5">
        <v>1.0158670407734065</v>
      </c>
      <c r="I163" s="6">
        <f t="shared" si="47"/>
        <v>949</v>
      </c>
      <c r="J163" s="6">
        <f t="shared" si="67"/>
        <v>0</v>
      </c>
      <c r="K163" s="6">
        <f t="shared" si="48"/>
        <v>949</v>
      </c>
      <c r="L163" s="6">
        <f t="shared" si="49"/>
        <v>949</v>
      </c>
      <c r="M163" s="6">
        <f t="shared" si="50"/>
        <v>138</v>
      </c>
      <c r="N163" s="6">
        <f t="shared" si="51"/>
        <v>0</v>
      </c>
      <c r="O163" s="5">
        <v>0.03</v>
      </c>
      <c r="P163" s="6">
        <f t="shared" si="52"/>
        <v>0</v>
      </c>
      <c r="Q163" s="6">
        <f t="shared" si="53"/>
        <v>0</v>
      </c>
      <c r="R163" s="6">
        <v>116</v>
      </c>
      <c r="S163" s="6">
        <f t="shared" si="54"/>
        <v>1079</v>
      </c>
      <c r="T163" s="5">
        <v>0.99063337048046973</v>
      </c>
      <c r="U163" s="6">
        <f t="shared" si="55"/>
        <v>1069</v>
      </c>
      <c r="V163" s="6">
        <f t="shared" si="68"/>
        <v>0</v>
      </c>
      <c r="W163" s="6">
        <f t="shared" si="56"/>
        <v>1069</v>
      </c>
      <c r="X163" s="6">
        <f t="shared" si="57"/>
        <v>1069</v>
      </c>
      <c r="Y163" s="6">
        <f t="shared" si="58"/>
        <v>18</v>
      </c>
      <c r="Z163" s="6">
        <f t="shared" si="59"/>
        <v>0</v>
      </c>
      <c r="AA163" s="6">
        <f t="shared" si="60"/>
        <v>0</v>
      </c>
      <c r="AB163" s="6">
        <f t="shared" si="61"/>
        <v>0</v>
      </c>
      <c r="AC163" s="5">
        <f t="shared" si="62"/>
        <v>0.11407543698252071</v>
      </c>
      <c r="AD163" s="5">
        <f t="shared" si="63"/>
        <v>0.87304507819687216</v>
      </c>
      <c r="AE163" s="5">
        <f t="shared" si="64"/>
        <v>0.98344066237350503</v>
      </c>
      <c r="AF163" s="5">
        <f t="shared" si="65"/>
        <v>0.79083333333333339</v>
      </c>
      <c r="AG163" s="5">
        <f t="shared" si="66"/>
        <v>0.89083333333333337</v>
      </c>
    </row>
    <row r="164" spans="1:33">
      <c r="A164" s="4">
        <v>46194</v>
      </c>
      <c r="B164" s="3" t="s">
        <v>62</v>
      </c>
      <c r="C164" s="3">
        <v>7</v>
      </c>
      <c r="D164" s="6">
        <v>586</v>
      </c>
      <c r="E164" s="6">
        <v>650</v>
      </c>
      <c r="F164" s="6">
        <v>700</v>
      </c>
      <c r="G164" s="6">
        <f t="shared" si="46"/>
        <v>568</v>
      </c>
      <c r="H164" s="5">
        <v>0.99917444045398274</v>
      </c>
      <c r="I164" s="6">
        <f t="shared" si="47"/>
        <v>568</v>
      </c>
      <c r="J164" s="6">
        <f t="shared" si="67"/>
        <v>70</v>
      </c>
      <c r="K164" s="6">
        <f t="shared" si="48"/>
        <v>638</v>
      </c>
      <c r="L164" s="6">
        <f t="shared" si="49"/>
        <v>638</v>
      </c>
      <c r="M164" s="6">
        <f t="shared" si="50"/>
        <v>12</v>
      </c>
      <c r="N164" s="6">
        <f t="shared" si="51"/>
        <v>0</v>
      </c>
      <c r="O164" s="5">
        <v>1.7999999999999999E-2</v>
      </c>
      <c r="P164" s="6">
        <f t="shared" si="52"/>
        <v>0</v>
      </c>
      <c r="Q164" s="6">
        <f t="shared" si="53"/>
        <v>0</v>
      </c>
      <c r="R164" s="6">
        <v>105</v>
      </c>
      <c r="S164" s="6">
        <f t="shared" si="54"/>
        <v>522</v>
      </c>
      <c r="T164" s="5">
        <v>1.0156426657124793</v>
      </c>
      <c r="U164" s="6">
        <f t="shared" si="55"/>
        <v>530</v>
      </c>
      <c r="V164" s="6">
        <f t="shared" si="68"/>
        <v>169</v>
      </c>
      <c r="W164" s="6">
        <f t="shared" si="56"/>
        <v>699</v>
      </c>
      <c r="X164" s="6">
        <f t="shared" si="57"/>
        <v>650</v>
      </c>
      <c r="Y164" s="6">
        <f t="shared" si="58"/>
        <v>0</v>
      </c>
      <c r="Z164" s="6">
        <f t="shared" si="59"/>
        <v>49</v>
      </c>
      <c r="AA164" s="6">
        <f t="shared" si="60"/>
        <v>1</v>
      </c>
      <c r="AB164" s="6">
        <f t="shared" si="61"/>
        <v>48</v>
      </c>
      <c r="AC164" s="5">
        <f t="shared" si="62"/>
        <v>9.8461538461538461E-2</v>
      </c>
      <c r="AD164" s="5">
        <f t="shared" si="63"/>
        <v>0.98153846153846158</v>
      </c>
      <c r="AE164" s="5">
        <f t="shared" si="64"/>
        <v>1</v>
      </c>
      <c r="AF164" s="5">
        <f t="shared" si="65"/>
        <v>0.81142857142857139</v>
      </c>
      <c r="AG164" s="5">
        <f t="shared" si="66"/>
        <v>0.75714285714285712</v>
      </c>
    </row>
    <row r="165" spans="1:33">
      <c r="A165" s="4">
        <v>46194</v>
      </c>
      <c r="B165" s="3" t="s">
        <v>63</v>
      </c>
      <c r="C165" s="3">
        <v>7</v>
      </c>
      <c r="D165" s="6">
        <v>469</v>
      </c>
      <c r="E165" s="6">
        <v>493</v>
      </c>
      <c r="F165" s="6">
        <v>560</v>
      </c>
      <c r="G165" s="6">
        <f t="shared" si="46"/>
        <v>455</v>
      </c>
      <c r="H165" s="5">
        <v>0.98190470759677106</v>
      </c>
      <c r="I165" s="6">
        <f t="shared" si="47"/>
        <v>447</v>
      </c>
      <c r="J165" s="6">
        <f t="shared" si="67"/>
        <v>73</v>
      </c>
      <c r="K165" s="6">
        <f t="shared" si="48"/>
        <v>520</v>
      </c>
      <c r="L165" s="6">
        <f t="shared" si="49"/>
        <v>493</v>
      </c>
      <c r="M165" s="6">
        <f t="shared" si="50"/>
        <v>0</v>
      </c>
      <c r="N165" s="6">
        <f t="shared" si="51"/>
        <v>27</v>
      </c>
      <c r="O165" s="5">
        <v>0.02</v>
      </c>
      <c r="P165" s="6">
        <f t="shared" si="52"/>
        <v>1</v>
      </c>
      <c r="Q165" s="6">
        <f t="shared" si="53"/>
        <v>26</v>
      </c>
      <c r="R165" s="6">
        <v>84</v>
      </c>
      <c r="S165" s="6">
        <f t="shared" si="54"/>
        <v>395</v>
      </c>
      <c r="T165" s="5">
        <v>1.0145551336460084</v>
      </c>
      <c r="U165" s="6">
        <f t="shared" si="55"/>
        <v>401</v>
      </c>
      <c r="V165" s="6">
        <f t="shared" si="68"/>
        <v>158</v>
      </c>
      <c r="W165" s="6">
        <f t="shared" si="56"/>
        <v>559</v>
      </c>
      <c r="X165" s="6">
        <f t="shared" si="57"/>
        <v>493</v>
      </c>
      <c r="Y165" s="6">
        <f t="shared" si="58"/>
        <v>0</v>
      </c>
      <c r="Z165" s="6">
        <f t="shared" si="59"/>
        <v>66</v>
      </c>
      <c r="AA165" s="6">
        <f t="shared" si="60"/>
        <v>1</v>
      </c>
      <c r="AB165" s="6">
        <f t="shared" si="61"/>
        <v>65</v>
      </c>
      <c r="AC165" s="5">
        <f t="shared" si="62"/>
        <v>4.8681541582150101E-2</v>
      </c>
      <c r="AD165" s="5">
        <f t="shared" si="63"/>
        <v>1</v>
      </c>
      <c r="AE165" s="5">
        <f t="shared" si="64"/>
        <v>1</v>
      </c>
      <c r="AF165" s="5">
        <f t="shared" si="65"/>
        <v>0.79821428571428577</v>
      </c>
      <c r="AG165" s="5">
        <f t="shared" si="66"/>
        <v>0.71607142857142858</v>
      </c>
    </row>
    <row r="166" spans="1:33">
      <c r="A166" s="4">
        <v>46194</v>
      </c>
      <c r="B166" s="3" t="s">
        <v>64</v>
      </c>
      <c r="C166" s="3">
        <v>5</v>
      </c>
      <c r="D166" s="6">
        <v>186</v>
      </c>
      <c r="E166" s="6">
        <v>181</v>
      </c>
      <c r="F166" s="6">
        <v>230</v>
      </c>
      <c r="G166" s="6">
        <f t="shared" si="46"/>
        <v>180</v>
      </c>
      <c r="H166" s="5">
        <v>1.0032456638772467</v>
      </c>
      <c r="I166" s="6">
        <f t="shared" si="47"/>
        <v>181</v>
      </c>
      <c r="J166" s="6">
        <f t="shared" si="67"/>
        <v>0</v>
      </c>
      <c r="K166" s="6">
        <f t="shared" si="48"/>
        <v>181</v>
      </c>
      <c r="L166" s="6">
        <f t="shared" si="49"/>
        <v>181</v>
      </c>
      <c r="M166" s="6">
        <f t="shared" si="50"/>
        <v>0</v>
      </c>
      <c r="N166" s="6">
        <f t="shared" si="51"/>
        <v>0</v>
      </c>
      <c r="O166" s="5">
        <v>2.5000000000000001E-2</v>
      </c>
      <c r="P166" s="6">
        <f t="shared" si="52"/>
        <v>0</v>
      </c>
      <c r="Q166" s="6">
        <f t="shared" si="53"/>
        <v>0</v>
      </c>
      <c r="R166" s="6">
        <v>37</v>
      </c>
      <c r="S166" s="6">
        <f t="shared" si="54"/>
        <v>196</v>
      </c>
      <c r="T166" s="5">
        <v>0.99150197158905506</v>
      </c>
      <c r="U166" s="6">
        <f t="shared" si="55"/>
        <v>194</v>
      </c>
      <c r="V166" s="6">
        <f t="shared" si="68"/>
        <v>27</v>
      </c>
      <c r="W166" s="6">
        <f t="shared" si="56"/>
        <v>221</v>
      </c>
      <c r="X166" s="6">
        <f t="shared" si="57"/>
        <v>181</v>
      </c>
      <c r="Y166" s="6">
        <f t="shared" si="58"/>
        <v>0</v>
      </c>
      <c r="Z166" s="6">
        <f t="shared" si="59"/>
        <v>40</v>
      </c>
      <c r="AA166" s="6">
        <f t="shared" si="60"/>
        <v>1</v>
      </c>
      <c r="AB166" s="6">
        <f t="shared" si="61"/>
        <v>39</v>
      </c>
      <c r="AC166" s="5">
        <f t="shared" si="62"/>
        <v>2.7624309392265192E-2</v>
      </c>
      <c r="AD166" s="5">
        <f t="shared" si="63"/>
        <v>1</v>
      </c>
      <c r="AE166" s="5">
        <f t="shared" si="64"/>
        <v>1</v>
      </c>
      <c r="AF166" s="5">
        <f t="shared" si="65"/>
        <v>0.78695652173913044</v>
      </c>
      <c r="AG166" s="5">
        <f t="shared" si="66"/>
        <v>0.84347826086956523</v>
      </c>
    </row>
    <row r="167" spans="1:33">
      <c r="A167" s="4">
        <v>46195</v>
      </c>
      <c r="B167" s="3" t="s">
        <v>60</v>
      </c>
      <c r="C167" s="3">
        <v>2</v>
      </c>
      <c r="D167" s="6">
        <v>1651</v>
      </c>
      <c r="E167" s="6">
        <v>1625</v>
      </c>
      <c r="F167" s="6">
        <v>2250</v>
      </c>
      <c r="G167" s="6">
        <f t="shared" si="46"/>
        <v>1601</v>
      </c>
      <c r="H167" s="5">
        <v>0.9922467869852678</v>
      </c>
      <c r="I167" s="6">
        <f t="shared" si="47"/>
        <v>1589</v>
      </c>
      <c r="J167" s="6">
        <f t="shared" si="67"/>
        <v>584</v>
      </c>
      <c r="K167" s="6">
        <f t="shared" si="48"/>
        <v>2173</v>
      </c>
      <c r="L167" s="6">
        <f t="shared" si="49"/>
        <v>1625</v>
      </c>
      <c r="M167" s="6">
        <f t="shared" si="50"/>
        <v>0</v>
      </c>
      <c r="N167" s="6">
        <f t="shared" si="51"/>
        <v>548</v>
      </c>
      <c r="O167" s="5">
        <v>2.5000000000000001E-2</v>
      </c>
      <c r="P167" s="6">
        <f t="shared" si="52"/>
        <v>14</v>
      </c>
      <c r="Q167" s="6">
        <f t="shared" si="53"/>
        <v>534</v>
      </c>
      <c r="R167" s="6">
        <v>198</v>
      </c>
      <c r="S167" s="6">
        <f t="shared" si="54"/>
        <v>1305</v>
      </c>
      <c r="T167" s="5">
        <v>1.0104819817368846</v>
      </c>
      <c r="U167" s="6">
        <f t="shared" si="55"/>
        <v>1319</v>
      </c>
      <c r="V167" s="6">
        <f t="shared" si="68"/>
        <v>544</v>
      </c>
      <c r="W167" s="6">
        <f t="shared" si="56"/>
        <v>1863</v>
      </c>
      <c r="X167" s="6">
        <f t="shared" si="57"/>
        <v>1625</v>
      </c>
      <c r="Y167" s="6">
        <f t="shared" si="58"/>
        <v>0</v>
      </c>
      <c r="Z167" s="6">
        <f t="shared" si="59"/>
        <v>238</v>
      </c>
      <c r="AA167" s="6">
        <f t="shared" si="60"/>
        <v>6</v>
      </c>
      <c r="AB167" s="6">
        <f t="shared" si="61"/>
        <v>232</v>
      </c>
      <c r="AC167" s="5">
        <f t="shared" si="62"/>
        <v>1.6E-2</v>
      </c>
      <c r="AD167" s="5">
        <f t="shared" si="63"/>
        <v>1</v>
      </c>
      <c r="AE167" s="5">
        <f t="shared" si="64"/>
        <v>1</v>
      </c>
      <c r="AF167" s="5">
        <f t="shared" si="65"/>
        <v>0.7062222222222222</v>
      </c>
      <c r="AG167" s="5">
        <f t="shared" si="66"/>
        <v>0.5862222222222222</v>
      </c>
    </row>
    <row r="168" spans="1:33">
      <c r="A168" s="4">
        <v>46195</v>
      </c>
      <c r="B168" s="3" t="s">
        <v>61</v>
      </c>
      <c r="C168" s="3">
        <v>2</v>
      </c>
      <c r="D168" s="6">
        <v>817</v>
      </c>
      <c r="E168" s="6">
        <v>813</v>
      </c>
      <c r="F168" s="6">
        <v>1200</v>
      </c>
      <c r="G168" s="6">
        <f t="shared" si="46"/>
        <v>792</v>
      </c>
      <c r="H168" s="5">
        <v>1.0162960794521856</v>
      </c>
      <c r="I168" s="6">
        <f t="shared" si="47"/>
        <v>805</v>
      </c>
      <c r="J168" s="6">
        <f t="shared" si="67"/>
        <v>0</v>
      </c>
      <c r="K168" s="6">
        <f t="shared" si="48"/>
        <v>805</v>
      </c>
      <c r="L168" s="6">
        <f t="shared" si="49"/>
        <v>805</v>
      </c>
      <c r="M168" s="6">
        <f t="shared" si="50"/>
        <v>8</v>
      </c>
      <c r="N168" s="6">
        <f t="shared" si="51"/>
        <v>0</v>
      </c>
      <c r="O168" s="5">
        <v>0.03</v>
      </c>
      <c r="P168" s="6">
        <f t="shared" si="52"/>
        <v>0</v>
      </c>
      <c r="Q168" s="6">
        <f t="shared" si="53"/>
        <v>0</v>
      </c>
      <c r="R168" s="6">
        <v>98</v>
      </c>
      <c r="S168" s="6">
        <f t="shared" si="54"/>
        <v>915</v>
      </c>
      <c r="T168" s="5">
        <v>1.0099186331750223</v>
      </c>
      <c r="U168" s="6">
        <f t="shared" si="55"/>
        <v>924</v>
      </c>
      <c r="V168" s="6">
        <f t="shared" si="68"/>
        <v>0</v>
      </c>
      <c r="W168" s="6">
        <f t="shared" si="56"/>
        <v>924</v>
      </c>
      <c r="X168" s="6">
        <f t="shared" si="57"/>
        <v>813</v>
      </c>
      <c r="Y168" s="6">
        <f t="shared" si="58"/>
        <v>0</v>
      </c>
      <c r="Z168" s="6">
        <f t="shared" si="59"/>
        <v>111</v>
      </c>
      <c r="AA168" s="6">
        <f t="shared" si="60"/>
        <v>3</v>
      </c>
      <c r="AB168" s="6">
        <f t="shared" si="61"/>
        <v>108</v>
      </c>
      <c r="AC168" s="5">
        <f t="shared" si="62"/>
        <v>4.9200492004920051E-3</v>
      </c>
      <c r="AD168" s="5">
        <f t="shared" si="63"/>
        <v>0.99015990159901601</v>
      </c>
      <c r="AE168" s="5">
        <f t="shared" si="64"/>
        <v>1</v>
      </c>
      <c r="AF168" s="5">
        <f t="shared" si="65"/>
        <v>0.67083333333333328</v>
      </c>
      <c r="AG168" s="5">
        <f t="shared" si="66"/>
        <v>0.77</v>
      </c>
    </row>
    <row r="169" spans="1:33">
      <c r="A169" s="4">
        <v>46195</v>
      </c>
      <c r="B169" s="3" t="s">
        <v>62</v>
      </c>
      <c r="C169" s="3">
        <v>7</v>
      </c>
      <c r="D169" s="6">
        <v>470</v>
      </c>
      <c r="E169" s="6">
        <v>403</v>
      </c>
      <c r="F169" s="6">
        <v>700</v>
      </c>
      <c r="G169" s="6">
        <f t="shared" si="46"/>
        <v>456</v>
      </c>
      <c r="H169" s="5">
        <v>0.99319697755729097</v>
      </c>
      <c r="I169" s="6">
        <f t="shared" si="47"/>
        <v>453</v>
      </c>
      <c r="J169" s="6">
        <f t="shared" si="67"/>
        <v>0</v>
      </c>
      <c r="K169" s="6">
        <f t="shared" si="48"/>
        <v>453</v>
      </c>
      <c r="L169" s="6">
        <f t="shared" si="49"/>
        <v>403</v>
      </c>
      <c r="M169" s="6">
        <f t="shared" si="50"/>
        <v>0</v>
      </c>
      <c r="N169" s="6">
        <f t="shared" si="51"/>
        <v>50</v>
      </c>
      <c r="O169" s="5">
        <v>1.7999999999999999E-2</v>
      </c>
      <c r="P169" s="6">
        <f t="shared" si="52"/>
        <v>1</v>
      </c>
      <c r="Q169" s="6">
        <f t="shared" si="53"/>
        <v>49</v>
      </c>
      <c r="R169" s="6">
        <v>85</v>
      </c>
      <c r="S169" s="6">
        <f t="shared" si="54"/>
        <v>507</v>
      </c>
      <c r="T169" s="5">
        <v>1.004760650996581</v>
      </c>
      <c r="U169" s="6">
        <f t="shared" si="55"/>
        <v>509</v>
      </c>
      <c r="V169" s="6">
        <f t="shared" si="68"/>
        <v>48</v>
      </c>
      <c r="W169" s="6">
        <f t="shared" si="56"/>
        <v>557</v>
      </c>
      <c r="X169" s="6">
        <f t="shared" si="57"/>
        <v>403</v>
      </c>
      <c r="Y169" s="6">
        <f t="shared" si="58"/>
        <v>0</v>
      </c>
      <c r="Z169" s="6">
        <f t="shared" si="59"/>
        <v>154</v>
      </c>
      <c r="AA169" s="6">
        <f t="shared" si="60"/>
        <v>3</v>
      </c>
      <c r="AB169" s="6">
        <f t="shared" si="61"/>
        <v>151</v>
      </c>
      <c r="AC169" s="5">
        <f t="shared" si="62"/>
        <v>0.16625310173697269</v>
      </c>
      <c r="AD169" s="5">
        <f t="shared" si="63"/>
        <v>1</v>
      </c>
      <c r="AE169" s="5">
        <f t="shared" si="64"/>
        <v>1</v>
      </c>
      <c r="AF169" s="5">
        <f t="shared" si="65"/>
        <v>0.64714285714285713</v>
      </c>
      <c r="AG169" s="5">
        <f t="shared" si="66"/>
        <v>0.72714285714285709</v>
      </c>
    </row>
    <row r="170" spans="1:33">
      <c r="A170" s="4">
        <v>46195</v>
      </c>
      <c r="B170" s="3" t="s">
        <v>63</v>
      </c>
      <c r="C170" s="3">
        <v>7</v>
      </c>
      <c r="D170" s="6">
        <v>364</v>
      </c>
      <c r="E170" s="6">
        <v>419</v>
      </c>
      <c r="F170" s="6">
        <v>560</v>
      </c>
      <c r="G170" s="6">
        <f t="shared" si="46"/>
        <v>353</v>
      </c>
      <c r="H170" s="5">
        <v>1.0132943216281161</v>
      </c>
      <c r="I170" s="6">
        <f t="shared" si="47"/>
        <v>358</v>
      </c>
      <c r="J170" s="6">
        <f t="shared" si="67"/>
        <v>26</v>
      </c>
      <c r="K170" s="6">
        <f t="shared" si="48"/>
        <v>384</v>
      </c>
      <c r="L170" s="6">
        <f t="shared" si="49"/>
        <v>384</v>
      </c>
      <c r="M170" s="6">
        <f t="shared" si="50"/>
        <v>35</v>
      </c>
      <c r="N170" s="6">
        <f t="shared" si="51"/>
        <v>0</v>
      </c>
      <c r="O170" s="5">
        <v>0.02</v>
      </c>
      <c r="P170" s="6">
        <f t="shared" si="52"/>
        <v>0</v>
      </c>
      <c r="Q170" s="6">
        <f t="shared" si="53"/>
        <v>0</v>
      </c>
      <c r="R170" s="6">
        <v>66</v>
      </c>
      <c r="S170" s="6">
        <f t="shared" si="54"/>
        <v>365</v>
      </c>
      <c r="T170" s="5">
        <v>0.98255000895876832</v>
      </c>
      <c r="U170" s="6">
        <f t="shared" si="55"/>
        <v>359</v>
      </c>
      <c r="V170" s="6">
        <f t="shared" si="68"/>
        <v>65</v>
      </c>
      <c r="W170" s="6">
        <f t="shared" si="56"/>
        <v>424</v>
      </c>
      <c r="X170" s="6">
        <f t="shared" si="57"/>
        <v>419</v>
      </c>
      <c r="Y170" s="6">
        <f t="shared" si="58"/>
        <v>0</v>
      </c>
      <c r="Z170" s="6">
        <f t="shared" si="59"/>
        <v>5</v>
      </c>
      <c r="AA170" s="6">
        <f t="shared" si="60"/>
        <v>0</v>
      </c>
      <c r="AB170" s="6">
        <f t="shared" si="61"/>
        <v>5</v>
      </c>
      <c r="AC170" s="5">
        <f t="shared" si="62"/>
        <v>0.13126491646778043</v>
      </c>
      <c r="AD170" s="5">
        <f t="shared" si="63"/>
        <v>0.91646778042959431</v>
      </c>
      <c r="AE170" s="5">
        <f t="shared" si="64"/>
        <v>1</v>
      </c>
      <c r="AF170" s="5">
        <f t="shared" si="65"/>
        <v>0.63928571428571423</v>
      </c>
      <c r="AG170" s="5">
        <f t="shared" si="66"/>
        <v>0.64107142857142863</v>
      </c>
    </row>
    <row r="171" spans="1:33">
      <c r="A171" s="4">
        <v>46195</v>
      </c>
      <c r="B171" s="3" t="s">
        <v>64</v>
      </c>
      <c r="C171" s="3">
        <v>5</v>
      </c>
      <c r="D171" s="6">
        <v>149</v>
      </c>
      <c r="E171" s="6">
        <v>144</v>
      </c>
      <c r="F171" s="6">
        <v>230</v>
      </c>
      <c r="G171" s="6">
        <f t="shared" si="46"/>
        <v>145</v>
      </c>
      <c r="H171" s="5">
        <v>1.0019151888339999</v>
      </c>
      <c r="I171" s="6">
        <f t="shared" si="47"/>
        <v>145</v>
      </c>
      <c r="J171" s="6">
        <f t="shared" si="67"/>
        <v>0</v>
      </c>
      <c r="K171" s="6">
        <f t="shared" si="48"/>
        <v>145</v>
      </c>
      <c r="L171" s="6">
        <f t="shared" si="49"/>
        <v>144</v>
      </c>
      <c r="M171" s="6">
        <f t="shared" si="50"/>
        <v>0</v>
      </c>
      <c r="N171" s="6">
        <f t="shared" si="51"/>
        <v>1</v>
      </c>
      <c r="O171" s="5">
        <v>2.5000000000000001E-2</v>
      </c>
      <c r="P171" s="6">
        <f t="shared" si="52"/>
        <v>0</v>
      </c>
      <c r="Q171" s="6">
        <f t="shared" si="53"/>
        <v>1</v>
      </c>
      <c r="R171" s="6">
        <v>30</v>
      </c>
      <c r="S171" s="6">
        <f t="shared" si="54"/>
        <v>140</v>
      </c>
      <c r="T171" s="5">
        <v>0.99217247839648715</v>
      </c>
      <c r="U171" s="6">
        <f t="shared" si="55"/>
        <v>139</v>
      </c>
      <c r="V171" s="6">
        <f t="shared" si="68"/>
        <v>39</v>
      </c>
      <c r="W171" s="6">
        <f t="shared" si="56"/>
        <v>178</v>
      </c>
      <c r="X171" s="6">
        <f t="shared" si="57"/>
        <v>144</v>
      </c>
      <c r="Y171" s="6">
        <f t="shared" si="58"/>
        <v>0</v>
      </c>
      <c r="Z171" s="6">
        <f t="shared" si="59"/>
        <v>34</v>
      </c>
      <c r="AA171" s="6">
        <f t="shared" si="60"/>
        <v>1</v>
      </c>
      <c r="AB171" s="6">
        <f t="shared" si="61"/>
        <v>33</v>
      </c>
      <c r="AC171" s="5">
        <f t="shared" si="62"/>
        <v>3.4722222222222224E-2</v>
      </c>
      <c r="AD171" s="5">
        <f t="shared" si="63"/>
        <v>1</v>
      </c>
      <c r="AE171" s="5">
        <f t="shared" si="64"/>
        <v>1</v>
      </c>
      <c r="AF171" s="5">
        <f t="shared" si="65"/>
        <v>0.63043478260869568</v>
      </c>
      <c r="AG171" s="5">
        <f t="shared" si="66"/>
        <v>0.60434782608695647</v>
      </c>
    </row>
    <row r="172" spans="1:33">
      <c r="A172" s="4">
        <v>46196</v>
      </c>
      <c r="B172" s="3" t="s">
        <v>60</v>
      </c>
      <c r="C172" s="3">
        <v>2</v>
      </c>
      <c r="D172" s="6">
        <v>1686</v>
      </c>
      <c r="E172" s="6">
        <v>1833</v>
      </c>
      <c r="F172" s="6">
        <v>2250</v>
      </c>
      <c r="G172" s="6">
        <f t="shared" si="46"/>
        <v>1635</v>
      </c>
      <c r="H172" s="5">
        <v>0.99783092395552242</v>
      </c>
      <c r="I172" s="6">
        <f t="shared" si="47"/>
        <v>1631</v>
      </c>
      <c r="J172" s="6">
        <f t="shared" si="67"/>
        <v>534</v>
      </c>
      <c r="K172" s="6">
        <f t="shared" si="48"/>
        <v>2165</v>
      </c>
      <c r="L172" s="6">
        <f t="shared" si="49"/>
        <v>1833</v>
      </c>
      <c r="M172" s="6">
        <f t="shared" si="50"/>
        <v>0</v>
      </c>
      <c r="N172" s="6">
        <f t="shared" si="51"/>
        <v>332</v>
      </c>
      <c r="O172" s="5">
        <v>2.5000000000000001E-2</v>
      </c>
      <c r="P172" s="6">
        <f t="shared" si="52"/>
        <v>8</v>
      </c>
      <c r="Q172" s="6">
        <f t="shared" si="53"/>
        <v>324</v>
      </c>
      <c r="R172" s="6">
        <v>202</v>
      </c>
      <c r="S172" s="6">
        <f t="shared" si="54"/>
        <v>1656</v>
      </c>
      <c r="T172" s="5">
        <v>1.0064623747328383</v>
      </c>
      <c r="U172" s="6">
        <f t="shared" si="55"/>
        <v>1667</v>
      </c>
      <c r="V172" s="6">
        <f t="shared" si="68"/>
        <v>232</v>
      </c>
      <c r="W172" s="6">
        <f t="shared" si="56"/>
        <v>1899</v>
      </c>
      <c r="X172" s="6">
        <f t="shared" si="57"/>
        <v>1833</v>
      </c>
      <c r="Y172" s="6">
        <f t="shared" si="58"/>
        <v>0</v>
      </c>
      <c r="Z172" s="6">
        <f t="shared" si="59"/>
        <v>66</v>
      </c>
      <c r="AA172" s="6">
        <f t="shared" si="60"/>
        <v>2</v>
      </c>
      <c r="AB172" s="6">
        <f t="shared" si="61"/>
        <v>64</v>
      </c>
      <c r="AC172" s="5">
        <f t="shared" si="62"/>
        <v>8.0196399345335512E-2</v>
      </c>
      <c r="AD172" s="5">
        <f t="shared" si="63"/>
        <v>1</v>
      </c>
      <c r="AE172" s="5">
        <f t="shared" si="64"/>
        <v>1</v>
      </c>
      <c r="AF172" s="5">
        <f t="shared" si="65"/>
        <v>0.72488888888888892</v>
      </c>
      <c r="AG172" s="5">
        <f t="shared" si="66"/>
        <v>0.74088888888888893</v>
      </c>
    </row>
    <row r="173" spans="1:33">
      <c r="A173" s="4">
        <v>46196</v>
      </c>
      <c r="B173" s="3" t="s">
        <v>61</v>
      </c>
      <c r="C173" s="3">
        <v>2</v>
      </c>
      <c r="D173" s="6">
        <v>843</v>
      </c>
      <c r="E173" s="6">
        <v>727</v>
      </c>
      <c r="F173" s="6">
        <v>1200</v>
      </c>
      <c r="G173" s="6">
        <f t="shared" si="46"/>
        <v>818</v>
      </c>
      <c r="H173" s="5">
        <v>0.98023150965924366</v>
      </c>
      <c r="I173" s="6">
        <f t="shared" si="47"/>
        <v>802</v>
      </c>
      <c r="J173" s="6">
        <f t="shared" si="67"/>
        <v>0</v>
      </c>
      <c r="K173" s="6">
        <f t="shared" si="48"/>
        <v>802</v>
      </c>
      <c r="L173" s="6">
        <f t="shared" si="49"/>
        <v>727</v>
      </c>
      <c r="M173" s="6">
        <f t="shared" si="50"/>
        <v>0</v>
      </c>
      <c r="N173" s="6">
        <f t="shared" si="51"/>
        <v>75</v>
      </c>
      <c r="O173" s="5">
        <v>0.03</v>
      </c>
      <c r="P173" s="6">
        <f t="shared" si="52"/>
        <v>2</v>
      </c>
      <c r="Q173" s="6">
        <f t="shared" si="53"/>
        <v>73</v>
      </c>
      <c r="R173" s="6">
        <v>101</v>
      </c>
      <c r="S173" s="6">
        <f t="shared" si="54"/>
        <v>836</v>
      </c>
      <c r="T173" s="5">
        <v>1.0099331741314315</v>
      </c>
      <c r="U173" s="6">
        <f t="shared" si="55"/>
        <v>844</v>
      </c>
      <c r="V173" s="6">
        <f t="shared" si="68"/>
        <v>108</v>
      </c>
      <c r="W173" s="6">
        <f t="shared" si="56"/>
        <v>952</v>
      </c>
      <c r="X173" s="6">
        <f t="shared" si="57"/>
        <v>727</v>
      </c>
      <c r="Y173" s="6">
        <f t="shared" si="58"/>
        <v>0</v>
      </c>
      <c r="Z173" s="6">
        <f t="shared" si="59"/>
        <v>225</v>
      </c>
      <c r="AA173" s="6">
        <f t="shared" si="60"/>
        <v>7</v>
      </c>
      <c r="AB173" s="6">
        <f t="shared" si="61"/>
        <v>218</v>
      </c>
      <c r="AC173" s="5">
        <f t="shared" si="62"/>
        <v>0.15955983493810177</v>
      </c>
      <c r="AD173" s="5">
        <f t="shared" si="63"/>
        <v>1</v>
      </c>
      <c r="AE173" s="5">
        <f t="shared" si="64"/>
        <v>1</v>
      </c>
      <c r="AF173" s="5">
        <f t="shared" si="65"/>
        <v>0.66833333333333333</v>
      </c>
      <c r="AG173" s="5">
        <f t="shared" si="66"/>
        <v>0.70333333333333337</v>
      </c>
    </row>
    <row r="174" spans="1:33">
      <c r="A174" s="4">
        <v>46196</v>
      </c>
      <c r="B174" s="3" t="s">
        <v>62</v>
      </c>
      <c r="C174" s="3">
        <v>7</v>
      </c>
      <c r="D174" s="6">
        <v>486</v>
      </c>
      <c r="E174" s="6">
        <v>412</v>
      </c>
      <c r="F174" s="6">
        <v>700</v>
      </c>
      <c r="G174" s="6">
        <f t="shared" si="46"/>
        <v>471</v>
      </c>
      <c r="H174" s="5">
        <v>0.98843823146611232</v>
      </c>
      <c r="I174" s="6">
        <f t="shared" si="47"/>
        <v>466</v>
      </c>
      <c r="J174" s="6">
        <f t="shared" si="67"/>
        <v>49</v>
      </c>
      <c r="K174" s="6">
        <f t="shared" si="48"/>
        <v>515</v>
      </c>
      <c r="L174" s="6">
        <f t="shared" si="49"/>
        <v>412</v>
      </c>
      <c r="M174" s="6">
        <f t="shared" si="50"/>
        <v>0</v>
      </c>
      <c r="N174" s="6">
        <f t="shared" si="51"/>
        <v>103</v>
      </c>
      <c r="O174" s="5">
        <v>1.7999999999999999E-2</v>
      </c>
      <c r="P174" s="6">
        <f t="shared" si="52"/>
        <v>2</v>
      </c>
      <c r="Q174" s="6">
        <f t="shared" si="53"/>
        <v>101</v>
      </c>
      <c r="R174" s="6">
        <v>87</v>
      </c>
      <c r="S174" s="6">
        <f t="shared" si="54"/>
        <v>422</v>
      </c>
      <c r="T174" s="5">
        <v>1.0105351918284176</v>
      </c>
      <c r="U174" s="6">
        <f t="shared" si="55"/>
        <v>426</v>
      </c>
      <c r="V174" s="6">
        <f t="shared" si="68"/>
        <v>151</v>
      </c>
      <c r="W174" s="6">
        <f t="shared" si="56"/>
        <v>577</v>
      </c>
      <c r="X174" s="6">
        <f t="shared" si="57"/>
        <v>412</v>
      </c>
      <c r="Y174" s="6">
        <f t="shared" si="58"/>
        <v>0</v>
      </c>
      <c r="Z174" s="6">
        <f t="shared" si="59"/>
        <v>165</v>
      </c>
      <c r="AA174" s="6">
        <f t="shared" si="60"/>
        <v>3</v>
      </c>
      <c r="AB174" s="6">
        <f t="shared" si="61"/>
        <v>162</v>
      </c>
      <c r="AC174" s="5">
        <f t="shared" si="62"/>
        <v>0.1796116504854369</v>
      </c>
      <c r="AD174" s="5">
        <f t="shared" si="63"/>
        <v>1</v>
      </c>
      <c r="AE174" s="5">
        <f t="shared" si="64"/>
        <v>1</v>
      </c>
      <c r="AF174" s="5">
        <f t="shared" si="65"/>
        <v>0.6657142857142857</v>
      </c>
      <c r="AG174" s="5">
        <f t="shared" si="66"/>
        <v>0.60857142857142854</v>
      </c>
    </row>
    <row r="175" spans="1:33">
      <c r="A175" s="4">
        <v>46196</v>
      </c>
      <c r="B175" s="3" t="s">
        <v>63</v>
      </c>
      <c r="C175" s="3">
        <v>7</v>
      </c>
      <c r="D175" s="6">
        <v>380</v>
      </c>
      <c r="E175" s="6">
        <v>337</v>
      </c>
      <c r="F175" s="6">
        <v>560</v>
      </c>
      <c r="G175" s="6">
        <f t="shared" si="46"/>
        <v>369</v>
      </c>
      <c r="H175" s="5">
        <v>0.98240024460763908</v>
      </c>
      <c r="I175" s="6">
        <f t="shared" si="47"/>
        <v>363</v>
      </c>
      <c r="J175" s="6">
        <f t="shared" si="67"/>
        <v>0</v>
      </c>
      <c r="K175" s="6">
        <f t="shared" si="48"/>
        <v>363</v>
      </c>
      <c r="L175" s="6">
        <f t="shared" si="49"/>
        <v>337</v>
      </c>
      <c r="M175" s="6">
        <f t="shared" si="50"/>
        <v>0</v>
      </c>
      <c r="N175" s="6">
        <f t="shared" si="51"/>
        <v>26</v>
      </c>
      <c r="O175" s="5">
        <v>0.02</v>
      </c>
      <c r="P175" s="6">
        <f t="shared" si="52"/>
        <v>1</v>
      </c>
      <c r="Q175" s="6">
        <f t="shared" si="53"/>
        <v>25</v>
      </c>
      <c r="R175" s="6">
        <v>68</v>
      </c>
      <c r="S175" s="6">
        <f t="shared" si="54"/>
        <v>443</v>
      </c>
      <c r="T175" s="5">
        <v>1.0039579107057182</v>
      </c>
      <c r="U175" s="6">
        <f t="shared" si="55"/>
        <v>445</v>
      </c>
      <c r="V175" s="6">
        <f t="shared" si="68"/>
        <v>5</v>
      </c>
      <c r="W175" s="6">
        <f t="shared" si="56"/>
        <v>450</v>
      </c>
      <c r="X175" s="6">
        <f t="shared" si="57"/>
        <v>337</v>
      </c>
      <c r="Y175" s="6">
        <f t="shared" si="58"/>
        <v>0</v>
      </c>
      <c r="Z175" s="6">
        <f t="shared" si="59"/>
        <v>113</v>
      </c>
      <c r="AA175" s="6">
        <f t="shared" si="60"/>
        <v>2</v>
      </c>
      <c r="AB175" s="6">
        <f t="shared" si="61"/>
        <v>111</v>
      </c>
      <c r="AC175" s="5">
        <f t="shared" si="62"/>
        <v>0.12759643916913946</v>
      </c>
      <c r="AD175" s="5">
        <f t="shared" si="63"/>
        <v>1</v>
      </c>
      <c r="AE175" s="5">
        <f t="shared" si="64"/>
        <v>1</v>
      </c>
      <c r="AF175" s="5">
        <f t="shared" si="65"/>
        <v>0.64821428571428574</v>
      </c>
      <c r="AG175" s="5">
        <f t="shared" si="66"/>
        <v>0.7946428571428571</v>
      </c>
    </row>
    <row r="176" spans="1:33">
      <c r="A176" s="4">
        <v>46196</v>
      </c>
      <c r="B176" s="3" t="s">
        <v>64</v>
      </c>
      <c r="C176" s="3">
        <v>5</v>
      </c>
      <c r="D176" s="6">
        <v>154</v>
      </c>
      <c r="E176" s="6">
        <v>157</v>
      </c>
      <c r="F176" s="6">
        <v>230</v>
      </c>
      <c r="G176" s="6">
        <f t="shared" si="46"/>
        <v>149</v>
      </c>
      <c r="H176" s="5">
        <v>0.99264735209203481</v>
      </c>
      <c r="I176" s="6">
        <f t="shared" si="47"/>
        <v>148</v>
      </c>
      <c r="J176" s="6">
        <f t="shared" si="67"/>
        <v>1</v>
      </c>
      <c r="K176" s="6">
        <f t="shared" si="48"/>
        <v>149</v>
      </c>
      <c r="L176" s="6">
        <f t="shared" si="49"/>
        <v>149</v>
      </c>
      <c r="M176" s="6">
        <f t="shared" si="50"/>
        <v>8</v>
      </c>
      <c r="N176" s="6">
        <f t="shared" si="51"/>
        <v>0</v>
      </c>
      <c r="O176" s="5">
        <v>2.5000000000000001E-2</v>
      </c>
      <c r="P176" s="6">
        <f t="shared" si="52"/>
        <v>0</v>
      </c>
      <c r="Q176" s="6">
        <f t="shared" si="53"/>
        <v>0</v>
      </c>
      <c r="R176" s="6">
        <v>31</v>
      </c>
      <c r="S176" s="6">
        <f t="shared" si="54"/>
        <v>152</v>
      </c>
      <c r="T176" s="5">
        <v>1.0085680859535144</v>
      </c>
      <c r="U176" s="6">
        <f t="shared" si="55"/>
        <v>153</v>
      </c>
      <c r="V176" s="6">
        <f t="shared" si="68"/>
        <v>33</v>
      </c>
      <c r="W176" s="6">
        <f t="shared" si="56"/>
        <v>186</v>
      </c>
      <c r="X176" s="6">
        <f t="shared" si="57"/>
        <v>157</v>
      </c>
      <c r="Y176" s="6">
        <f t="shared" si="58"/>
        <v>0</v>
      </c>
      <c r="Z176" s="6">
        <f t="shared" si="59"/>
        <v>29</v>
      </c>
      <c r="AA176" s="6">
        <f t="shared" si="60"/>
        <v>1</v>
      </c>
      <c r="AB176" s="6">
        <f t="shared" si="61"/>
        <v>28</v>
      </c>
      <c r="AC176" s="5">
        <f t="shared" si="62"/>
        <v>1.9108280254777069E-2</v>
      </c>
      <c r="AD176" s="5">
        <f t="shared" si="63"/>
        <v>0.94904458598726116</v>
      </c>
      <c r="AE176" s="5">
        <f t="shared" si="64"/>
        <v>1</v>
      </c>
      <c r="AF176" s="5">
        <f t="shared" si="65"/>
        <v>0.64347826086956517</v>
      </c>
      <c r="AG176" s="5">
        <f t="shared" si="66"/>
        <v>0.66521739130434787</v>
      </c>
    </row>
    <row r="177" spans="1:33">
      <c r="A177" s="4">
        <v>46197</v>
      </c>
      <c r="B177" s="3" t="s">
        <v>60</v>
      </c>
      <c r="C177" s="3">
        <v>2</v>
      </c>
      <c r="D177" s="6">
        <v>1704</v>
      </c>
      <c r="E177" s="6">
        <v>1737</v>
      </c>
      <c r="F177" s="6">
        <v>2250</v>
      </c>
      <c r="G177" s="6">
        <f t="shared" si="46"/>
        <v>1653</v>
      </c>
      <c r="H177" s="5">
        <v>1.0072405936939119</v>
      </c>
      <c r="I177" s="6">
        <f t="shared" si="47"/>
        <v>1665</v>
      </c>
      <c r="J177" s="6">
        <f t="shared" si="67"/>
        <v>324</v>
      </c>
      <c r="K177" s="6">
        <f t="shared" si="48"/>
        <v>1989</v>
      </c>
      <c r="L177" s="6">
        <f t="shared" si="49"/>
        <v>1737</v>
      </c>
      <c r="M177" s="6">
        <f t="shared" si="50"/>
        <v>0</v>
      </c>
      <c r="N177" s="6">
        <f t="shared" si="51"/>
        <v>252</v>
      </c>
      <c r="O177" s="5">
        <v>2.5000000000000001E-2</v>
      </c>
      <c r="P177" s="6">
        <f t="shared" si="52"/>
        <v>6</v>
      </c>
      <c r="Q177" s="6">
        <f t="shared" si="53"/>
        <v>246</v>
      </c>
      <c r="R177" s="6">
        <v>204</v>
      </c>
      <c r="S177" s="6">
        <f t="shared" si="54"/>
        <v>1844</v>
      </c>
      <c r="T177" s="5">
        <v>0.98539249148391628</v>
      </c>
      <c r="U177" s="6">
        <f t="shared" si="55"/>
        <v>1817</v>
      </c>
      <c r="V177" s="6">
        <f t="shared" si="68"/>
        <v>64</v>
      </c>
      <c r="W177" s="6">
        <f t="shared" si="56"/>
        <v>1881</v>
      </c>
      <c r="X177" s="6">
        <f t="shared" si="57"/>
        <v>1737</v>
      </c>
      <c r="Y177" s="6">
        <f t="shared" si="58"/>
        <v>0</v>
      </c>
      <c r="Z177" s="6">
        <f t="shared" si="59"/>
        <v>144</v>
      </c>
      <c r="AA177" s="6">
        <f t="shared" si="60"/>
        <v>4</v>
      </c>
      <c r="AB177" s="6">
        <f t="shared" si="61"/>
        <v>140</v>
      </c>
      <c r="AC177" s="5">
        <f t="shared" si="62"/>
        <v>1.8998272884283247E-2</v>
      </c>
      <c r="AD177" s="5">
        <f t="shared" si="63"/>
        <v>1</v>
      </c>
      <c r="AE177" s="5">
        <f t="shared" si="64"/>
        <v>1</v>
      </c>
      <c r="AF177" s="5">
        <f t="shared" si="65"/>
        <v>0.74</v>
      </c>
      <c r="AG177" s="5">
        <f t="shared" si="66"/>
        <v>0.80755555555555558</v>
      </c>
    </row>
    <row r="178" spans="1:33">
      <c r="A178" s="4">
        <v>46197</v>
      </c>
      <c r="B178" s="3" t="s">
        <v>61</v>
      </c>
      <c r="C178" s="3">
        <v>2</v>
      </c>
      <c r="D178" s="6">
        <v>852</v>
      </c>
      <c r="E178" s="6">
        <v>968</v>
      </c>
      <c r="F178" s="6">
        <v>1200</v>
      </c>
      <c r="G178" s="6">
        <f t="shared" si="46"/>
        <v>826</v>
      </c>
      <c r="H178" s="5">
        <v>1.0017146095017295</v>
      </c>
      <c r="I178" s="6">
        <f t="shared" si="47"/>
        <v>827</v>
      </c>
      <c r="J178" s="6">
        <f t="shared" si="67"/>
        <v>73</v>
      </c>
      <c r="K178" s="6">
        <f t="shared" si="48"/>
        <v>900</v>
      </c>
      <c r="L178" s="6">
        <f t="shared" si="49"/>
        <v>900</v>
      </c>
      <c r="M178" s="6">
        <f t="shared" si="50"/>
        <v>68</v>
      </c>
      <c r="N178" s="6">
        <f t="shared" si="51"/>
        <v>0</v>
      </c>
      <c r="O178" s="5">
        <v>0.03</v>
      </c>
      <c r="P178" s="6">
        <f t="shared" si="52"/>
        <v>0</v>
      </c>
      <c r="Q178" s="6">
        <f t="shared" si="53"/>
        <v>0</v>
      </c>
      <c r="R178" s="6">
        <v>102</v>
      </c>
      <c r="S178" s="6">
        <f t="shared" si="54"/>
        <v>736</v>
      </c>
      <c r="T178" s="5">
        <v>1.0023504441901061</v>
      </c>
      <c r="U178" s="6">
        <f t="shared" si="55"/>
        <v>738</v>
      </c>
      <c r="V178" s="6">
        <f t="shared" si="68"/>
        <v>218</v>
      </c>
      <c r="W178" s="6">
        <f t="shared" si="56"/>
        <v>956</v>
      </c>
      <c r="X178" s="6">
        <f t="shared" si="57"/>
        <v>956</v>
      </c>
      <c r="Y178" s="6">
        <f t="shared" si="58"/>
        <v>12</v>
      </c>
      <c r="Z178" s="6">
        <f t="shared" si="59"/>
        <v>0</v>
      </c>
      <c r="AA178" s="6">
        <f t="shared" si="60"/>
        <v>0</v>
      </c>
      <c r="AB178" s="6">
        <f t="shared" si="61"/>
        <v>0</v>
      </c>
      <c r="AC178" s="5">
        <f t="shared" si="62"/>
        <v>0.11983471074380166</v>
      </c>
      <c r="AD178" s="5">
        <f t="shared" si="63"/>
        <v>0.92975206611570249</v>
      </c>
      <c r="AE178" s="5">
        <f t="shared" si="64"/>
        <v>0.98760330578512401</v>
      </c>
      <c r="AF178" s="5">
        <f t="shared" si="65"/>
        <v>0.68916666666666671</v>
      </c>
      <c r="AG178" s="5">
        <f t="shared" si="66"/>
        <v>0.61499999999999999</v>
      </c>
    </row>
    <row r="179" spans="1:33">
      <c r="A179" s="4">
        <v>46197</v>
      </c>
      <c r="B179" s="3" t="s">
        <v>62</v>
      </c>
      <c r="C179" s="3">
        <v>7</v>
      </c>
      <c r="D179" s="6">
        <v>496</v>
      </c>
      <c r="E179" s="6">
        <v>566</v>
      </c>
      <c r="F179" s="6">
        <v>700</v>
      </c>
      <c r="G179" s="6">
        <f t="shared" si="46"/>
        <v>481</v>
      </c>
      <c r="H179" s="5">
        <v>1.0097625986298049</v>
      </c>
      <c r="I179" s="6">
        <f t="shared" si="47"/>
        <v>486</v>
      </c>
      <c r="J179" s="6">
        <f t="shared" si="67"/>
        <v>101</v>
      </c>
      <c r="K179" s="6">
        <f t="shared" si="48"/>
        <v>587</v>
      </c>
      <c r="L179" s="6">
        <f t="shared" si="49"/>
        <v>566</v>
      </c>
      <c r="M179" s="6">
        <f t="shared" si="50"/>
        <v>0</v>
      </c>
      <c r="N179" s="6">
        <f t="shared" si="51"/>
        <v>21</v>
      </c>
      <c r="O179" s="5">
        <v>1.7999999999999999E-2</v>
      </c>
      <c r="P179" s="6">
        <f t="shared" si="52"/>
        <v>0</v>
      </c>
      <c r="Q179" s="6">
        <f t="shared" si="53"/>
        <v>21</v>
      </c>
      <c r="R179" s="6">
        <v>89</v>
      </c>
      <c r="S179" s="6">
        <f t="shared" si="54"/>
        <v>423</v>
      </c>
      <c r="T179" s="5">
        <v>1.0199426259632016</v>
      </c>
      <c r="U179" s="6">
        <f t="shared" si="55"/>
        <v>431</v>
      </c>
      <c r="V179" s="6">
        <f t="shared" si="68"/>
        <v>162</v>
      </c>
      <c r="W179" s="6">
        <f t="shared" si="56"/>
        <v>593</v>
      </c>
      <c r="X179" s="6">
        <f t="shared" si="57"/>
        <v>566</v>
      </c>
      <c r="Y179" s="6">
        <f t="shared" si="58"/>
        <v>0</v>
      </c>
      <c r="Z179" s="6">
        <f t="shared" si="59"/>
        <v>27</v>
      </c>
      <c r="AA179" s="6">
        <f t="shared" si="60"/>
        <v>0</v>
      </c>
      <c r="AB179" s="6">
        <f t="shared" si="61"/>
        <v>27</v>
      </c>
      <c r="AC179" s="5">
        <f t="shared" si="62"/>
        <v>0.12367491166077739</v>
      </c>
      <c r="AD179" s="5">
        <f t="shared" si="63"/>
        <v>1</v>
      </c>
      <c r="AE179" s="5">
        <f t="shared" si="64"/>
        <v>1</v>
      </c>
      <c r="AF179" s="5">
        <f t="shared" si="65"/>
        <v>0.69428571428571428</v>
      </c>
      <c r="AG179" s="5">
        <f t="shared" si="66"/>
        <v>0.61571428571428577</v>
      </c>
    </row>
    <row r="180" spans="1:33">
      <c r="A180" s="4">
        <v>46197</v>
      </c>
      <c r="B180" s="3" t="s">
        <v>63</v>
      </c>
      <c r="C180" s="3">
        <v>7</v>
      </c>
      <c r="D180" s="6">
        <v>397</v>
      </c>
      <c r="E180" s="6">
        <v>467</v>
      </c>
      <c r="F180" s="6">
        <v>560</v>
      </c>
      <c r="G180" s="6">
        <f t="shared" si="46"/>
        <v>385</v>
      </c>
      <c r="H180" s="5">
        <v>0.9963461742047055</v>
      </c>
      <c r="I180" s="6">
        <f t="shared" si="47"/>
        <v>384</v>
      </c>
      <c r="J180" s="6">
        <f t="shared" si="67"/>
        <v>25</v>
      </c>
      <c r="K180" s="6">
        <f t="shared" si="48"/>
        <v>409</v>
      </c>
      <c r="L180" s="6">
        <f t="shared" si="49"/>
        <v>409</v>
      </c>
      <c r="M180" s="6">
        <f t="shared" si="50"/>
        <v>58</v>
      </c>
      <c r="N180" s="6">
        <f t="shared" si="51"/>
        <v>0</v>
      </c>
      <c r="O180" s="5">
        <v>0.02</v>
      </c>
      <c r="P180" s="6">
        <f t="shared" si="52"/>
        <v>0</v>
      </c>
      <c r="Q180" s="6">
        <f t="shared" si="53"/>
        <v>0</v>
      </c>
      <c r="R180" s="6">
        <v>71</v>
      </c>
      <c r="S180" s="6">
        <f t="shared" si="54"/>
        <v>357</v>
      </c>
      <c r="T180" s="5">
        <v>1.0006189083198425</v>
      </c>
      <c r="U180" s="6">
        <f t="shared" si="55"/>
        <v>357</v>
      </c>
      <c r="V180" s="6">
        <f t="shared" si="68"/>
        <v>111</v>
      </c>
      <c r="W180" s="6">
        <f t="shared" si="56"/>
        <v>468</v>
      </c>
      <c r="X180" s="6">
        <f t="shared" si="57"/>
        <v>467</v>
      </c>
      <c r="Y180" s="6">
        <f t="shared" si="58"/>
        <v>0</v>
      </c>
      <c r="Z180" s="6">
        <f t="shared" si="59"/>
        <v>1</v>
      </c>
      <c r="AA180" s="6">
        <f t="shared" si="60"/>
        <v>0</v>
      </c>
      <c r="AB180" s="6">
        <f t="shared" si="61"/>
        <v>1</v>
      </c>
      <c r="AC180" s="5">
        <f t="shared" si="62"/>
        <v>0.14989293361884368</v>
      </c>
      <c r="AD180" s="5">
        <f t="shared" si="63"/>
        <v>0.87580299785867233</v>
      </c>
      <c r="AE180" s="5">
        <f t="shared" si="64"/>
        <v>1</v>
      </c>
      <c r="AF180" s="5">
        <f t="shared" si="65"/>
        <v>0.68571428571428572</v>
      </c>
      <c r="AG180" s="5">
        <f t="shared" si="66"/>
        <v>0.63749999999999996</v>
      </c>
    </row>
    <row r="181" spans="1:33">
      <c r="A181" s="4">
        <v>46197</v>
      </c>
      <c r="B181" s="3" t="s">
        <v>64</v>
      </c>
      <c r="C181" s="3">
        <v>5</v>
      </c>
      <c r="D181" s="6">
        <v>159</v>
      </c>
      <c r="E181" s="6">
        <v>159</v>
      </c>
      <c r="F181" s="6">
        <v>230</v>
      </c>
      <c r="G181" s="6">
        <f t="shared" si="46"/>
        <v>154</v>
      </c>
      <c r="H181" s="5">
        <v>1.0006382942846197</v>
      </c>
      <c r="I181" s="6">
        <f t="shared" si="47"/>
        <v>154</v>
      </c>
      <c r="J181" s="6">
        <f t="shared" si="67"/>
        <v>0</v>
      </c>
      <c r="K181" s="6">
        <f t="shared" si="48"/>
        <v>154</v>
      </c>
      <c r="L181" s="6">
        <f t="shared" si="49"/>
        <v>154</v>
      </c>
      <c r="M181" s="6">
        <f t="shared" si="50"/>
        <v>5</v>
      </c>
      <c r="N181" s="6">
        <f t="shared" si="51"/>
        <v>0</v>
      </c>
      <c r="O181" s="5">
        <v>2.5000000000000001E-2</v>
      </c>
      <c r="P181" s="6">
        <f t="shared" si="52"/>
        <v>0</v>
      </c>
      <c r="Q181" s="6">
        <f t="shared" si="53"/>
        <v>0</v>
      </c>
      <c r="R181" s="6">
        <v>32</v>
      </c>
      <c r="S181" s="6">
        <f t="shared" si="54"/>
        <v>163</v>
      </c>
      <c r="T181" s="5">
        <v>1.0006113722775443</v>
      </c>
      <c r="U181" s="6">
        <f t="shared" si="55"/>
        <v>163</v>
      </c>
      <c r="V181" s="6">
        <f t="shared" si="68"/>
        <v>28</v>
      </c>
      <c r="W181" s="6">
        <f t="shared" si="56"/>
        <v>191</v>
      </c>
      <c r="X181" s="6">
        <f t="shared" si="57"/>
        <v>159</v>
      </c>
      <c r="Y181" s="6">
        <f t="shared" si="58"/>
        <v>0</v>
      </c>
      <c r="Z181" s="6">
        <f t="shared" si="59"/>
        <v>32</v>
      </c>
      <c r="AA181" s="6">
        <f t="shared" si="60"/>
        <v>1</v>
      </c>
      <c r="AB181" s="6">
        <f t="shared" si="61"/>
        <v>31</v>
      </c>
      <c r="AC181" s="5">
        <f t="shared" si="62"/>
        <v>0</v>
      </c>
      <c r="AD181" s="5">
        <f t="shared" si="63"/>
        <v>0.96855345911949686</v>
      </c>
      <c r="AE181" s="5">
        <f t="shared" si="64"/>
        <v>1</v>
      </c>
      <c r="AF181" s="5">
        <f t="shared" si="65"/>
        <v>0.66956521739130437</v>
      </c>
      <c r="AG181" s="5">
        <f t="shared" si="66"/>
        <v>0.70869565217391306</v>
      </c>
    </row>
    <row r="182" spans="1:33">
      <c r="A182" s="4">
        <v>46198</v>
      </c>
      <c r="B182" s="3" t="s">
        <v>60</v>
      </c>
      <c r="C182" s="3">
        <v>2</v>
      </c>
      <c r="D182" s="6">
        <v>1721</v>
      </c>
      <c r="E182" s="6">
        <v>1977</v>
      </c>
      <c r="F182" s="6">
        <v>2250</v>
      </c>
      <c r="G182" s="6">
        <f t="shared" si="46"/>
        <v>1669</v>
      </c>
      <c r="H182" s="5">
        <v>1.011026279131638</v>
      </c>
      <c r="I182" s="6">
        <f t="shared" si="47"/>
        <v>1687</v>
      </c>
      <c r="J182" s="6">
        <f t="shared" si="67"/>
        <v>246</v>
      </c>
      <c r="K182" s="6">
        <f t="shared" si="48"/>
        <v>1933</v>
      </c>
      <c r="L182" s="6">
        <f t="shared" si="49"/>
        <v>1933</v>
      </c>
      <c r="M182" s="6">
        <f t="shared" si="50"/>
        <v>44</v>
      </c>
      <c r="N182" s="6">
        <f t="shared" si="51"/>
        <v>0</v>
      </c>
      <c r="O182" s="5">
        <v>2.5000000000000001E-2</v>
      </c>
      <c r="P182" s="6">
        <f t="shared" si="52"/>
        <v>0</v>
      </c>
      <c r="Q182" s="6">
        <f t="shared" si="53"/>
        <v>0</v>
      </c>
      <c r="R182" s="6">
        <v>207</v>
      </c>
      <c r="S182" s="6">
        <f t="shared" si="54"/>
        <v>1788</v>
      </c>
      <c r="T182" s="5">
        <v>1.0034210299049526</v>
      </c>
      <c r="U182" s="6">
        <f t="shared" si="55"/>
        <v>1794</v>
      </c>
      <c r="V182" s="6">
        <f t="shared" si="68"/>
        <v>140</v>
      </c>
      <c r="W182" s="6">
        <f t="shared" si="56"/>
        <v>1934</v>
      </c>
      <c r="X182" s="6">
        <f t="shared" si="57"/>
        <v>1934</v>
      </c>
      <c r="Y182" s="6">
        <f t="shared" si="58"/>
        <v>43</v>
      </c>
      <c r="Z182" s="6">
        <f t="shared" si="59"/>
        <v>0</v>
      </c>
      <c r="AA182" s="6">
        <f t="shared" si="60"/>
        <v>0</v>
      </c>
      <c r="AB182" s="6">
        <f t="shared" si="61"/>
        <v>0</v>
      </c>
      <c r="AC182" s="5">
        <f t="shared" si="62"/>
        <v>0.12948912493677289</v>
      </c>
      <c r="AD182" s="5">
        <f t="shared" si="63"/>
        <v>0.97774405665149211</v>
      </c>
      <c r="AE182" s="5">
        <f t="shared" si="64"/>
        <v>0.97824987354577642</v>
      </c>
      <c r="AF182" s="5">
        <f t="shared" si="65"/>
        <v>0.74977777777777777</v>
      </c>
      <c r="AG182" s="5">
        <f t="shared" si="66"/>
        <v>0.79733333333333334</v>
      </c>
    </row>
    <row r="183" spans="1:33">
      <c r="A183" s="4">
        <v>46198</v>
      </c>
      <c r="B183" s="3" t="s">
        <v>61</v>
      </c>
      <c r="C183" s="3">
        <v>2</v>
      </c>
      <c r="D183" s="6">
        <v>861</v>
      </c>
      <c r="E183" s="6">
        <v>983</v>
      </c>
      <c r="F183" s="6">
        <v>1200</v>
      </c>
      <c r="G183" s="6">
        <f t="shared" si="46"/>
        <v>835</v>
      </c>
      <c r="H183" s="5">
        <v>0.98232336063553194</v>
      </c>
      <c r="I183" s="6">
        <f t="shared" si="47"/>
        <v>820</v>
      </c>
      <c r="J183" s="6">
        <f t="shared" si="67"/>
        <v>0</v>
      </c>
      <c r="K183" s="6">
        <f t="shared" si="48"/>
        <v>820</v>
      </c>
      <c r="L183" s="6">
        <f t="shared" si="49"/>
        <v>820</v>
      </c>
      <c r="M183" s="6">
        <f t="shared" si="50"/>
        <v>163</v>
      </c>
      <c r="N183" s="6">
        <f t="shared" si="51"/>
        <v>0</v>
      </c>
      <c r="O183" s="5">
        <v>0.03</v>
      </c>
      <c r="P183" s="6">
        <f t="shared" si="52"/>
        <v>0</v>
      </c>
      <c r="Q183" s="6">
        <f t="shared" si="53"/>
        <v>0</v>
      </c>
      <c r="R183" s="6">
        <v>103</v>
      </c>
      <c r="S183" s="6">
        <f t="shared" si="54"/>
        <v>964</v>
      </c>
      <c r="T183" s="5">
        <v>1.0192209267483974</v>
      </c>
      <c r="U183" s="6">
        <f t="shared" si="55"/>
        <v>983</v>
      </c>
      <c r="V183" s="6">
        <f t="shared" si="68"/>
        <v>0</v>
      </c>
      <c r="W183" s="6">
        <f t="shared" si="56"/>
        <v>983</v>
      </c>
      <c r="X183" s="6">
        <f t="shared" si="57"/>
        <v>983</v>
      </c>
      <c r="Y183" s="6">
        <f t="shared" si="58"/>
        <v>0</v>
      </c>
      <c r="Z183" s="6">
        <f t="shared" si="59"/>
        <v>0</v>
      </c>
      <c r="AA183" s="6">
        <f t="shared" si="60"/>
        <v>0</v>
      </c>
      <c r="AB183" s="6">
        <f t="shared" si="61"/>
        <v>0</v>
      </c>
      <c r="AC183" s="5">
        <f t="shared" si="62"/>
        <v>0.12410986775178026</v>
      </c>
      <c r="AD183" s="5">
        <f t="shared" si="63"/>
        <v>0.83418107833163779</v>
      </c>
      <c r="AE183" s="5">
        <f t="shared" si="64"/>
        <v>1</v>
      </c>
      <c r="AF183" s="5">
        <f t="shared" si="65"/>
        <v>0.68333333333333335</v>
      </c>
      <c r="AG183" s="5">
        <f t="shared" si="66"/>
        <v>0.81916666666666671</v>
      </c>
    </row>
    <row r="184" spans="1:33">
      <c r="A184" s="4">
        <v>46198</v>
      </c>
      <c r="B184" s="3" t="s">
        <v>62</v>
      </c>
      <c r="C184" s="3">
        <v>7</v>
      </c>
      <c r="D184" s="6">
        <v>506</v>
      </c>
      <c r="E184" s="6">
        <v>469</v>
      </c>
      <c r="F184" s="6">
        <v>700</v>
      </c>
      <c r="G184" s="6">
        <f t="shared" si="46"/>
        <v>491</v>
      </c>
      <c r="H184" s="5">
        <v>1.0119490335333905</v>
      </c>
      <c r="I184" s="6">
        <f t="shared" si="47"/>
        <v>497</v>
      </c>
      <c r="J184" s="6">
        <f t="shared" si="67"/>
        <v>21</v>
      </c>
      <c r="K184" s="6">
        <f t="shared" si="48"/>
        <v>518</v>
      </c>
      <c r="L184" s="6">
        <f t="shared" si="49"/>
        <v>469</v>
      </c>
      <c r="M184" s="6">
        <f t="shared" si="50"/>
        <v>0</v>
      </c>
      <c r="N184" s="6">
        <f t="shared" si="51"/>
        <v>49</v>
      </c>
      <c r="O184" s="5">
        <v>1.7999999999999999E-2</v>
      </c>
      <c r="P184" s="6">
        <f t="shared" si="52"/>
        <v>1</v>
      </c>
      <c r="Q184" s="6">
        <f t="shared" si="53"/>
        <v>48</v>
      </c>
      <c r="R184" s="6">
        <v>91</v>
      </c>
      <c r="S184" s="6">
        <f t="shared" si="54"/>
        <v>570</v>
      </c>
      <c r="T184" s="5">
        <v>1.0038674182656961</v>
      </c>
      <c r="U184" s="6">
        <f t="shared" si="55"/>
        <v>572</v>
      </c>
      <c r="V184" s="6">
        <f t="shared" si="68"/>
        <v>27</v>
      </c>
      <c r="W184" s="6">
        <f t="shared" si="56"/>
        <v>599</v>
      </c>
      <c r="X184" s="6">
        <f t="shared" si="57"/>
        <v>469</v>
      </c>
      <c r="Y184" s="6">
        <f t="shared" si="58"/>
        <v>0</v>
      </c>
      <c r="Z184" s="6">
        <f t="shared" si="59"/>
        <v>130</v>
      </c>
      <c r="AA184" s="6">
        <f t="shared" si="60"/>
        <v>2</v>
      </c>
      <c r="AB184" s="6">
        <f t="shared" si="61"/>
        <v>128</v>
      </c>
      <c r="AC184" s="5">
        <f t="shared" si="62"/>
        <v>7.8891257995735611E-2</v>
      </c>
      <c r="AD184" s="5">
        <f t="shared" si="63"/>
        <v>1</v>
      </c>
      <c r="AE184" s="5">
        <f t="shared" si="64"/>
        <v>1</v>
      </c>
      <c r="AF184" s="5">
        <f t="shared" si="65"/>
        <v>0.71</v>
      </c>
      <c r="AG184" s="5">
        <f t="shared" si="66"/>
        <v>0.81714285714285717</v>
      </c>
    </row>
    <row r="185" spans="1:33">
      <c r="A185" s="4">
        <v>46198</v>
      </c>
      <c r="B185" s="3" t="s">
        <v>63</v>
      </c>
      <c r="C185" s="3">
        <v>7</v>
      </c>
      <c r="D185" s="6">
        <v>405</v>
      </c>
      <c r="E185" s="6">
        <v>393</v>
      </c>
      <c r="F185" s="6">
        <v>560</v>
      </c>
      <c r="G185" s="6">
        <f t="shared" si="46"/>
        <v>393</v>
      </c>
      <c r="H185" s="5">
        <v>0.99373984266552351</v>
      </c>
      <c r="I185" s="6">
        <f t="shared" si="47"/>
        <v>391</v>
      </c>
      <c r="J185" s="6">
        <f t="shared" si="67"/>
        <v>0</v>
      </c>
      <c r="K185" s="6">
        <f t="shared" si="48"/>
        <v>391</v>
      </c>
      <c r="L185" s="6">
        <f t="shared" si="49"/>
        <v>391</v>
      </c>
      <c r="M185" s="6">
        <f t="shared" si="50"/>
        <v>2</v>
      </c>
      <c r="N185" s="6">
        <f t="shared" si="51"/>
        <v>0</v>
      </c>
      <c r="O185" s="5">
        <v>0.02</v>
      </c>
      <c r="P185" s="6">
        <f t="shared" si="52"/>
        <v>0</v>
      </c>
      <c r="Q185" s="6">
        <f t="shared" si="53"/>
        <v>0</v>
      </c>
      <c r="R185" s="6">
        <v>73</v>
      </c>
      <c r="S185" s="6">
        <f t="shared" si="54"/>
        <v>477</v>
      </c>
      <c r="T185" s="5">
        <v>1.0047808558145916</v>
      </c>
      <c r="U185" s="6">
        <f t="shared" si="55"/>
        <v>479</v>
      </c>
      <c r="V185" s="6">
        <f t="shared" si="68"/>
        <v>1</v>
      </c>
      <c r="W185" s="6">
        <f t="shared" si="56"/>
        <v>480</v>
      </c>
      <c r="X185" s="6">
        <f t="shared" si="57"/>
        <v>393</v>
      </c>
      <c r="Y185" s="6">
        <f t="shared" si="58"/>
        <v>0</v>
      </c>
      <c r="Z185" s="6">
        <f t="shared" si="59"/>
        <v>87</v>
      </c>
      <c r="AA185" s="6">
        <f t="shared" si="60"/>
        <v>2</v>
      </c>
      <c r="AB185" s="6">
        <f t="shared" si="61"/>
        <v>85</v>
      </c>
      <c r="AC185" s="5">
        <f t="shared" si="62"/>
        <v>3.0534351145038167E-2</v>
      </c>
      <c r="AD185" s="5">
        <f t="shared" si="63"/>
        <v>0.99491094147582693</v>
      </c>
      <c r="AE185" s="5">
        <f t="shared" si="64"/>
        <v>1</v>
      </c>
      <c r="AF185" s="5">
        <f t="shared" si="65"/>
        <v>0.69821428571428568</v>
      </c>
      <c r="AG185" s="5">
        <f t="shared" si="66"/>
        <v>0.85535714285714282</v>
      </c>
    </row>
    <row r="186" spans="1:33">
      <c r="A186" s="4">
        <v>46198</v>
      </c>
      <c r="B186" s="3" t="s">
        <v>64</v>
      </c>
      <c r="C186" s="3">
        <v>5</v>
      </c>
      <c r="D186" s="6">
        <v>162</v>
      </c>
      <c r="E186" s="6">
        <v>177</v>
      </c>
      <c r="F186" s="6">
        <v>230</v>
      </c>
      <c r="G186" s="6">
        <f t="shared" si="46"/>
        <v>157</v>
      </c>
      <c r="H186" s="5">
        <v>1.0164266065630303</v>
      </c>
      <c r="I186" s="6">
        <f t="shared" si="47"/>
        <v>160</v>
      </c>
      <c r="J186" s="6">
        <f t="shared" si="67"/>
        <v>0</v>
      </c>
      <c r="K186" s="6">
        <f t="shared" si="48"/>
        <v>160</v>
      </c>
      <c r="L186" s="6">
        <f t="shared" si="49"/>
        <v>160</v>
      </c>
      <c r="M186" s="6">
        <f t="shared" si="50"/>
        <v>17</v>
      </c>
      <c r="N186" s="6">
        <f t="shared" si="51"/>
        <v>0</v>
      </c>
      <c r="O186" s="5">
        <v>2.5000000000000001E-2</v>
      </c>
      <c r="P186" s="6">
        <f t="shared" si="52"/>
        <v>0</v>
      </c>
      <c r="Q186" s="6">
        <f t="shared" si="53"/>
        <v>0</v>
      </c>
      <c r="R186" s="6">
        <v>32</v>
      </c>
      <c r="S186" s="6">
        <f t="shared" si="54"/>
        <v>163</v>
      </c>
      <c r="T186" s="5">
        <v>0.99256418392295576</v>
      </c>
      <c r="U186" s="6">
        <f t="shared" si="55"/>
        <v>162</v>
      </c>
      <c r="V186" s="6">
        <f t="shared" si="68"/>
        <v>31</v>
      </c>
      <c r="W186" s="6">
        <f t="shared" si="56"/>
        <v>193</v>
      </c>
      <c r="X186" s="6">
        <f t="shared" si="57"/>
        <v>177</v>
      </c>
      <c r="Y186" s="6">
        <f t="shared" si="58"/>
        <v>0</v>
      </c>
      <c r="Z186" s="6">
        <f t="shared" si="59"/>
        <v>16</v>
      </c>
      <c r="AA186" s="6">
        <f t="shared" si="60"/>
        <v>0</v>
      </c>
      <c r="AB186" s="6">
        <f t="shared" si="61"/>
        <v>16</v>
      </c>
      <c r="AC186" s="5">
        <f t="shared" si="62"/>
        <v>8.4745762711864403E-2</v>
      </c>
      <c r="AD186" s="5">
        <f t="shared" si="63"/>
        <v>0.903954802259887</v>
      </c>
      <c r="AE186" s="5">
        <f t="shared" si="64"/>
        <v>1</v>
      </c>
      <c r="AF186" s="5">
        <f t="shared" si="65"/>
        <v>0.69565217391304346</v>
      </c>
      <c r="AG186" s="5">
        <f t="shared" si="66"/>
        <v>0.70434782608695656</v>
      </c>
    </row>
    <row r="187" spans="1:33">
      <c r="A187" s="4">
        <v>46199</v>
      </c>
      <c r="B187" s="3" t="s">
        <v>60</v>
      </c>
      <c r="C187" s="3">
        <v>2</v>
      </c>
      <c r="D187" s="6">
        <v>1791</v>
      </c>
      <c r="E187" s="6">
        <v>2109</v>
      </c>
      <c r="F187" s="6">
        <v>2250</v>
      </c>
      <c r="G187" s="6">
        <f t="shared" si="46"/>
        <v>1737</v>
      </c>
      <c r="H187" s="5">
        <v>0.9865614414807784</v>
      </c>
      <c r="I187" s="6">
        <f t="shared" si="47"/>
        <v>1714</v>
      </c>
      <c r="J187" s="6">
        <f t="shared" si="67"/>
        <v>0</v>
      </c>
      <c r="K187" s="6">
        <f t="shared" si="48"/>
        <v>1714</v>
      </c>
      <c r="L187" s="6">
        <f t="shared" si="49"/>
        <v>1714</v>
      </c>
      <c r="M187" s="6">
        <f t="shared" si="50"/>
        <v>395</v>
      </c>
      <c r="N187" s="6">
        <f t="shared" si="51"/>
        <v>0</v>
      </c>
      <c r="O187" s="5">
        <v>2.5000000000000001E-2</v>
      </c>
      <c r="P187" s="6">
        <f t="shared" si="52"/>
        <v>0</v>
      </c>
      <c r="Q187" s="6">
        <f t="shared" si="53"/>
        <v>0</v>
      </c>
      <c r="R187" s="6">
        <v>215</v>
      </c>
      <c r="S187" s="6">
        <f t="shared" si="54"/>
        <v>2006</v>
      </c>
      <c r="T187" s="5">
        <v>0.98620353503981006</v>
      </c>
      <c r="U187" s="6">
        <f t="shared" si="55"/>
        <v>1978</v>
      </c>
      <c r="V187" s="6">
        <f t="shared" si="68"/>
        <v>0</v>
      </c>
      <c r="W187" s="6">
        <f t="shared" si="56"/>
        <v>1978</v>
      </c>
      <c r="X187" s="6">
        <f t="shared" si="57"/>
        <v>1978</v>
      </c>
      <c r="Y187" s="6">
        <f t="shared" si="58"/>
        <v>131</v>
      </c>
      <c r="Z187" s="6">
        <f t="shared" si="59"/>
        <v>0</v>
      </c>
      <c r="AA187" s="6">
        <f t="shared" si="60"/>
        <v>0</v>
      </c>
      <c r="AB187" s="6">
        <f t="shared" si="61"/>
        <v>0</v>
      </c>
      <c r="AC187" s="5">
        <f t="shared" si="62"/>
        <v>0.15078236130867709</v>
      </c>
      <c r="AD187" s="5">
        <f t="shared" si="63"/>
        <v>0.81270744428639163</v>
      </c>
      <c r="AE187" s="5">
        <f t="shared" si="64"/>
        <v>0.9378852536747273</v>
      </c>
      <c r="AF187" s="5">
        <f t="shared" si="65"/>
        <v>0.76177777777777778</v>
      </c>
      <c r="AG187" s="5">
        <f t="shared" si="66"/>
        <v>0.87911111111111107</v>
      </c>
    </row>
    <row r="188" spans="1:33">
      <c r="A188" s="4">
        <v>46199</v>
      </c>
      <c r="B188" s="3" t="s">
        <v>61</v>
      </c>
      <c r="C188" s="3">
        <v>2</v>
      </c>
      <c r="D188" s="6">
        <v>895</v>
      </c>
      <c r="E188" s="6">
        <v>762</v>
      </c>
      <c r="F188" s="6">
        <v>1200</v>
      </c>
      <c r="G188" s="6">
        <f t="shared" si="46"/>
        <v>868</v>
      </c>
      <c r="H188" s="5">
        <v>0.98899277264218077</v>
      </c>
      <c r="I188" s="6">
        <f t="shared" si="47"/>
        <v>858</v>
      </c>
      <c r="J188" s="6">
        <f t="shared" si="67"/>
        <v>0</v>
      </c>
      <c r="K188" s="6">
        <f t="shared" si="48"/>
        <v>858</v>
      </c>
      <c r="L188" s="6">
        <f t="shared" si="49"/>
        <v>762</v>
      </c>
      <c r="M188" s="6">
        <f t="shared" si="50"/>
        <v>0</v>
      </c>
      <c r="N188" s="6">
        <f t="shared" si="51"/>
        <v>96</v>
      </c>
      <c r="O188" s="5">
        <v>0.03</v>
      </c>
      <c r="P188" s="6">
        <f t="shared" si="52"/>
        <v>3</v>
      </c>
      <c r="Q188" s="6">
        <f t="shared" si="53"/>
        <v>93</v>
      </c>
      <c r="R188" s="6">
        <v>107</v>
      </c>
      <c r="S188" s="6">
        <f t="shared" si="54"/>
        <v>1002</v>
      </c>
      <c r="T188" s="5">
        <v>0.99011095830381135</v>
      </c>
      <c r="U188" s="6">
        <f t="shared" si="55"/>
        <v>992</v>
      </c>
      <c r="V188" s="6">
        <f t="shared" si="68"/>
        <v>0</v>
      </c>
      <c r="W188" s="6">
        <f t="shared" si="56"/>
        <v>992</v>
      </c>
      <c r="X188" s="6">
        <f t="shared" si="57"/>
        <v>762</v>
      </c>
      <c r="Y188" s="6">
        <f t="shared" si="58"/>
        <v>0</v>
      </c>
      <c r="Z188" s="6">
        <f t="shared" si="59"/>
        <v>230</v>
      </c>
      <c r="AA188" s="6">
        <f t="shared" si="60"/>
        <v>7</v>
      </c>
      <c r="AB188" s="6">
        <f t="shared" si="61"/>
        <v>223</v>
      </c>
      <c r="AC188" s="5">
        <f t="shared" si="62"/>
        <v>0.17454068241469817</v>
      </c>
      <c r="AD188" s="5">
        <f t="shared" si="63"/>
        <v>1</v>
      </c>
      <c r="AE188" s="5">
        <f t="shared" si="64"/>
        <v>1</v>
      </c>
      <c r="AF188" s="5">
        <f t="shared" si="65"/>
        <v>0.71499999999999997</v>
      </c>
      <c r="AG188" s="5">
        <f t="shared" si="66"/>
        <v>0.82666666666666666</v>
      </c>
    </row>
    <row r="189" spans="1:33">
      <c r="A189" s="4">
        <v>46199</v>
      </c>
      <c r="B189" s="3" t="s">
        <v>62</v>
      </c>
      <c r="C189" s="3">
        <v>7</v>
      </c>
      <c r="D189" s="6">
        <v>527</v>
      </c>
      <c r="E189" s="6">
        <v>621</v>
      </c>
      <c r="F189" s="6">
        <v>700</v>
      </c>
      <c r="G189" s="6">
        <f t="shared" si="46"/>
        <v>511</v>
      </c>
      <c r="H189" s="5">
        <v>0.99779132686064576</v>
      </c>
      <c r="I189" s="6">
        <f t="shared" si="47"/>
        <v>510</v>
      </c>
      <c r="J189" s="6">
        <f t="shared" si="67"/>
        <v>48</v>
      </c>
      <c r="K189" s="6">
        <f t="shared" si="48"/>
        <v>558</v>
      </c>
      <c r="L189" s="6">
        <f t="shared" si="49"/>
        <v>558</v>
      </c>
      <c r="M189" s="6">
        <f t="shared" si="50"/>
        <v>63</v>
      </c>
      <c r="N189" s="6">
        <f t="shared" si="51"/>
        <v>0</v>
      </c>
      <c r="O189" s="5">
        <v>1.7999999999999999E-2</v>
      </c>
      <c r="P189" s="6">
        <f t="shared" si="52"/>
        <v>0</v>
      </c>
      <c r="Q189" s="6">
        <f t="shared" si="53"/>
        <v>0</v>
      </c>
      <c r="R189" s="6">
        <v>95</v>
      </c>
      <c r="S189" s="6">
        <f t="shared" si="54"/>
        <v>494</v>
      </c>
      <c r="T189" s="5">
        <v>0.98493705925329844</v>
      </c>
      <c r="U189" s="6">
        <f t="shared" si="55"/>
        <v>487</v>
      </c>
      <c r="V189" s="6">
        <f t="shared" si="68"/>
        <v>128</v>
      </c>
      <c r="W189" s="6">
        <f t="shared" si="56"/>
        <v>615</v>
      </c>
      <c r="X189" s="6">
        <f t="shared" si="57"/>
        <v>615</v>
      </c>
      <c r="Y189" s="6">
        <f t="shared" si="58"/>
        <v>6</v>
      </c>
      <c r="Z189" s="6">
        <f t="shared" si="59"/>
        <v>0</v>
      </c>
      <c r="AA189" s="6">
        <f t="shared" si="60"/>
        <v>0</v>
      </c>
      <c r="AB189" s="6">
        <f t="shared" si="61"/>
        <v>0</v>
      </c>
      <c r="AC189" s="5">
        <f t="shared" si="62"/>
        <v>0.15136876006441224</v>
      </c>
      <c r="AD189" s="5">
        <f t="shared" si="63"/>
        <v>0.89855072463768115</v>
      </c>
      <c r="AE189" s="5">
        <f t="shared" si="64"/>
        <v>0.99033816425120769</v>
      </c>
      <c r="AF189" s="5">
        <f t="shared" si="65"/>
        <v>0.72857142857142854</v>
      </c>
      <c r="AG189" s="5">
        <f t="shared" si="66"/>
        <v>0.69571428571428573</v>
      </c>
    </row>
    <row r="190" spans="1:33">
      <c r="A190" s="4">
        <v>46199</v>
      </c>
      <c r="B190" s="3" t="s">
        <v>63</v>
      </c>
      <c r="C190" s="3">
        <v>7</v>
      </c>
      <c r="D190" s="6">
        <v>421</v>
      </c>
      <c r="E190" s="6">
        <v>448</v>
      </c>
      <c r="F190" s="6">
        <v>560</v>
      </c>
      <c r="G190" s="6">
        <f t="shared" si="46"/>
        <v>408</v>
      </c>
      <c r="H190" s="5">
        <v>0.98171194396458961</v>
      </c>
      <c r="I190" s="6">
        <f t="shared" si="47"/>
        <v>401</v>
      </c>
      <c r="J190" s="6">
        <f t="shared" si="67"/>
        <v>0</v>
      </c>
      <c r="K190" s="6">
        <f t="shared" si="48"/>
        <v>401</v>
      </c>
      <c r="L190" s="6">
        <f t="shared" si="49"/>
        <v>401</v>
      </c>
      <c r="M190" s="6">
        <f t="shared" si="50"/>
        <v>47</v>
      </c>
      <c r="N190" s="6">
        <f t="shared" si="51"/>
        <v>0</v>
      </c>
      <c r="O190" s="5">
        <v>0.02</v>
      </c>
      <c r="P190" s="6">
        <f t="shared" si="52"/>
        <v>0</v>
      </c>
      <c r="Q190" s="6">
        <f t="shared" si="53"/>
        <v>0</v>
      </c>
      <c r="R190" s="6">
        <v>76</v>
      </c>
      <c r="S190" s="6">
        <f t="shared" si="54"/>
        <v>412</v>
      </c>
      <c r="T190" s="5">
        <v>0.99489064126820936</v>
      </c>
      <c r="U190" s="6">
        <f t="shared" si="55"/>
        <v>410</v>
      </c>
      <c r="V190" s="6">
        <f t="shared" si="68"/>
        <v>85</v>
      </c>
      <c r="W190" s="6">
        <f t="shared" si="56"/>
        <v>495</v>
      </c>
      <c r="X190" s="6">
        <f t="shared" si="57"/>
        <v>448</v>
      </c>
      <c r="Y190" s="6">
        <f t="shared" si="58"/>
        <v>0</v>
      </c>
      <c r="Z190" s="6">
        <f t="shared" si="59"/>
        <v>47</v>
      </c>
      <c r="AA190" s="6">
        <f t="shared" si="60"/>
        <v>1</v>
      </c>
      <c r="AB190" s="6">
        <f t="shared" si="61"/>
        <v>46</v>
      </c>
      <c r="AC190" s="5">
        <f t="shared" si="62"/>
        <v>6.0267857142857144E-2</v>
      </c>
      <c r="AD190" s="5">
        <f t="shared" si="63"/>
        <v>0.8950892857142857</v>
      </c>
      <c r="AE190" s="5">
        <f t="shared" si="64"/>
        <v>1</v>
      </c>
      <c r="AF190" s="5">
        <f t="shared" si="65"/>
        <v>0.71607142857142858</v>
      </c>
      <c r="AG190" s="5">
        <f t="shared" si="66"/>
        <v>0.7321428571428571</v>
      </c>
    </row>
    <row r="191" spans="1:33">
      <c r="A191" s="4">
        <v>46199</v>
      </c>
      <c r="B191" s="3" t="s">
        <v>64</v>
      </c>
      <c r="C191" s="3">
        <v>5</v>
      </c>
      <c r="D191" s="6">
        <v>169</v>
      </c>
      <c r="E191" s="6">
        <v>163</v>
      </c>
      <c r="F191" s="6">
        <v>230</v>
      </c>
      <c r="G191" s="6">
        <f t="shared" si="46"/>
        <v>164</v>
      </c>
      <c r="H191" s="5">
        <v>1.0060189069363326</v>
      </c>
      <c r="I191" s="6">
        <f t="shared" si="47"/>
        <v>165</v>
      </c>
      <c r="J191" s="6">
        <f t="shared" si="67"/>
        <v>0</v>
      </c>
      <c r="K191" s="6">
        <f t="shared" si="48"/>
        <v>165</v>
      </c>
      <c r="L191" s="6">
        <f t="shared" si="49"/>
        <v>163</v>
      </c>
      <c r="M191" s="6">
        <f t="shared" si="50"/>
        <v>0</v>
      </c>
      <c r="N191" s="6">
        <f t="shared" si="51"/>
        <v>2</v>
      </c>
      <c r="O191" s="5">
        <v>2.5000000000000001E-2</v>
      </c>
      <c r="P191" s="6">
        <f t="shared" si="52"/>
        <v>0</v>
      </c>
      <c r="Q191" s="6">
        <f t="shared" si="53"/>
        <v>2</v>
      </c>
      <c r="R191" s="6">
        <v>34</v>
      </c>
      <c r="S191" s="6">
        <f t="shared" si="54"/>
        <v>187</v>
      </c>
      <c r="T191" s="5">
        <v>0.99617154185413137</v>
      </c>
      <c r="U191" s="6">
        <f t="shared" si="55"/>
        <v>186</v>
      </c>
      <c r="V191" s="6">
        <f t="shared" si="68"/>
        <v>16</v>
      </c>
      <c r="W191" s="6">
        <f t="shared" si="56"/>
        <v>202</v>
      </c>
      <c r="X191" s="6">
        <f t="shared" si="57"/>
        <v>163</v>
      </c>
      <c r="Y191" s="6">
        <f t="shared" si="58"/>
        <v>0</v>
      </c>
      <c r="Z191" s="6">
        <f t="shared" si="59"/>
        <v>39</v>
      </c>
      <c r="AA191" s="6">
        <f t="shared" si="60"/>
        <v>1</v>
      </c>
      <c r="AB191" s="6">
        <f t="shared" si="61"/>
        <v>38</v>
      </c>
      <c r="AC191" s="5">
        <f t="shared" si="62"/>
        <v>3.6809815950920248E-2</v>
      </c>
      <c r="AD191" s="5">
        <f t="shared" si="63"/>
        <v>1</v>
      </c>
      <c r="AE191" s="5">
        <f t="shared" si="64"/>
        <v>1</v>
      </c>
      <c r="AF191" s="5">
        <f t="shared" si="65"/>
        <v>0.71739130434782605</v>
      </c>
      <c r="AG191" s="5">
        <f t="shared" si="66"/>
        <v>0.80869565217391304</v>
      </c>
    </row>
    <row r="192" spans="1:33">
      <c r="A192" s="4">
        <v>46200</v>
      </c>
      <c r="B192" s="3" t="s">
        <v>60</v>
      </c>
      <c r="C192" s="3">
        <v>2</v>
      </c>
      <c r="D192" s="6">
        <v>1964</v>
      </c>
      <c r="E192" s="6">
        <v>1686</v>
      </c>
      <c r="F192" s="6">
        <v>2250</v>
      </c>
      <c r="G192" s="6">
        <f t="shared" si="46"/>
        <v>1905</v>
      </c>
      <c r="H192" s="5">
        <v>1.0178886205000195</v>
      </c>
      <c r="I192" s="6">
        <f t="shared" si="47"/>
        <v>1939</v>
      </c>
      <c r="J192" s="6">
        <f t="shared" si="67"/>
        <v>0</v>
      </c>
      <c r="K192" s="6">
        <f t="shared" si="48"/>
        <v>1939</v>
      </c>
      <c r="L192" s="6">
        <f t="shared" si="49"/>
        <v>1686</v>
      </c>
      <c r="M192" s="6">
        <f t="shared" si="50"/>
        <v>0</v>
      </c>
      <c r="N192" s="6">
        <f t="shared" si="51"/>
        <v>253</v>
      </c>
      <c r="O192" s="5">
        <v>2.5000000000000001E-2</v>
      </c>
      <c r="P192" s="6">
        <f t="shared" si="52"/>
        <v>6</v>
      </c>
      <c r="Q192" s="6">
        <f t="shared" si="53"/>
        <v>247</v>
      </c>
      <c r="R192" s="6">
        <v>236</v>
      </c>
      <c r="S192" s="6">
        <f t="shared" si="54"/>
        <v>2200</v>
      </c>
      <c r="T192" s="5">
        <v>1.0019748950273795</v>
      </c>
      <c r="U192" s="6">
        <f t="shared" si="55"/>
        <v>2204</v>
      </c>
      <c r="V192" s="6">
        <f t="shared" si="68"/>
        <v>0</v>
      </c>
      <c r="W192" s="6">
        <f t="shared" si="56"/>
        <v>2204</v>
      </c>
      <c r="X192" s="6">
        <f t="shared" si="57"/>
        <v>1686</v>
      </c>
      <c r="Y192" s="6">
        <f t="shared" si="58"/>
        <v>0</v>
      </c>
      <c r="Z192" s="6">
        <f t="shared" si="59"/>
        <v>518</v>
      </c>
      <c r="AA192" s="6">
        <f t="shared" si="60"/>
        <v>13</v>
      </c>
      <c r="AB192" s="6">
        <f t="shared" si="61"/>
        <v>505</v>
      </c>
      <c r="AC192" s="5">
        <f t="shared" si="62"/>
        <v>0.16488730723606168</v>
      </c>
      <c r="AD192" s="5">
        <f t="shared" si="63"/>
        <v>1</v>
      </c>
      <c r="AE192" s="5">
        <f t="shared" si="64"/>
        <v>1</v>
      </c>
      <c r="AF192" s="5">
        <f t="shared" si="65"/>
        <v>0.86177777777777775</v>
      </c>
      <c r="AG192" s="5">
        <f t="shared" si="66"/>
        <v>0.97955555555555551</v>
      </c>
    </row>
    <row r="193" spans="1:33">
      <c r="A193" s="4">
        <v>46200</v>
      </c>
      <c r="B193" s="3" t="s">
        <v>61</v>
      </c>
      <c r="C193" s="3">
        <v>2</v>
      </c>
      <c r="D193" s="6">
        <v>982</v>
      </c>
      <c r="E193" s="6">
        <v>1109</v>
      </c>
      <c r="F193" s="6">
        <v>1200</v>
      </c>
      <c r="G193" s="6">
        <f t="shared" si="46"/>
        <v>953</v>
      </c>
      <c r="H193" s="5">
        <v>1.0133299966383122</v>
      </c>
      <c r="I193" s="6">
        <f t="shared" si="47"/>
        <v>966</v>
      </c>
      <c r="J193" s="6">
        <f t="shared" si="67"/>
        <v>93</v>
      </c>
      <c r="K193" s="6">
        <f t="shared" si="48"/>
        <v>1059</v>
      </c>
      <c r="L193" s="6">
        <f t="shared" si="49"/>
        <v>1059</v>
      </c>
      <c r="M193" s="6">
        <f t="shared" si="50"/>
        <v>50</v>
      </c>
      <c r="N193" s="6">
        <f t="shared" si="51"/>
        <v>0</v>
      </c>
      <c r="O193" s="5">
        <v>0.03</v>
      </c>
      <c r="P193" s="6">
        <f t="shared" si="52"/>
        <v>0</v>
      </c>
      <c r="Q193" s="6">
        <f t="shared" si="53"/>
        <v>0</v>
      </c>
      <c r="R193" s="6">
        <v>118</v>
      </c>
      <c r="S193" s="6">
        <f t="shared" si="54"/>
        <v>877</v>
      </c>
      <c r="T193" s="5">
        <v>0.99758784070129825</v>
      </c>
      <c r="U193" s="6">
        <f t="shared" si="55"/>
        <v>875</v>
      </c>
      <c r="V193" s="6">
        <f t="shared" si="68"/>
        <v>223</v>
      </c>
      <c r="W193" s="6">
        <f t="shared" si="56"/>
        <v>1098</v>
      </c>
      <c r="X193" s="6">
        <f t="shared" si="57"/>
        <v>1098</v>
      </c>
      <c r="Y193" s="6">
        <f t="shared" si="58"/>
        <v>11</v>
      </c>
      <c r="Z193" s="6">
        <f t="shared" si="59"/>
        <v>0</v>
      </c>
      <c r="AA193" s="6">
        <f t="shared" si="60"/>
        <v>0</v>
      </c>
      <c r="AB193" s="6">
        <f t="shared" si="61"/>
        <v>0</v>
      </c>
      <c r="AC193" s="5">
        <f t="shared" si="62"/>
        <v>0.11451758340847611</v>
      </c>
      <c r="AD193" s="5">
        <f t="shared" si="63"/>
        <v>0.95491433724075747</v>
      </c>
      <c r="AE193" s="5">
        <f t="shared" si="64"/>
        <v>0.99008115419296661</v>
      </c>
      <c r="AF193" s="5">
        <f t="shared" si="65"/>
        <v>0.80500000000000005</v>
      </c>
      <c r="AG193" s="5">
        <f t="shared" si="66"/>
        <v>0.72916666666666663</v>
      </c>
    </row>
    <row r="194" spans="1:33">
      <c r="A194" s="4">
        <v>46200</v>
      </c>
      <c r="B194" s="3" t="s">
        <v>62</v>
      </c>
      <c r="C194" s="3">
        <v>7</v>
      </c>
      <c r="D194" s="6">
        <v>578</v>
      </c>
      <c r="E194" s="6">
        <v>558</v>
      </c>
      <c r="F194" s="6">
        <v>700</v>
      </c>
      <c r="G194" s="6">
        <f t="shared" ref="G194:G257" si="69">ROUND(D194*0.97,0)</f>
        <v>561</v>
      </c>
      <c r="H194" s="5">
        <v>1.0100064436699361</v>
      </c>
      <c r="I194" s="6">
        <f t="shared" ref="I194:I257" si="70">MIN(F194,ROUND(G194*H194,0))</f>
        <v>567</v>
      </c>
      <c r="J194" s="6">
        <f t="shared" si="67"/>
        <v>0</v>
      </c>
      <c r="K194" s="6">
        <f t="shared" ref="K194:K257" si="71">I194+J194</f>
        <v>567</v>
      </c>
      <c r="L194" s="6">
        <f t="shared" ref="L194:L257" si="72">MIN(E194,K194)</f>
        <v>558</v>
      </c>
      <c r="M194" s="6">
        <f t="shared" ref="M194:M257" si="73">MAX(E194-K194,0)</f>
        <v>0</v>
      </c>
      <c r="N194" s="6">
        <f t="shared" ref="N194:N257" si="74">MAX(K194-L194,0)</f>
        <v>9</v>
      </c>
      <c r="O194" s="5">
        <v>1.7999999999999999E-2</v>
      </c>
      <c r="P194" s="6">
        <f t="shared" ref="P194:P257" si="75">MIN(N194,ROUND(N194*O194,0))</f>
        <v>0</v>
      </c>
      <c r="Q194" s="6">
        <f t="shared" ref="Q194:Q257" si="76">N194-P194</f>
        <v>9</v>
      </c>
      <c r="R194" s="6">
        <v>104</v>
      </c>
      <c r="S194" s="6">
        <f t="shared" ref="S194:S257" si="77">MIN(F194,MAX(0,ROUND(D194+R194-V194,0)))</f>
        <v>682</v>
      </c>
      <c r="T194" s="5">
        <v>1.0042591185947789</v>
      </c>
      <c r="U194" s="6">
        <f t="shared" ref="U194:U257" si="78">MIN(F194,MAX(0,ROUND(S194*T194,0)))</f>
        <v>685</v>
      </c>
      <c r="V194" s="6">
        <f t="shared" si="68"/>
        <v>0</v>
      </c>
      <c r="W194" s="6">
        <f t="shared" ref="W194:W257" si="79">U194+V194</f>
        <v>685</v>
      </c>
      <c r="X194" s="6">
        <f t="shared" ref="X194:X257" si="80">MIN(E194,W194)</f>
        <v>558</v>
      </c>
      <c r="Y194" s="6">
        <f t="shared" ref="Y194:Y257" si="81">MAX(E194-W194,0)</f>
        <v>0</v>
      </c>
      <c r="Z194" s="6">
        <f t="shared" ref="Z194:Z257" si="82">MAX(W194-X194,0)</f>
        <v>127</v>
      </c>
      <c r="AA194" s="6">
        <f t="shared" ref="AA194:AA257" si="83">MIN(Z194,ROUND(Z194*O194,0))</f>
        <v>2</v>
      </c>
      <c r="AB194" s="6">
        <f t="shared" ref="AB194:AB257" si="84">Z194-AA194</f>
        <v>125</v>
      </c>
      <c r="AC194" s="5">
        <f t="shared" ref="AC194:AC257" si="85">IFERROR(ABS(E194-D194)/E194,0)</f>
        <v>3.5842293906810034E-2</v>
      </c>
      <c r="AD194" s="5">
        <f t="shared" ref="AD194:AD257" si="86">IFERROR(L194/E194,1)</f>
        <v>1</v>
      </c>
      <c r="AE194" s="5">
        <f t="shared" ref="AE194:AE257" si="87">IFERROR(X194/E194,1)</f>
        <v>1</v>
      </c>
      <c r="AF194" s="5">
        <f t="shared" ref="AF194:AF257" si="88">IFERROR(I194/F194,0)</f>
        <v>0.81</v>
      </c>
      <c r="AG194" s="5">
        <f t="shared" ref="AG194:AG257" si="89">IFERROR(U194/F194,0)</f>
        <v>0.97857142857142854</v>
      </c>
    </row>
    <row r="195" spans="1:33">
      <c r="A195" s="4">
        <v>46200</v>
      </c>
      <c r="B195" s="3" t="s">
        <v>63</v>
      </c>
      <c r="C195" s="3">
        <v>7</v>
      </c>
      <c r="D195" s="6">
        <v>458</v>
      </c>
      <c r="E195" s="6">
        <v>396</v>
      </c>
      <c r="F195" s="6">
        <v>560</v>
      </c>
      <c r="G195" s="6">
        <f t="shared" si="69"/>
        <v>444</v>
      </c>
      <c r="H195" s="5">
        <v>1.0132272747996671</v>
      </c>
      <c r="I195" s="6">
        <f t="shared" si="70"/>
        <v>450</v>
      </c>
      <c r="J195" s="6">
        <f t="shared" si="67"/>
        <v>0</v>
      </c>
      <c r="K195" s="6">
        <f t="shared" si="71"/>
        <v>450</v>
      </c>
      <c r="L195" s="6">
        <f t="shared" si="72"/>
        <v>396</v>
      </c>
      <c r="M195" s="6">
        <f t="shared" si="73"/>
        <v>0</v>
      </c>
      <c r="N195" s="6">
        <f t="shared" si="74"/>
        <v>54</v>
      </c>
      <c r="O195" s="5">
        <v>0.02</v>
      </c>
      <c r="P195" s="6">
        <f t="shared" si="75"/>
        <v>1</v>
      </c>
      <c r="Q195" s="6">
        <f t="shared" si="76"/>
        <v>53</v>
      </c>
      <c r="R195" s="6">
        <v>82</v>
      </c>
      <c r="S195" s="6">
        <f t="shared" si="77"/>
        <v>494</v>
      </c>
      <c r="T195" s="5">
        <v>0.99848870081830499</v>
      </c>
      <c r="U195" s="6">
        <f t="shared" si="78"/>
        <v>493</v>
      </c>
      <c r="V195" s="6">
        <f t="shared" si="68"/>
        <v>46</v>
      </c>
      <c r="W195" s="6">
        <f t="shared" si="79"/>
        <v>539</v>
      </c>
      <c r="X195" s="6">
        <f t="shared" si="80"/>
        <v>396</v>
      </c>
      <c r="Y195" s="6">
        <f t="shared" si="81"/>
        <v>0</v>
      </c>
      <c r="Z195" s="6">
        <f t="shared" si="82"/>
        <v>143</v>
      </c>
      <c r="AA195" s="6">
        <f t="shared" si="83"/>
        <v>3</v>
      </c>
      <c r="AB195" s="6">
        <f t="shared" si="84"/>
        <v>140</v>
      </c>
      <c r="AC195" s="5">
        <f t="shared" si="85"/>
        <v>0.15656565656565657</v>
      </c>
      <c r="AD195" s="5">
        <f t="shared" si="86"/>
        <v>1</v>
      </c>
      <c r="AE195" s="5">
        <f t="shared" si="87"/>
        <v>1</v>
      </c>
      <c r="AF195" s="5">
        <f t="shared" si="88"/>
        <v>0.8035714285714286</v>
      </c>
      <c r="AG195" s="5">
        <f t="shared" si="89"/>
        <v>0.88035714285714284</v>
      </c>
    </row>
    <row r="196" spans="1:33">
      <c r="A196" s="4">
        <v>46200</v>
      </c>
      <c r="B196" s="3" t="s">
        <v>64</v>
      </c>
      <c r="C196" s="3">
        <v>5</v>
      </c>
      <c r="D196" s="6">
        <v>182</v>
      </c>
      <c r="E196" s="6">
        <v>154</v>
      </c>
      <c r="F196" s="6">
        <v>230</v>
      </c>
      <c r="G196" s="6">
        <f t="shared" si="69"/>
        <v>177</v>
      </c>
      <c r="H196" s="5">
        <v>1.0047941308918653</v>
      </c>
      <c r="I196" s="6">
        <f t="shared" si="70"/>
        <v>178</v>
      </c>
      <c r="J196" s="6">
        <f t="shared" si="67"/>
        <v>2</v>
      </c>
      <c r="K196" s="6">
        <f t="shared" si="71"/>
        <v>180</v>
      </c>
      <c r="L196" s="6">
        <f t="shared" si="72"/>
        <v>154</v>
      </c>
      <c r="M196" s="6">
        <f t="shared" si="73"/>
        <v>0</v>
      </c>
      <c r="N196" s="6">
        <f t="shared" si="74"/>
        <v>26</v>
      </c>
      <c r="O196" s="5">
        <v>2.5000000000000001E-2</v>
      </c>
      <c r="P196" s="6">
        <f t="shared" si="75"/>
        <v>1</v>
      </c>
      <c r="Q196" s="6">
        <f t="shared" si="76"/>
        <v>25</v>
      </c>
      <c r="R196" s="6">
        <v>36</v>
      </c>
      <c r="S196" s="6">
        <f t="shared" si="77"/>
        <v>180</v>
      </c>
      <c r="T196" s="5">
        <v>0.99833018959898356</v>
      </c>
      <c r="U196" s="6">
        <f t="shared" si="78"/>
        <v>180</v>
      </c>
      <c r="V196" s="6">
        <f t="shared" si="68"/>
        <v>38</v>
      </c>
      <c r="W196" s="6">
        <f t="shared" si="79"/>
        <v>218</v>
      </c>
      <c r="X196" s="6">
        <f t="shared" si="80"/>
        <v>154</v>
      </c>
      <c r="Y196" s="6">
        <f t="shared" si="81"/>
        <v>0</v>
      </c>
      <c r="Z196" s="6">
        <f t="shared" si="82"/>
        <v>64</v>
      </c>
      <c r="AA196" s="6">
        <f t="shared" si="83"/>
        <v>2</v>
      </c>
      <c r="AB196" s="6">
        <f t="shared" si="84"/>
        <v>62</v>
      </c>
      <c r="AC196" s="5">
        <f t="shared" si="85"/>
        <v>0.18181818181818182</v>
      </c>
      <c r="AD196" s="5">
        <f t="shared" si="86"/>
        <v>1</v>
      </c>
      <c r="AE196" s="5">
        <f t="shared" si="87"/>
        <v>1</v>
      </c>
      <c r="AF196" s="5">
        <f t="shared" si="88"/>
        <v>0.77391304347826084</v>
      </c>
      <c r="AG196" s="5">
        <f t="shared" si="89"/>
        <v>0.78260869565217395</v>
      </c>
    </row>
    <row r="197" spans="1:33">
      <c r="A197" s="4">
        <v>46201</v>
      </c>
      <c r="B197" s="3" t="s">
        <v>60</v>
      </c>
      <c r="C197" s="3">
        <v>2</v>
      </c>
      <c r="D197" s="6">
        <v>1930</v>
      </c>
      <c r="E197" s="6">
        <v>2048</v>
      </c>
      <c r="F197" s="6">
        <v>2250</v>
      </c>
      <c r="G197" s="6">
        <f t="shared" si="69"/>
        <v>1872</v>
      </c>
      <c r="H197" s="5">
        <v>0.9909643707236987</v>
      </c>
      <c r="I197" s="6">
        <f t="shared" si="70"/>
        <v>1855</v>
      </c>
      <c r="J197" s="6">
        <f t="shared" si="67"/>
        <v>247</v>
      </c>
      <c r="K197" s="6">
        <f t="shared" si="71"/>
        <v>2102</v>
      </c>
      <c r="L197" s="6">
        <f t="shared" si="72"/>
        <v>2048</v>
      </c>
      <c r="M197" s="6">
        <f t="shared" si="73"/>
        <v>0</v>
      </c>
      <c r="N197" s="6">
        <f t="shared" si="74"/>
        <v>54</v>
      </c>
      <c r="O197" s="5">
        <v>2.5000000000000001E-2</v>
      </c>
      <c r="P197" s="6">
        <f t="shared" si="75"/>
        <v>1</v>
      </c>
      <c r="Q197" s="6">
        <f t="shared" si="76"/>
        <v>53</v>
      </c>
      <c r="R197" s="6">
        <v>232</v>
      </c>
      <c r="S197" s="6">
        <f t="shared" si="77"/>
        <v>1657</v>
      </c>
      <c r="T197" s="5">
        <v>0.99743441891941453</v>
      </c>
      <c r="U197" s="6">
        <f t="shared" si="78"/>
        <v>1653</v>
      </c>
      <c r="V197" s="6">
        <f t="shared" si="68"/>
        <v>505</v>
      </c>
      <c r="W197" s="6">
        <f t="shared" si="79"/>
        <v>2158</v>
      </c>
      <c r="X197" s="6">
        <f t="shared" si="80"/>
        <v>2048</v>
      </c>
      <c r="Y197" s="6">
        <f t="shared" si="81"/>
        <v>0</v>
      </c>
      <c r="Z197" s="6">
        <f t="shared" si="82"/>
        <v>110</v>
      </c>
      <c r="AA197" s="6">
        <f t="shared" si="83"/>
        <v>3</v>
      </c>
      <c r="AB197" s="6">
        <f t="shared" si="84"/>
        <v>107</v>
      </c>
      <c r="AC197" s="5">
        <f t="shared" si="85"/>
        <v>5.76171875E-2</v>
      </c>
      <c r="AD197" s="5">
        <f t="shared" si="86"/>
        <v>1</v>
      </c>
      <c r="AE197" s="5">
        <f t="shared" si="87"/>
        <v>1</v>
      </c>
      <c r="AF197" s="5">
        <f t="shared" si="88"/>
        <v>0.82444444444444442</v>
      </c>
      <c r="AG197" s="5">
        <f t="shared" si="89"/>
        <v>0.73466666666666669</v>
      </c>
    </row>
    <row r="198" spans="1:33">
      <c r="A198" s="4">
        <v>46201</v>
      </c>
      <c r="B198" s="3" t="s">
        <v>61</v>
      </c>
      <c r="C198" s="3">
        <v>2</v>
      </c>
      <c r="D198" s="6">
        <v>965</v>
      </c>
      <c r="E198" s="6">
        <v>940</v>
      </c>
      <c r="F198" s="6">
        <v>1200</v>
      </c>
      <c r="G198" s="6">
        <f t="shared" si="69"/>
        <v>936</v>
      </c>
      <c r="H198" s="5">
        <v>1.0027830686283483</v>
      </c>
      <c r="I198" s="6">
        <f t="shared" si="70"/>
        <v>939</v>
      </c>
      <c r="J198" s="6">
        <f t="shared" si="67"/>
        <v>0</v>
      </c>
      <c r="K198" s="6">
        <f t="shared" si="71"/>
        <v>939</v>
      </c>
      <c r="L198" s="6">
        <f t="shared" si="72"/>
        <v>939</v>
      </c>
      <c r="M198" s="6">
        <f t="shared" si="73"/>
        <v>1</v>
      </c>
      <c r="N198" s="6">
        <f t="shared" si="74"/>
        <v>0</v>
      </c>
      <c r="O198" s="5">
        <v>0.03</v>
      </c>
      <c r="P198" s="6">
        <f t="shared" si="75"/>
        <v>0</v>
      </c>
      <c r="Q198" s="6">
        <f t="shared" si="76"/>
        <v>0</v>
      </c>
      <c r="R198" s="6">
        <v>116</v>
      </c>
      <c r="S198" s="6">
        <f t="shared" si="77"/>
        <v>1081</v>
      </c>
      <c r="T198" s="5">
        <v>1.0037950047197557</v>
      </c>
      <c r="U198" s="6">
        <f t="shared" si="78"/>
        <v>1085</v>
      </c>
      <c r="V198" s="6">
        <f t="shared" si="68"/>
        <v>0</v>
      </c>
      <c r="W198" s="6">
        <f t="shared" si="79"/>
        <v>1085</v>
      </c>
      <c r="X198" s="6">
        <f t="shared" si="80"/>
        <v>940</v>
      </c>
      <c r="Y198" s="6">
        <f t="shared" si="81"/>
        <v>0</v>
      </c>
      <c r="Z198" s="6">
        <f t="shared" si="82"/>
        <v>145</v>
      </c>
      <c r="AA198" s="6">
        <f t="shared" si="83"/>
        <v>4</v>
      </c>
      <c r="AB198" s="6">
        <f t="shared" si="84"/>
        <v>141</v>
      </c>
      <c r="AC198" s="5">
        <f t="shared" si="85"/>
        <v>2.6595744680851064E-2</v>
      </c>
      <c r="AD198" s="5">
        <f t="shared" si="86"/>
        <v>0.99893617021276593</v>
      </c>
      <c r="AE198" s="5">
        <f t="shared" si="87"/>
        <v>1</v>
      </c>
      <c r="AF198" s="5">
        <f t="shared" si="88"/>
        <v>0.78249999999999997</v>
      </c>
      <c r="AG198" s="5">
        <f t="shared" si="89"/>
        <v>0.90416666666666667</v>
      </c>
    </row>
    <row r="199" spans="1:33">
      <c r="A199" s="4">
        <v>46201</v>
      </c>
      <c r="B199" s="3" t="s">
        <v>62</v>
      </c>
      <c r="C199" s="3">
        <v>7</v>
      </c>
      <c r="D199" s="6">
        <v>588</v>
      </c>
      <c r="E199" s="6">
        <v>626</v>
      </c>
      <c r="F199" s="6">
        <v>700</v>
      </c>
      <c r="G199" s="6">
        <f t="shared" si="69"/>
        <v>570</v>
      </c>
      <c r="H199" s="5">
        <v>0.99517682800268059</v>
      </c>
      <c r="I199" s="6">
        <f t="shared" si="70"/>
        <v>567</v>
      </c>
      <c r="J199" s="6">
        <f t="shared" ref="J199:J262" si="90">Q194</f>
        <v>9</v>
      </c>
      <c r="K199" s="6">
        <f t="shared" si="71"/>
        <v>576</v>
      </c>
      <c r="L199" s="6">
        <f t="shared" si="72"/>
        <v>576</v>
      </c>
      <c r="M199" s="6">
        <f t="shared" si="73"/>
        <v>50</v>
      </c>
      <c r="N199" s="6">
        <f t="shared" si="74"/>
        <v>0</v>
      </c>
      <c r="O199" s="5">
        <v>1.7999999999999999E-2</v>
      </c>
      <c r="P199" s="6">
        <f t="shared" si="75"/>
        <v>0</v>
      </c>
      <c r="Q199" s="6">
        <f t="shared" si="76"/>
        <v>0</v>
      </c>
      <c r="R199" s="6">
        <v>106</v>
      </c>
      <c r="S199" s="6">
        <f t="shared" si="77"/>
        <v>569</v>
      </c>
      <c r="T199" s="5">
        <v>0.99573438508312218</v>
      </c>
      <c r="U199" s="6">
        <f t="shared" si="78"/>
        <v>567</v>
      </c>
      <c r="V199" s="6">
        <f t="shared" ref="V199:V262" si="91">AB194</f>
        <v>125</v>
      </c>
      <c r="W199" s="6">
        <f t="shared" si="79"/>
        <v>692</v>
      </c>
      <c r="X199" s="6">
        <f t="shared" si="80"/>
        <v>626</v>
      </c>
      <c r="Y199" s="6">
        <f t="shared" si="81"/>
        <v>0</v>
      </c>
      <c r="Z199" s="6">
        <f t="shared" si="82"/>
        <v>66</v>
      </c>
      <c r="AA199" s="6">
        <f t="shared" si="83"/>
        <v>1</v>
      </c>
      <c r="AB199" s="6">
        <f t="shared" si="84"/>
        <v>65</v>
      </c>
      <c r="AC199" s="5">
        <f t="shared" si="85"/>
        <v>6.070287539936102E-2</v>
      </c>
      <c r="AD199" s="5">
        <f t="shared" si="86"/>
        <v>0.92012779552715651</v>
      </c>
      <c r="AE199" s="5">
        <f t="shared" si="87"/>
        <v>1</v>
      </c>
      <c r="AF199" s="5">
        <f t="shared" si="88"/>
        <v>0.81</v>
      </c>
      <c r="AG199" s="5">
        <f t="shared" si="89"/>
        <v>0.81</v>
      </c>
    </row>
    <row r="200" spans="1:33">
      <c r="A200" s="4">
        <v>46201</v>
      </c>
      <c r="B200" s="3" t="s">
        <v>63</v>
      </c>
      <c r="C200" s="3">
        <v>7</v>
      </c>
      <c r="D200" s="6">
        <v>470</v>
      </c>
      <c r="E200" s="6">
        <v>457</v>
      </c>
      <c r="F200" s="6">
        <v>560</v>
      </c>
      <c r="G200" s="6">
        <f t="shared" si="69"/>
        <v>456</v>
      </c>
      <c r="H200" s="5">
        <v>0.98301482526004602</v>
      </c>
      <c r="I200" s="6">
        <f t="shared" si="70"/>
        <v>448</v>
      </c>
      <c r="J200" s="6">
        <f t="shared" si="90"/>
        <v>53</v>
      </c>
      <c r="K200" s="6">
        <f t="shared" si="71"/>
        <v>501</v>
      </c>
      <c r="L200" s="6">
        <f t="shared" si="72"/>
        <v>457</v>
      </c>
      <c r="M200" s="6">
        <f t="shared" si="73"/>
        <v>0</v>
      </c>
      <c r="N200" s="6">
        <f t="shared" si="74"/>
        <v>44</v>
      </c>
      <c r="O200" s="5">
        <v>0.02</v>
      </c>
      <c r="P200" s="6">
        <f t="shared" si="75"/>
        <v>1</v>
      </c>
      <c r="Q200" s="6">
        <f t="shared" si="76"/>
        <v>43</v>
      </c>
      <c r="R200" s="6">
        <v>85</v>
      </c>
      <c r="S200" s="6">
        <f t="shared" si="77"/>
        <v>415</v>
      </c>
      <c r="T200" s="5">
        <v>1.0042899117935804</v>
      </c>
      <c r="U200" s="6">
        <f t="shared" si="78"/>
        <v>417</v>
      </c>
      <c r="V200" s="6">
        <f t="shared" si="91"/>
        <v>140</v>
      </c>
      <c r="W200" s="6">
        <f t="shared" si="79"/>
        <v>557</v>
      </c>
      <c r="X200" s="6">
        <f t="shared" si="80"/>
        <v>457</v>
      </c>
      <c r="Y200" s="6">
        <f t="shared" si="81"/>
        <v>0</v>
      </c>
      <c r="Z200" s="6">
        <f t="shared" si="82"/>
        <v>100</v>
      </c>
      <c r="AA200" s="6">
        <f t="shared" si="83"/>
        <v>2</v>
      </c>
      <c r="AB200" s="6">
        <f t="shared" si="84"/>
        <v>98</v>
      </c>
      <c r="AC200" s="5">
        <f t="shared" si="85"/>
        <v>2.8446389496717725E-2</v>
      </c>
      <c r="AD200" s="5">
        <f t="shared" si="86"/>
        <v>1</v>
      </c>
      <c r="AE200" s="5">
        <f t="shared" si="87"/>
        <v>1</v>
      </c>
      <c r="AF200" s="5">
        <f t="shared" si="88"/>
        <v>0.8</v>
      </c>
      <c r="AG200" s="5">
        <f t="shared" si="89"/>
        <v>0.74464285714285716</v>
      </c>
    </row>
    <row r="201" spans="1:33">
      <c r="A201" s="4">
        <v>46201</v>
      </c>
      <c r="B201" s="3" t="s">
        <v>64</v>
      </c>
      <c r="C201" s="3">
        <v>5</v>
      </c>
      <c r="D201" s="6">
        <v>187</v>
      </c>
      <c r="E201" s="6">
        <v>211</v>
      </c>
      <c r="F201" s="6">
        <v>230</v>
      </c>
      <c r="G201" s="6">
        <f t="shared" si="69"/>
        <v>181</v>
      </c>
      <c r="H201" s="5">
        <v>0.98629019510562577</v>
      </c>
      <c r="I201" s="6">
        <f t="shared" si="70"/>
        <v>179</v>
      </c>
      <c r="J201" s="6">
        <f t="shared" si="90"/>
        <v>25</v>
      </c>
      <c r="K201" s="6">
        <f t="shared" si="71"/>
        <v>204</v>
      </c>
      <c r="L201" s="6">
        <f t="shared" si="72"/>
        <v>204</v>
      </c>
      <c r="M201" s="6">
        <f t="shared" si="73"/>
        <v>7</v>
      </c>
      <c r="N201" s="6">
        <f t="shared" si="74"/>
        <v>0</v>
      </c>
      <c r="O201" s="5">
        <v>2.5000000000000001E-2</v>
      </c>
      <c r="P201" s="6">
        <f t="shared" si="75"/>
        <v>0</v>
      </c>
      <c r="Q201" s="6">
        <f t="shared" si="76"/>
        <v>0</v>
      </c>
      <c r="R201" s="6">
        <v>37</v>
      </c>
      <c r="S201" s="6">
        <f t="shared" si="77"/>
        <v>162</v>
      </c>
      <c r="T201" s="5">
        <v>0.98425893308035628</v>
      </c>
      <c r="U201" s="6">
        <f t="shared" si="78"/>
        <v>159</v>
      </c>
      <c r="V201" s="6">
        <f t="shared" si="91"/>
        <v>62</v>
      </c>
      <c r="W201" s="6">
        <f t="shared" si="79"/>
        <v>221</v>
      </c>
      <c r="X201" s="6">
        <f t="shared" si="80"/>
        <v>211</v>
      </c>
      <c r="Y201" s="6">
        <f t="shared" si="81"/>
        <v>0</v>
      </c>
      <c r="Z201" s="6">
        <f t="shared" si="82"/>
        <v>10</v>
      </c>
      <c r="AA201" s="6">
        <f t="shared" si="83"/>
        <v>0</v>
      </c>
      <c r="AB201" s="6">
        <f t="shared" si="84"/>
        <v>10</v>
      </c>
      <c r="AC201" s="5">
        <f t="shared" si="85"/>
        <v>0.11374407582938388</v>
      </c>
      <c r="AD201" s="5">
        <f t="shared" si="86"/>
        <v>0.96682464454976302</v>
      </c>
      <c r="AE201" s="5">
        <f t="shared" si="87"/>
        <v>1</v>
      </c>
      <c r="AF201" s="5">
        <f t="shared" si="88"/>
        <v>0.77826086956521734</v>
      </c>
      <c r="AG201" s="5">
        <f t="shared" si="89"/>
        <v>0.69130434782608696</v>
      </c>
    </row>
    <row r="202" spans="1:33">
      <c r="A202" s="4">
        <v>46202</v>
      </c>
      <c r="B202" s="3" t="s">
        <v>60</v>
      </c>
      <c r="C202" s="3">
        <v>2</v>
      </c>
      <c r="D202" s="6">
        <v>1655</v>
      </c>
      <c r="E202" s="6">
        <v>1431</v>
      </c>
      <c r="F202" s="6">
        <v>2250</v>
      </c>
      <c r="G202" s="6">
        <f t="shared" si="69"/>
        <v>1605</v>
      </c>
      <c r="H202" s="5">
        <v>0.98602926950742797</v>
      </c>
      <c r="I202" s="6">
        <f t="shared" si="70"/>
        <v>1583</v>
      </c>
      <c r="J202" s="6">
        <f t="shared" si="90"/>
        <v>53</v>
      </c>
      <c r="K202" s="6">
        <f t="shared" si="71"/>
        <v>1636</v>
      </c>
      <c r="L202" s="6">
        <f t="shared" si="72"/>
        <v>1431</v>
      </c>
      <c r="M202" s="6">
        <f t="shared" si="73"/>
        <v>0</v>
      </c>
      <c r="N202" s="6">
        <f t="shared" si="74"/>
        <v>205</v>
      </c>
      <c r="O202" s="5">
        <v>2.5000000000000001E-2</v>
      </c>
      <c r="P202" s="6">
        <f t="shared" si="75"/>
        <v>5</v>
      </c>
      <c r="Q202" s="6">
        <f t="shared" si="76"/>
        <v>200</v>
      </c>
      <c r="R202" s="6">
        <v>199</v>
      </c>
      <c r="S202" s="6">
        <f t="shared" si="77"/>
        <v>1747</v>
      </c>
      <c r="T202" s="5">
        <v>0.98278256811648856</v>
      </c>
      <c r="U202" s="6">
        <f t="shared" si="78"/>
        <v>1717</v>
      </c>
      <c r="V202" s="6">
        <f t="shared" si="91"/>
        <v>107</v>
      </c>
      <c r="W202" s="6">
        <f t="shared" si="79"/>
        <v>1824</v>
      </c>
      <c r="X202" s="6">
        <f t="shared" si="80"/>
        <v>1431</v>
      </c>
      <c r="Y202" s="6">
        <f t="shared" si="81"/>
        <v>0</v>
      </c>
      <c r="Z202" s="6">
        <f t="shared" si="82"/>
        <v>393</v>
      </c>
      <c r="AA202" s="6">
        <f t="shared" si="83"/>
        <v>10</v>
      </c>
      <c r="AB202" s="6">
        <f t="shared" si="84"/>
        <v>383</v>
      </c>
      <c r="AC202" s="5">
        <f t="shared" si="85"/>
        <v>0.15653389238294899</v>
      </c>
      <c r="AD202" s="5">
        <f t="shared" si="86"/>
        <v>1</v>
      </c>
      <c r="AE202" s="5">
        <f t="shared" si="87"/>
        <v>1</v>
      </c>
      <c r="AF202" s="5">
        <f t="shared" si="88"/>
        <v>0.7035555555555556</v>
      </c>
      <c r="AG202" s="5">
        <f t="shared" si="89"/>
        <v>0.76311111111111107</v>
      </c>
    </row>
    <row r="203" spans="1:33">
      <c r="A203" s="4">
        <v>46202</v>
      </c>
      <c r="B203" s="3" t="s">
        <v>61</v>
      </c>
      <c r="C203" s="3">
        <v>2</v>
      </c>
      <c r="D203" s="6">
        <v>819</v>
      </c>
      <c r="E203" s="6">
        <v>751</v>
      </c>
      <c r="F203" s="6">
        <v>1200</v>
      </c>
      <c r="G203" s="6">
        <f t="shared" si="69"/>
        <v>794</v>
      </c>
      <c r="H203" s="5">
        <v>0.9821504084704098</v>
      </c>
      <c r="I203" s="6">
        <f t="shared" si="70"/>
        <v>780</v>
      </c>
      <c r="J203" s="6">
        <f t="shared" si="90"/>
        <v>0</v>
      </c>
      <c r="K203" s="6">
        <f t="shared" si="71"/>
        <v>780</v>
      </c>
      <c r="L203" s="6">
        <f t="shared" si="72"/>
        <v>751</v>
      </c>
      <c r="M203" s="6">
        <f t="shared" si="73"/>
        <v>0</v>
      </c>
      <c r="N203" s="6">
        <f t="shared" si="74"/>
        <v>29</v>
      </c>
      <c r="O203" s="5">
        <v>0.03</v>
      </c>
      <c r="P203" s="6">
        <f t="shared" si="75"/>
        <v>1</v>
      </c>
      <c r="Q203" s="6">
        <f t="shared" si="76"/>
        <v>28</v>
      </c>
      <c r="R203" s="6">
        <v>98</v>
      </c>
      <c r="S203" s="6">
        <f t="shared" si="77"/>
        <v>776</v>
      </c>
      <c r="T203" s="5">
        <v>0.9914818904365289</v>
      </c>
      <c r="U203" s="6">
        <f t="shared" si="78"/>
        <v>769</v>
      </c>
      <c r="V203" s="6">
        <f t="shared" si="91"/>
        <v>141</v>
      </c>
      <c r="W203" s="6">
        <f t="shared" si="79"/>
        <v>910</v>
      </c>
      <c r="X203" s="6">
        <f t="shared" si="80"/>
        <v>751</v>
      </c>
      <c r="Y203" s="6">
        <f t="shared" si="81"/>
        <v>0</v>
      </c>
      <c r="Z203" s="6">
        <f t="shared" si="82"/>
        <v>159</v>
      </c>
      <c r="AA203" s="6">
        <f t="shared" si="83"/>
        <v>5</v>
      </c>
      <c r="AB203" s="6">
        <f t="shared" si="84"/>
        <v>154</v>
      </c>
      <c r="AC203" s="5">
        <f t="shared" si="85"/>
        <v>9.0545938748335553E-2</v>
      </c>
      <c r="AD203" s="5">
        <f t="shared" si="86"/>
        <v>1</v>
      </c>
      <c r="AE203" s="5">
        <f t="shared" si="87"/>
        <v>1</v>
      </c>
      <c r="AF203" s="5">
        <f t="shared" si="88"/>
        <v>0.65</v>
      </c>
      <c r="AG203" s="5">
        <f t="shared" si="89"/>
        <v>0.64083333333333337</v>
      </c>
    </row>
    <row r="204" spans="1:33">
      <c r="A204" s="4">
        <v>46202</v>
      </c>
      <c r="B204" s="3" t="s">
        <v>62</v>
      </c>
      <c r="C204" s="3">
        <v>7</v>
      </c>
      <c r="D204" s="6">
        <v>472</v>
      </c>
      <c r="E204" s="6">
        <v>530</v>
      </c>
      <c r="F204" s="6">
        <v>700</v>
      </c>
      <c r="G204" s="6">
        <f t="shared" si="69"/>
        <v>458</v>
      </c>
      <c r="H204" s="5">
        <v>1.0006504902756419</v>
      </c>
      <c r="I204" s="6">
        <f t="shared" si="70"/>
        <v>458</v>
      </c>
      <c r="J204" s="6">
        <f t="shared" si="90"/>
        <v>0</v>
      </c>
      <c r="K204" s="6">
        <f t="shared" si="71"/>
        <v>458</v>
      </c>
      <c r="L204" s="6">
        <f t="shared" si="72"/>
        <v>458</v>
      </c>
      <c r="M204" s="6">
        <f t="shared" si="73"/>
        <v>72</v>
      </c>
      <c r="N204" s="6">
        <f t="shared" si="74"/>
        <v>0</v>
      </c>
      <c r="O204" s="5">
        <v>1.7999999999999999E-2</v>
      </c>
      <c r="P204" s="6">
        <f t="shared" si="75"/>
        <v>0</v>
      </c>
      <c r="Q204" s="6">
        <f t="shared" si="76"/>
        <v>0</v>
      </c>
      <c r="R204" s="6">
        <v>85</v>
      </c>
      <c r="S204" s="6">
        <f t="shared" si="77"/>
        <v>492</v>
      </c>
      <c r="T204" s="5">
        <v>1.0092733722928782</v>
      </c>
      <c r="U204" s="6">
        <f t="shared" si="78"/>
        <v>497</v>
      </c>
      <c r="V204" s="6">
        <f t="shared" si="91"/>
        <v>65</v>
      </c>
      <c r="W204" s="6">
        <f t="shared" si="79"/>
        <v>562</v>
      </c>
      <c r="X204" s="6">
        <f t="shared" si="80"/>
        <v>530</v>
      </c>
      <c r="Y204" s="6">
        <f t="shared" si="81"/>
        <v>0</v>
      </c>
      <c r="Z204" s="6">
        <f t="shared" si="82"/>
        <v>32</v>
      </c>
      <c r="AA204" s="6">
        <f t="shared" si="83"/>
        <v>1</v>
      </c>
      <c r="AB204" s="6">
        <f t="shared" si="84"/>
        <v>31</v>
      </c>
      <c r="AC204" s="5">
        <f t="shared" si="85"/>
        <v>0.10943396226415095</v>
      </c>
      <c r="AD204" s="5">
        <f t="shared" si="86"/>
        <v>0.86415094339622645</v>
      </c>
      <c r="AE204" s="5">
        <f t="shared" si="87"/>
        <v>1</v>
      </c>
      <c r="AF204" s="5">
        <f t="shared" si="88"/>
        <v>0.65428571428571425</v>
      </c>
      <c r="AG204" s="5">
        <f t="shared" si="89"/>
        <v>0.71</v>
      </c>
    </row>
    <row r="205" spans="1:33">
      <c r="A205" s="4">
        <v>46202</v>
      </c>
      <c r="B205" s="3" t="s">
        <v>63</v>
      </c>
      <c r="C205" s="3">
        <v>7</v>
      </c>
      <c r="D205" s="6">
        <v>365</v>
      </c>
      <c r="E205" s="6">
        <v>315</v>
      </c>
      <c r="F205" s="6">
        <v>560</v>
      </c>
      <c r="G205" s="6">
        <f t="shared" si="69"/>
        <v>354</v>
      </c>
      <c r="H205" s="5">
        <v>1.010966235967375</v>
      </c>
      <c r="I205" s="6">
        <f t="shared" si="70"/>
        <v>358</v>
      </c>
      <c r="J205" s="6">
        <f t="shared" si="90"/>
        <v>43</v>
      </c>
      <c r="K205" s="6">
        <f t="shared" si="71"/>
        <v>401</v>
      </c>
      <c r="L205" s="6">
        <f t="shared" si="72"/>
        <v>315</v>
      </c>
      <c r="M205" s="6">
        <f t="shared" si="73"/>
        <v>0</v>
      </c>
      <c r="N205" s="6">
        <f t="shared" si="74"/>
        <v>86</v>
      </c>
      <c r="O205" s="5">
        <v>0.02</v>
      </c>
      <c r="P205" s="6">
        <f t="shared" si="75"/>
        <v>2</v>
      </c>
      <c r="Q205" s="6">
        <f t="shared" si="76"/>
        <v>84</v>
      </c>
      <c r="R205" s="6">
        <v>66</v>
      </c>
      <c r="S205" s="6">
        <f t="shared" si="77"/>
        <v>333</v>
      </c>
      <c r="T205" s="5">
        <v>1.0044434702779499</v>
      </c>
      <c r="U205" s="6">
        <f t="shared" si="78"/>
        <v>334</v>
      </c>
      <c r="V205" s="6">
        <f t="shared" si="91"/>
        <v>98</v>
      </c>
      <c r="W205" s="6">
        <f t="shared" si="79"/>
        <v>432</v>
      </c>
      <c r="X205" s="6">
        <f t="shared" si="80"/>
        <v>315</v>
      </c>
      <c r="Y205" s="6">
        <f t="shared" si="81"/>
        <v>0</v>
      </c>
      <c r="Z205" s="6">
        <f t="shared" si="82"/>
        <v>117</v>
      </c>
      <c r="AA205" s="6">
        <f t="shared" si="83"/>
        <v>2</v>
      </c>
      <c r="AB205" s="6">
        <f t="shared" si="84"/>
        <v>115</v>
      </c>
      <c r="AC205" s="5">
        <f t="shared" si="85"/>
        <v>0.15873015873015872</v>
      </c>
      <c r="AD205" s="5">
        <f t="shared" si="86"/>
        <v>1</v>
      </c>
      <c r="AE205" s="5">
        <f t="shared" si="87"/>
        <v>1</v>
      </c>
      <c r="AF205" s="5">
        <f t="shared" si="88"/>
        <v>0.63928571428571423</v>
      </c>
      <c r="AG205" s="5">
        <f t="shared" si="89"/>
        <v>0.59642857142857142</v>
      </c>
    </row>
    <row r="206" spans="1:33">
      <c r="A206" s="4">
        <v>46202</v>
      </c>
      <c r="B206" s="3" t="s">
        <v>64</v>
      </c>
      <c r="C206" s="3">
        <v>5</v>
      </c>
      <c r="D206" s="6">
        <v>149</v>
      </c>
      <c r="E206" s="6">
        <v>171</v>
      </c>
      <c r="F206" s="6">
        <v>230</v>
      </c>
      <c r="G206" s="6">
        <f t="shared" si="69"/>
        <v>145</v>
      </c>
      <c r="H206" s="5">
        <v>0.98605668798187529</v>
      </c>
      <c r="I206" s="6">
        <f t="shared" si="70"/>
        <v>143</v>
      </c>
      <c r="J206" s="6">
        <f t="shared" si="90"/>
        <v>0</v>
      </c>
      <c r="K206" s="6">
        <f t="shared" si="71"/>
        <v>143</v>
      </c>
      <c r="L206" s="6">
        <f t="shared" si="72"/>
        <v>143</v>
      </c>
      <c r="M206" s="6">
        <f t="shared" si="73"/>
        <v>28</v>
      </c>
      <c r="N206" s="6">
        <f t="shared" si="74"/>
        <v>0</v>
      </c>
      <c r="O206" s="5">
        <v>2.5000000000000001E-2</v>
      </c>
      <c r="P206" s="6">
        <f t="shared" si="75"/>
        <v>0</v>
      </c>
      <c r="Q206" s="6">
        <f t="shared" si="76"/>
        <v>0</v>
      </c>
      <c r="R206" s="6">
        <v>30</v>
      </c>
      <c r="S206" s="6">
        <f t="shared" si="77"/>
        <v>169</v>
      </c>
      <c r="T206" s="5">
        <v>0.99183363293255766</v>
      </c>
      <c r="U206" s="6">
        <f t="shared" si="78"/>
        <v>168</v>
      </c>
      <c r="V206" s="6">
        <f t="shared" si="91"/>
        <v>10</v>
      </c>
      <c r="W206" s="6">
        <f t="shared" si="79"/>
        <v>178</v>
      </c>
      <c r="X206" s="6">
        <f t="shared" si="80"/>
        <v>171</v>
      </c>
      <c r="Y206" s="6">
        <f t="shared" si="81"/>
        <v>0</v>
      </c>
      <c r="Z206" s="6">
        <f t="shared" si="82"/>
        <v>7</v>
      </c>
      <c r="AA206" s="6">
        <f t="shared" si="83"/>
        <v>0</v>
      </c>
      <c r="AB206" s="6">
        <f t="shared" si="84"/>
        <v>7</v>
      </c>
      <c r="AC206" s="5">
        <f t="shared" si="85"/>
        <v>0.12865497076023391</v>
      </c>
      <c r="AD206" s="5">
        <f t="shared" si="86"/>
        <v>0.83625730994152048</v>
      </c>
      <c r="AE206" s="5">
        <f t="shared" si="87"/>
        <v>1</v>
      </c>
      <c r="AF206" s="5">
        <f t="shared" si="88"/>
        <v>0.62173913043478257</v>
      </c>
      <c r="AG206" s="5">
        <f t="shared" si="89"/>
        <v>0.73043478260869565</v>
      </c>
    </row>
    <row r="207" spans="1:33">
      <c r="A207" s="4">
        <v>46203</v>
      </c>
      <c r="B207" s="3" t="s">
        <v>60</v>
      </c>
      <c r="C207" s="3">
        <v>2</v>
      </c>
      <c r="D207" s="6">
        <v>1690</v>
      </c>
      <c r="E207" s="6">
        <v>1671</v>
      </c>
      <c r="F207" s="6">
        <v>2250</v>
      </c>
      <c r="G207" s="6">
        <f t="shared" si="69"/>
        <v>1639</v>
      </c>
      <c r="H207" s="5">
        <v>0.99862743770760432</v>
      </c>
      <c r="I207" s="6">
        <f t="shared" si="70"/>
        <v>1637</v>
      </c>
      <c r="J207" s="6">
        <f t="shared" si="90"/>
        <v>200</v>
      </c>
      <c r="K207" s="6">
        <f t="shared" si="71"/>
        <v>1837</v>
      </c>
      <c r="L207" s="6">
        <f t="shared" si="72"/>
        <v>1671</v>
      </c>
      <c r="M207" s="6">
        <f t="shared" si="73"/>
        <v>0</v>
      </c>
      <c r="N207" s="6">
        <f t="shared" si="74"/>
        <v>166</v>
      </c>
      <c r="O207" s="5">
        <v>2.5000000000000001E-2</v>
      </c>
      <c r="P207" s="6">
        <f t="shared" si="75"/>
        <v>4</v>
      </c>
      <c r="Q207" s="6">
        <f t="shared" si="76"/>
        <v>162</v>
      </c>
      <c r="R207" s="6">
        <v>203</v>
      </c>
      <c r="S207" s="6">
        <f t="shared" si="77"/>
        <v>1510</v>
      </c>
      <c r="T207" s="5">
        <v>0.98512030341728485</v>
      </c>
      <c r="U207" s="6">
        <f t="shared" si="78"/>
        <v>1488</v>
      </c>
      <c r="V207" s="6">
        <f t="shared" si="91"/>
        <v>383</v>
      </c>
      <c r="W207" s="6">
        <f t="shared" si="79"/>
        <v>1871</v>
      </c>
      <c r="X207" s="6">
        <f t="shared" si="80"/>
        <v>1671</v>
      </c>
      <c r="Y207" s="6">
        <f t="shared" si="81"/>
        <v>0</v>
      </c>
      <c r="Z207" s="6">
        <f t="shared" si="82"/>
        <v>200</v>
      </c>
      <c r="AA207" s="6">
        <f t="shared" si="83"/>
        <v>5</v>
      </c>
      <c r="AB207" s="6">
        <f t="shared" si="84"/>
        <v>195</v>
      </c>
      <c r="AC207" s="5">
        <f t="shared" si="85"/>
        <v>1.1370436864153202E-2</v>
      </c>
      <c r="AD207" s="5">
        <f t="shared" si="86"/>
        <v>1</v>
      </c>
      <c r="AE207" s="5">
        <f t="shared" si="87"/>
        <v>1</v>
      </c>
      <c r="AF207" s="5">
        <f t="shared" si="88"/>
        <v>0.72755555555555551</v>
      </c>
      <c r="AG207" s="5">
        <f t="shared" si="89"/>
        <v>0.66133333333333333</v>
      </c>
    </row>
    <row r="208" spans="1:33">
      <c r="A208" s="4">
        <v>46203</v>
      </c>
      <c r="B208" s="3" t="s">
        <v>61</v>
      </c>
      <c r="C208" s="3">
        <v>2</v>
      </c>
      <c r="D208" s="6">
        <v>845</v>
      </c>
      <c r="E208" s="6">
        <v>786</v>
      </c>
      <c r="F208" s="6">
        <v>1200</v>
      </c>
      <c r="G208" s="6">
        <f t="shared" si="69"/>
        <v>820</v>
      </c>
      <c r="H208" s="5">
        <v>1.0058818863079702</v>
      </c>
      <c r="I208" s="6">
        <f t="shared" si="70"/>
        <v>825</v>
      </c>
      <c r="J208" s="6">
        <f t="shared" si="90"/>
        <v>28</v>
      </c>
      <c r="K208" s="6">
        <f t="shared" si="71"/>
        <v>853</v>
      </c>
      <c r="L208" s="6">
        <f t="shared" si="72"/>
        <v>786</v>
      </c>
      <c r="M208" s="6">
        <f t="shared" si="73"/>
        <v>0</v>
      </c>
      <c r="N208" s="6">
        <f t="shared" si="74"/>
        <v>67</v>
      </c>
      <c r="O208" s="5">
        <v>0.03</v>
      </c>
      <c r="P208" s="6">
        <f t="shared" si="75"/>
        <v>2</v>
      </c>
      <c r="Q208" s="6">
        <f t="shared" si="76"/>
        <v>65</v>
      </c>
      <c r="R208" s="6">
        <v>101</v>
      </c>
      <c r="S208" s="6">
        <f t="shared" si="77"/>
        <v>792</v>
      </c>
      <c r="T208" s="5">
        <v>0.98020596143124117</v>
      </c>
      <c r="U208" s="6">
        <f t="shared" si="78"/>
        <v>776</v>
      </c>
      <c r="V208" s="6">
        <f t="shared" si="91"/>
        <v>154</v>
      </c>
      <c r="W208" s="6">
        <f t="shared" si="79"/>
        <v>930</v>
      </c>
      <c r="X208" s="6">
        <f t="shared" si="80"/>
        <v>786</v>
      </c>
      <c r="Y208" s="6">
        <f t="shared" si="81"/>
        <v>0</v>
      </c>
      <c r="Z208" s="6">
        <f t="shared" si="82"/>
        <v>144</v>
      </c>
      <c r="AA208" s="6">
        <f t="shared" si="83"/>
        <v>4</v>
      </c>
      <c r="AB208" s="6">
        <f t="shared" si="84"/>
        <v>140</v>
      </c>
      <c r="AC208" s="5">
        <f t="shared" si="85"/>
        <v>7.5063613231552168E-2</v>
      </c>
      <c r="AD208" s="5">
        <f t="shared" si="86"/>
        <v>1</v>
      </c>
      <c r="AE208" s="5">
        <f t="shared" si="87"/>
        <v>1</v>
      </c>
      <c r="AF208" s="5">
        <f t="shared" si="88"/>
        <v>0.6875</v>
      </c>
      <c r="AG208" s="5">
        <f t="shared" si="89"/>
        <v>0.64666666666666661</v>
      </c>
    </row>
    <row r="209" spans="1:33">
      <c r="A209" s="4">
        <v>46203</v>
      </c>
      <c r="B209" s="3" t="s">
        <v>62</v>
      </c>
      <c r="C209" s="3">
        <v>7</v>
      </c>
      <c r="D209" s="6">
        <v>487</v>
      </c>
      <c r="E209" s="6">
        <v>506</v>
      </c>
      <c r="F209" s="6">
        <v>700</v>
      </c>
      <c r="G209" s="6">
        <f t="shared" si="69"/>
        <v>472</v>
      </c>
      <c r="H209" s="5">
        <v>0.99836228434571028</v>
      </c>
      <c r="I209" s="6">
        <f t="shared" si="70"/>
        <v>471</v>
      </c>
      <c r="J209" s="6">
        <f t="shared" si="90"/>
        <v>0</v>
      </c>
      <c r="K209" s="6">
        <f t="shared" si="71"/>
        <v>471</v>
      </c>
      <c r="L209" s="6">
        <f t="shared" si="72"/>
        <v>471</v>
      </c>
      <c r="M209" s="6">
        <f t="shared" si="73"/>
        <v>35</v>
      </c>
      <c r="N209" s="6">
        <f t="shared" si="74"/>
        <v>0</v>
      </c>
      <c r="O209" s="5">
        <v>1.7999999999999999E-2</v>
      </c>
      <c r="P209" s="6">
        <f t="shared" si="75"/>
        <v>0</v>
      </c>
      <c r="Q209" s="6">
        <f t="shared" si="76"/>
        <v>0</v>
      </c>
      <c r="R209" s="6">
        <v>88</v>
      </c>
      <c r="S209" s="6">
        <f t="shared" si="77"/>
        <v>544</v>
      </c>
      <c r="T209" s="5">
        <v>0.99829719842839126</v>
      </c>
      <c r="U209" s="6">
        <f t="shared" si="78"/>
        <v>543</v>
      </c>
      <c r="V209" s="6">
        <f t="shared" si="91"/>
        <v>31</v>
      </c>
      <c r="W209" s="6">
        <f t="shared" si="79"/>
        <v>574</v>
      </c>
      <c r="X209" s="6">
        <f t="shared" si="80"/>
        <v>506</v>
      </c>
      <c r="Y209" s="6">
        <f t="shared" si="81"/>
        <v>0</v>
      </c>
      <c r="Z209" s="6">
        <f t="shared" si="82"/>
        <v>68</v>
      </c>
      <c r="AA209" s="6">
        <f t="shared" si="83"/>
        <v>1</v>
      </c>
      <c r="AB209" s="6">
        <f t="shared" si="84"/>
        <v>67</v>
      </c>
      <c r="AC209" s="5">
        <f t="shared" si="85"/>
        <v>3.7549407114624504E-2</v>
      </c>
      <c r="AD209" s="5">
        <f t="shared" si="86"/>
        <v>0.93083003952569165</v>
      </c>
      <c r="AE209" s="5">
        <f t="shared" si="87"/>
        <v>1</v>
      </c>
      <c r="AF209" s="5">
        <f t="shared" si="88"/>
        <v>0.67285714285714282</v>
      </c>
      <c r="AG209" s="5">
        <f t="shared" si="89"/>
        <v>0.77571428571428569</v>
      </c>
    </row>
    <row r="210" spans="1:33">
      <c r="A210" s="4">
        <v>46203</v>
      </c>
      <c r="B210" s="3" t="s">
        <v>63</v>
      </c>
      <c r="C210" s="3">
        <v>7</v>
      </c>
      <c r="D210" s="6">
        <v>381</v>
      </c>
      <c r="E210" s="6">
        <v>329</v>
      </c>
      <c r="F210" s="6">
        <v>560</v>
      </c>
      <c r="G210" s="6">
        <f t="shared" si="69"/>
        <v>370</v>
      </c>
      <c r="H210" s="5">
        <v>1.0047652579623481</v>
      </c>
      <c r="I210" s="6">
        <f t="shared" si="70"/>
        <v>372</v>
      </c>
      <c r="J210" s="6">
        <f t="shared" si="90"/>
        <v>84</v>
      </c>
      <c r="K210" s="6">
        <f t="shared" si="71"/>
        <v>456</v>
      </c>
      <c r="L210" s="6">
        <f t="shared" si="72"/>
        <v>329</v>
      </c>
      <c r="M210" s="6">
        <f t="shared" si="73"/>
        <v>0</v>
      </c>
      <c r="N210" s="6">
        <f t="shared" si="74"/>
        <v>127</v>
      </c>
      <c r="O210" s="5">
        <v>0.02</v>
      </c>
      <c r="P210" s="6">
        <f t="shared" si="75"/>
        <v>3</v>
      </c>
      <c r="Q210" s="6">
        <f t="shared" si="76"/>
        <v>124</v>
      </c>
      <c r="R210" s="6">
        <v>69</v>
      </c>
      <c r="S210" s="6">
        <f t="shared" si="77"/>
        <v>335</v>
      </c>
      <c r="T210" s="5">
        <v>0.99092729012554281</v>
      </c>
      <c r="U210" s="6">
        <f t="shared" si="78"/>
        <v>332</v>
      </c>
      <c r="V210" s="6">
        <f t="shared" si="91"/>
        <v>115</v>
      </c>
      <c r="W210" s="6">
        <f t="shared" si="79"/>
        <v>447</v>
      </c>
      <c r="X210" s="6">
        <f t="shared" si="80"/>
        <v>329</v>
      </c>
      <c r="Y210" s="6">
        <f t="shared" si="81"/>
        <v>0</v>
      </c>
      <c r="Z210" s="6">
        <f t="shared" si="82"/>
        <v>118</v>
      </c>
      <c r="AA210" s="6">
        <f t="shared" si="83"/>
        <v>2</v>
      </c>
      <c r="AB210" s="6">
        <f t="shared" si="84"/>
        <v>116</v>
      </c>
      <c r="AC210" s="5">
        <f t="shared" si="85"/>
        <v>0.1580547112462006</v>
      </c>
      <c r="AD210" s="5">
        <f t="shared" si="86"/>
        <v>1</v>
      </c>
      <c r="AE210" s="5">
        <f t="shared" si="87"/>
        <v>1</v>
      </c>
      <c r="AF210" s="5">
        <f t="shared" si="88"/>
        <v>0.66428571428571426</v>
      </c>
      <c r="AG210" s="5">
        <f t="shared" si="89"/>
        <v>0.59285714285714286</v>
      </c>
    </row>
    <row r="211" spans="1:33">
      <c r="A211" s="4">
        <v>46203</v>
      </c>
      <c r="B211" s="3" t="s">
        <v>64</v>
      </c>
      <c r="C211" s="3">
        <v>5</v>
      </c>
      <c r="D211" s="6">
        <v>154</v>
      </c>
      <c r="E211" s="6">
        <v>170</v>
      </c>
      <c r="F211" s="6">
        <v>230</v>
      </c>
      <c r="G211" s="6">
        <f t="shared" si="69"/>
        <v>149</v>
      </c>
      <c r="H211" s="5">
        <v>1.0055319757266654</v>
      </c>
      <c r="I211" s="6">
        <f t="shared" si="70"/>
        <v>150</v>
      </c>
      <c r="J211" s="6">
        <f t="shared" si="90"/>
        <v>0</v>
      </c>
      <c r="K211" s="6">
        <f t="shared" si="71"/>
        <v>150</v>
      </c>
      <c r="L211" s="6">
        <f t="shared" si="72"/>
        <v>150</v>
      </c>
      <c r="M211" s="6">
        <f t="shared" si="73"/>
        <v>20</v>
      </c>
      <c r="N211" s="6">
        <f t="shared" si="74"/>
        <v>0</v>
      </c>
      <c r="O211" s="5">
        <v>2.5000000000000001E-2</v>
      </c>
      <c r="P211" s="6">
        <f t="shared" si="75"/>
        <v>0</v>
      </c>
      <c r="Q211" s="6">
        <f t="shared" si="76"/>
        <v>0</v>
      </c>
      <c r="R211" s="6">
        <v>31</v>
      </c>
      <c r="S211" s="6">
        <f t="shared" si="77"/>
        <v>178</v>
      </c>
      <c r="T211" s="5">
        <v>1.00540175829455</v>
      </c>
      <c r="U211" s="6">
        <f t="shared" si="78"/>
        <v>179</v>
      </c>
      <c r="V211" s="6">
        <f t="shared" si="91"/>
        <v>7</v>
      </c>
      <c r="W211" s="6">
        <f t="shared" si="79"/>
        <v>186</v>
      </c>
      <c r="X211" s="6">
        <f t="shared" si="80"/>
        <v>170</v>
      </c>
      <c r="Y211" s="6">
        <f t="shared" si="81"/>
        <v>0</v>
      </c>
      <c r="Z211" s="6">
        <f t="shared" si="82"/>
        <v>16</v>
      </c>
      <c r="AA211" s="6">
        <f t="shared" si="83"/>
        <v>0</v>
      </c>
      <c r="AB211" s="6">
        <f t="shared" si="84"/>
        <v>16</v>
      </c>
      <c r="AC211" s="5">
        <f t="shared" si="85"/>
        <v>9.4117647058823528E-2</v>
      </c>
      <c r="AD211" s="5">
        <f t="shared" si="86"/>
        <v>0.88235294117647056</v>
      </c>
      <c r="AE211" s="5">
        <f t="shared" si="87"/>
        <v>1</v>
      </c>
      <c r="AF211" s="5">
        <f t="shared" si="88"/>
        <v>0.65217391304347827</v>
      </c>
      <c r="AG211" s="5">
        <f t="shared" si="89"/>
        <v>0.77826086956521734</v>
      </c>
    </row>
    <row r="212" spans="1:33">
      <c r="A212" s="4">
        <v>46204</v>
      </c>
      <c r="B212" s="3" t="s">
        <v>60</v>
      </c>
      <c r="C212" s="3">
        <v>2</v>
      </c>
      <c r="D212" s="6">
        <v>1708</v>
      </c>
      <c r="E212" s="6">
        <v>1509</v>
      </c>
      <c r="F212" s="6">
        <v>2250</v>
      </c>
      <c r="G212" s="6">
        <f t="shared" si="69"/>
        <v>1657</v>
      </c>
      <c r="H212" s="5">
        <v>1.0034050710728648</v>
      </c>
      <c r="I212" s="6">
        <f t="shared" si="70"/>
        <v>1663</v>
      </c>
      <c r="J212" s="6">
        <f t="shared" si="90"/>
        <v>162</v>
      </c>
      <c r="K212" s="6">
        <f t="shared" si="71"/>
        <v>1825</v>
      </c>
      <c r="L212" s="6">
        <f t="shared" si="72"/>
        <v>1509</v>
      </c>
      <c r="M212" s="6">
        <f t="shared" si="73"/>
        <v>0</v>
      </c>
      <c r="N212" s="6">
        <f t="shared" si="74"/>
        <v>316</v>
      </c>
      <c r="O212" s="5">
        <v>2.5000000000000001E-2</v>
      </c>
      <c r="P212" s="6">
        <f t="shared" si="75"/>
        <v>8</v>
      </c>
      <c r="Q212" s="6">
        <f t="shared" si="76"/>
        <v>308</v>
      </c>
      <c r="R212" s="6">
        <v>205</v>
      </c>
      <c r="S212" s="6">
        <f t="shared" si="77"/>
        <v>1718</v>
      </c>
      <c r="T212" s="5">
        <v>0.99349943882185854</v>
      </c>
      <c r="U212" s="6">
        <f t="shared" si="78"/>
        <v>1707</v>
      </c>
      <c r="V212" s="6">
        <f t="shared" si="91"/>
        <v>195</v>
      </c>
      <c r="W212" s="6">
        <f t="shared" si="79"/>
        <v>1902</v>
      </c>
      <c r="X212" s="6">
        <f t="shared" si="80"/>
        <v>1509</v>
      </c>
      <c r="Y212" s="6">
        <f t="shared" si="81"/>
        <v>0</v>
      </c>
      <c r="Z212" s="6">
        <f t="shared" si="82"/>
        <v>393</v>
      </c>
      <c r="AA212" s="6">
        <f t="shared" si="83"/>
        <v>10</v>
      </c>
      <c r="AB212" s="6">
        <f t="shared" si="84"/>
        <v>383</v>
      </c>
      <c r="AC212" s="5">
        <f t="shared" si="85"/>
        <v>0.13187541418157719</v>
      </c>
      <c r="AD212" s="5">
        <f t="shared" si="86"/>
        <v>1</v>
      </c>
      <c r="AE212" s="5">
        <f t="shared" si="87"/>
        <v>1</v>
      </c>
      <c r="AF212" s="5">
        <f t="shared" si="88"/>
        <v>0.73911111111111116</v>
      </c>
      <c r="AG212" s="5">
        <f t="shared" si="89"/>
        <v>0.75866666666666671</v>
      </c>
    </row>
    <row r="213" spans="1:33">
      <c r="A213" s="4">
        <v>46204</v>
      </c>
      <c r="B213" s="3" t="s">
        <v>61</v>
      </c>
      <c r="C213" s="3">
        <v>2</v>
      </c>
      <c r="D213" s="6">
        <v>854</v>
      </c>
      <c r="E213" s="6">
        <v>915</v>
      </c>
      <c r="F213" s="6">
        <v>1200</v>
      </c>
      <c r="G213" s="6">
        <f t="shared" si="69"/>
        <v>828</v>
      </c>
      <c r="H213" s="5">
        <v>0.98700238447111044</v>
      </c>
      <c r="I213" s="6">
        <f t="shared" si="70"/>
        <v>817</v>
      </c>
      <c r="J213" s="6">
        <f t="shared" si="90"/>
        <v>65</v>
      </c>
      <c r="K213" s="6">
        <f t="shared" si="71"/>
        <v>882</v>
      </c>
      <c r="L213" s="6">
        <f t="shared" si="72"/>
        <v>882</v>
      </c>
      <c r="M213" s="6">
        <f t="shared" si="73"/>
        <v>33</v>
      </c>
      <c r="N213" s="6">
        <f t="shared" si="74"/>
        <v>0</v>
      </c>
      <c r="O213" s="5">
        <v>0.03</v>
      </c>
      <c r="P213" s="6">
        <f t="shared" si="75"/>
        <v>0</v>
      </c>
      <c r="Q213" s="6">
        <f t="shared" si="76"/>
        <v>0</v>
      </c>
      <c r="R213" s="6">
        <v>102</v>
      </c>
      <c r="S213" s="6">
        <f t="shared" si="77"/>
        <v>816</v>
      </c>
      <c r="T213" s="5">
        <v>0.99908397650549297</v>
      </c>
      <c r="U213" s="6">
        <f t="shared" si="78"/>
        <v>815</v>
      </c>
      <c r="V213" s="6">
        <f t="shared" si="91"/>
        <v>140</v>
      </c>
      <c r="W213" s="6">
        <f t="shared" si="79"/>
        <v>955</v>
      </c>
      <c r="X213" s="6">
        <f t="shared" si="80"/>
        <v>915</v>
      </c>
      <c r="Y213" s="6">
        <f t="shared" si="81"/>
        <v>0</v>
      </c>
      <c r="Z213" s="6">
        <f t="shared" si="82"/>
        <v>40</v>
      </c>
      <c r="AA213" s="6">
        <f t="shared" si="83"/>
        <v>1</v>
      </c>
      <c r="AB213" s="6">
        <f t="shared" si="84"/>
        <v>39</v>
      </c>
      <c r="AC213" s="5">
        <f t="shared" si="85"/>
        <v>6.6666666666666666E-2</v>
      </c>
      <c r="AD213" s="5">
        <f t="shared" si="86"/>
        <v>0.9639344262295082</v>
      </c>
      <c r="AE213" s="5">
        <f t="shared" si="87"/>
        <v>1</v>
      </c>
      <c r="AF213" s="5">
        <f t="shared" si="88"/>
        <v>0.68083333333333329</v>
      </c>
      <c r="AG213" s="5">
        <f t="shared" si="89"/>
        <v>0.6791666666666667</v>
      </c>
    </row>
    <row r="214" spans="1:33">
      <c r="A214" s="4">
        <v>46204</v>
      </c>
      <c r="B214" s="3" t="s">
        <v>62</v>
      </c>
      <c r="C214" s="3">
        <v>7</v>
      </c>
      <c r="D214" s="6">
        <v>497</v>
      </c>
      <c r="E214" s="6">
        <v>549</v>
      </c>
      <c r="F214" s="6">
        <v>700</v>
      </c>
      <c r="G214" s="6">
        <f t="shared" si="69"/>
        <v>482</v>
      </c>
      <c r="H214" s="5">
        <v>0.9998208634790241</v>
      </c>
      <c r="I214" s="6">
        <f t="shared" si="70"/>
        <v>482</v>
      </c>
      <c r="J214" s="6">
        <f t="shared" si="90"/>
        <v>0</v>
      </c>
      <c r="K214" s="6">
        <f t="shared" si="71"/>
        <v>482</v>
      </c>
      <c r="L214" s="6">
        <f t="shared" si="72"/>
        <v>482</v>
      </c>
      <c r="M214" s="6">
        <f t="shared" si="73"/>
        <v>67</v>
      </c>
      <c r="N214" s="6">
        <f t="shared" si="74"/>
        <v>0</v>
      </c>
      <c r="O214" s="5">
        <v>1.7999999999999999E-2</v>
      </c>
      <c r="P214" s="6">
        <f t="shared" si="75"/>
        <v>0</v>
      </c>
      <c r="Q214" s="6">
        <f t="shared" si="76"/>
        <v>0</v>
      </c>
      <c r="R214" s="6">
        <v>89</v>
      </c>
      <c r="S214" s="6">
        <f t="shared" si="77"/>
        <v>519</v>
      </c>
      <c r="T214" s="5">
        <v>1.0082849278407442</v>
      </c>
      <c r="U214" s="6">
        <f t="shared" si="78"/>
        <v>523</v>
      </c>
      <c r="V214" s="6">
        <f t="shared" si="91"/>
        <v>67</v>
      </c>
      <c r="W214" s="6">
        <f t="shared" si="79"/>
        <v>590</v>
      </c>
      <c r="X214" s="6">
        <f t="shared" si="80"/>
        <v>549</v>
      </c>
      <c r="Y214" s="6">
        <f t="shared" si="81"/>
        <v>0</v>
      </c>
      <c r="Z214" s="6">
        <f t="shared" si="82"/>
        <v>41</v>
      </c>
      <c r="AA214" s="6">
        <f t="shared" si="83"/>
        <v>1</v>
      </c>
      <c r="AB214" s="6">
        <f t="shared" si="84"/>
        <v>40</v>
      </c>
      <c r="AC214" s="5">
        <f t="shared" si="85"/>
        <v>9.4717668488160295E-2</v>
      </c>
      <c r="AD214" s="5">
        <f t="shared" si="86"/>
        <v>0.87795992714025506</v>
      </c>
      <c r="AE214" s="5">
        <f t="shared" si="87"/>
        <v>1</v>
      </c>
      <c r="AF214" s="5">
        <f t="shared" si="88"/>
        <v>0.68857142857142861</v>
      </c>
      <c r="AG214" s="5">
        <f t="shared" si="89"/>
        <v>0.74714285714285711</v>
      </c>
    </row>
    <row r="215" spans="1:33">
      <c r="A215" s="4">
        <v>46204</v>
      </c>
      <c r="B215" s="3" t="s">
        <v>63</v>
      </c>
      <c r="C215" s="3">
        <v>7</v>
      </c>
      <c r="D215" s="6">
        <v>398</v>
      </c>
      <c r="E215" s="6">
        <v>451</v>
      </c>
      <c r="F215" s="6">
        <v>560</v>
      </c>
      <c r="G215" s="6">
        <f t="shared" si="69"/>
        <v>386</v>
      </c>
      <c r="H215" s="5">
        <v>1.0011749322310979</v>
      </c>
      <c r="I215" s="6">
        <f t="shared" si="70"/>
        <v>386</v>
      </c>
      <c r="J215" s="6">
        <f t="shared" si="90"/>
        <v>124</v>
      </c>
      <c r="K215" s="6">
        <f t="shared" si="71"/>
        <v>510</v>
      </c>
      <c r="L215" s="6">
        <f t="shared" si="72"/>
        <v>451</v>
      </c>
      <c r="M215" s="6">
        <f t="shared" si="73"/>
        <v>0</v>
      </c>
      <c r="N215" s="6">
        <f t="shared" si="74"/>
        <v>59</v>
      </c>
      <c r="O215" s="5">
        <v>0.02</v>
      </c>
      <c r="P215" s="6">
        <f t="shared" si="75"/>
        <v>1</v>
      </c>
      <c r="Q215" s="6">
        <f t="shared" si="76"/>
        <v>58</v>
      </c>
      <c r="R215" s="6">
        <v>72</v>
      </c>
      <c r="S215" s="6">
        <f t="shared" si="77"/>
        <v>354</v>
      </c>
      <c r="T215" s="5">
        <v>1.0048481003296807</v>
      </c>
      <c r="U215" s="6">
        <f t="shared" si="78"/>
        <v>356</v>
      </c>
      <c r="V215" s="6">
        <f t="shared" si="91"/>
        <v>116</v>
      </c>
      <c r="W215" s="6">
        <f t="shared" si="79"/>
        <v>472</v>
      </c>
      <c r="X215" s="6">
        <f t="shared" si="80"/>
        <v>451</v>
      </c>
      <c r="Y215" s="6">
        <f t="shared" si="81"/>
        <v>0</v>
      </c>
      <c r="Z215" s="6">
        <f t="shared" si="82"/>
        <v>21</v>
      </c>
      <c r="AA215" s="6">
        <f t="shared" si="83"/>
        <v>0</v>
      </c>
      <c r="AB215" s="6">
        <f t="shared" si="84"/>
        <v>21</v>
      </c>
      <c r="AC215" s="5">
        <f t="shared" si="85"/>
        <v>0.11751662971175167</v>
      </c>
      <c r="AD215" s="5">
        <f t="shared" si="86"/>
        <v>1</v>
      </c>
      <c r="AE215" s="5">
        <f t="shared" si="87"/>
        <v>1</v>
      </c>
      <c r="AF215" s="5">
        <f t="shared" si="88"/>
        <v>0.68928571428571428</v>
      </c>
      <c r="AG215" s="5">
        <f t="shared" si="89"/>
        <v>0.63571428571428568</v>
      </c>
    </row>
    <row r="216" spans="1:33">
      <c r="A216" s="4">
        <v>46204</v>
      </c>
      <c r="B216" s="3" t="s">
        <v>64</v>
      </c>
      <c r="C216" s="3">
        <v>5</v>
      </c>
      <c r="D216" s="6">
        <v>159</v>
      </c>
      <c r="E216" s="6">
        <v>159</v>
      </c>
      <c r="F216" s="6">
        <v>230</v>
      </c>
      <c r="G216" s="6">
        <f t="shared" si="69"/>
        <v>154</v>
      </c>
      <c r="H216" s="5">
        <v>0.98468139546978239</v>
      </c>
      <c r="I216" s="6">
        <f t="shared" si="70"/>
        <v>152</v>
      </c>
      <c r="J216" s="6">
        <f t="shared" si="90"/>
        <v>0</v>
      </c>
      <c r="K216" s="6">
        <f t="shared" si="71"/>
        <v>152</v>
      </c>
      <c r="L216" s="6">
        <f t="shared" si="72"/>
        <v>152</v>
      </c>
      <c r="M216" s="6">
        <f t="shared" si="73"/>
        <v>7</v>
      </c>
      <c r="N216" s="6">
        <f t="shared" si="74"/>
        <v>0</v>
      </c>
      <c r="O216" s="5">
        <v>2.5000000000000001E-2</v>
      </c>
      <c r="P216" s="6">
        <f t="shared" si="75"/>
        <v>0</v>
      </c>
      <c r="Q216" s="6">
        <f t="shared" si="76"/>
        <v>0</v>
      </c>
      <c r="R216" s="6">
        <v>32</v>
      </c>
      <c r="S216" s="6">
        <f t="shared" si="77"/>
        <v>175</v>
      </c>
      <c r="T216" s="5">
        <v>1.0183157859285159</v>
      </c>
      <c r="U216" s="6">
        <f t="shared" si="78"/>
        <v>178</v>
      </c>
      <c r="V216" s="6">
        <f t="shared" si="91"/>
        <v>16</v>
      </c>
      <c r="W216" s="6">
        <f t="shared" si="79"/>
        <v>194</v>
      </c>
      <c r="X216" s="6">
        <f t="shared" si="80"/>
        <v>159</v>
      </c>
      <c r="Y216" s="6">
        <f t="shared" si="81"/>
        <v>0</v>
      </c>
      <c r="Z216" s="6">
        <f t="shared" si="82"/>
        <v>35</v>
      </c>
      <c r="AA216" s="6">
        <f t="shared" si="83"/>
        <v>1</v>
      </c>
      <c r="AB216" s="6">
        <f t="shared" si="84"/>
        <v>34</v>
      </c>
      <c r="AC216" s="5">
        <f t="shared" si="85"/>
        <v>0</v>
      </c>
      <c r="AD216" s="5">
        <f t="shared" si="86"/>
        <v>0.95597484276729561</v>
      </c>
      <c r="AE216" s="5">
        <f t="shared" si="87"/>
        <v>1</v>
      </c>
      <c r="AF216" s="5">
        <f t="shared" si="88"/>
        <v>0.66086956521739126</v>
      </c>
      <c r="AG216" s="5">
        <f t="shared" si="89"/>
        <v>0.77391304347826084</v>
      </c>
    </row>
    <row r="217" spans="1:33">
      <c r="A217" s="4">
        <v>46205</v>
      </c>
      <c r="B217" s="3" t="s">
        <v>60</v>
      </c>
      <c r="C217" s="3">
        <v>2</v>
      </c>
      <c r="D217" s="6">
        <v>1726</v>
      </c>
      <c r="E217" s="6">
        <v>1458</v>
      </c>
      <c r="F217" s="6">
        <v>2250</v>
      </c>
      <c r="G217" s="6">
        <f t="shared" si="69"/>
        <v>1674</v>
      </c>
      <c r="H217" s="5">
        <v>0.99524331156772328</v>
      </c>
      <c r="I217" s="6">
        <f t="shared" si="70"/>
        <v>1666</v>
      </c>
      <c r="J217" s="6">
        <f t="shared" si="90"/>
        <v>308</v>
      </c>
      <c r="K217" s="6">
        <f t="shared" si="71"/>
        <v>1974</v>
      </c>
      <c r="L217" s="6">
        <f t="shared" si="72"/>
        <v>1458</v>
      </c>
      <c r="M217" s="6">
        <f t="shared" si="73"/>
        <v>0</v>
      </c>
      <c r="N217" s="6">
        <f t="shared" si="74"/>
        <v>516</v>
      </c>
      <c r="O217" s="5">
        <v>2.5000000000000001E-2</v>
      </c>
      <c r="P217" s="6">
        <f t="shared" si="75"/>
        <v>13</v>
      </c>
      <c r="Q217" s="6">
        <f t="shared" si="76"/>
        <v>503</v>
      </c>
      <c r="R217" s="6">
        <v>207</v>
      </c>
      <c r="S217" s="6">
        <f t="shared" si="77"/>
        <v>1550</v>
      </c>
      <c r="T217" s="5">
        <v>0.98716326123157871</v>
      </c>
      <c r="U217" s="6">
        <f t="shared" si="78"/>
        <v>1530</v>
      </c>
      <c r="V217" s="6">
        <f t="shared" si="91"/>
        <v>383</v>
      </c>
      <c r="W217" s="6">
        <f t="shared" si="79"/>
        <v>1913</v>
      </c>
      <c r="X217" s="6">
        <f t="shared" si="80"/>
        <v>1458</v>
      </c>
      <c r="Y217" s="6">
        <f t="shared" si="81"/>
        <v>0</v>
      </c>
      <c r="Z217" s="6">
        <f t="shared" si="82"/>
        <v>455</v>
      </c>
      <c r="AA217" s="6">
        <f t="shared" si="83"/>
        <v>11</v>
      </c>
      <c r="AB217" s="6">
        <f t="shared" si="84"/>
        <v>444</v>
      </c>
      <c r="AC217" s="5">
        <f t="shared" si="85"/>
        <v>0.18381344307270234</v>
      </c>
      <c r="AD217" s="5">
        <f t="shared" si="86"/>
        <v>1</v>
      </c>
      <c r="AE217" s="5">
        <f t="shared" si="87"/>
        <v>1</v>
      </c>
      <c r="AF217" s="5">
        <f t="shared" si="88"/>
        <v>0.74044444444444446</v>
      </c>
      <c r="AG217" s="5">
        <f t="shared" si="89"/>
        <v>0.68</v>
      </c>
    </row>
    <row r="218" spans="1:33">
      <c r="A218" s="4">
        <v>46205</v>
      </c>
      <c r="B218" s="3" t="s">
        <v>61</v>
      </c>
      <c r="C218" s="3">
        <v>2</v>
      </c>
      <c r="D218" s="6">
        <v>863</v>
      </c>
      <c r="E218" s="6">
        <v>714</v>
      </c>
      <c r="F218" s="6">
        <v>1200</v>
      </c>
      <c r="G218" s="6">
        <f t="shared" si="69"/>
        <v>837</v>
      </c>
      <c r="H218" s="5">
        <v>0.99435271501994671</v>
      </c>
      <c r="I218" s="6">
        <f t="shared" si="70"/>
        <v>832</v>
      </c>
      <c r="J218" s="6">
        <f t="shared" si="90"/>
        <v>0</v>
      </c>
      <c r="K218" s="6">
        <f t="shared" si="71"/>
        <v>832</v>
      </c>
      <c r="L218" s="6">
        <f t="shared" si="72"/>
        <v>714</v>
      </c>
      <c r="M218" s="6">
        <f t="shared" si="73"/>
        <v>0</v>
      </c>
      <c r="N218" s="6">
        <f t="shared" si="74"/>
        <v>118</v>
      </c>
      <c r="O218" s="5">
        <v>0.03</v>
      </c>
      <c r="P218" s="6">
        <f t="shared" si="75"/>
        <v>4</v>
      </c>
      <c r="Q218" s="6">
        <f t="shared" si="76"/>
        <v>114</v>
      </c>
      <c r="R218" s="6">
        <v>104</v>
      </c>
      <c r="S218" s="6">
        <f t="shared" si="77"/>
        <v>928</v>
      </c>
      <c r="T218" s="5">
        <v>0.9993035705068537</v>
      </c>
      <c r="U218" s="6">
        <f t="shared" si="78"/>
        <v>927</v>
      </c>
      <c r="V218" s="6">
        <f t="shared" si="91"/>
        <v>39</v>
      </c>
      <c r="W218" s="6">
        <f t="shared" si="79"/>
        <v>966</v>
      </c>
      <c r="X218" s="6">
        <f t="shared" si="80"/>
        <v>714</v>
      </c>
      <c r="Y218" s="6">
        <f t="shared" si="81"/>
        <v>0</v>
      </c>
      <c r="Z218" s="6">
        <f t="shared" si="82"/>
        <v>252</v>
      </c>
      <c r="AA218" s="6">
        <f t="shared" si="83"/>
        <v>8</v>
      </c>
      <c r="AB218" s="6">
        <f t="shared" si="84"/>
        <v>244</v>
      </c>
      <c r="AC218" s="5">
        <f t="shared" si="85"/>
        <v>0.20868347338935575</v>
      </c>
      <c r="AD218" s="5">
        <f t="shared" si="86"/>
        <v>1</v>
      </c>
      <c r="AE218" s="5">
        <f t="shared" si="87"/>
        <v>1</v>
      </c>
      <c r="AF218" s="5">
        <f t="shared" si="88"/>
        <v>0.69333333333333336</v>
      </c>
      <c r="AG218" s="5">
        <f t="shared" si="89"/>
        <v>0.77249999999999996</v>
      </c>
    </row>
    <row r="219" spans="1:33">
      <c r="A219" s="4">
        <v>46205</v>
      </c>
      <c r="B219" s="3" t="s">
        <v>62</v>
      </c>
      <c r="C219" s="3">
        <v>7</v>
      </c>
      <c r="D219" s="6">
        <v>508</v>
      </c>
      <c r="E219" s="6">
        <v>474</v>
      </c>
      <c r="F219" s="6">
        <v>700</v>
      </c>
      <c r="G219" s="6">
        <f t="shared" si="69"/>
        <v>493</v>
      </c>
      <c r="H219" s="5">
        <v>0.9856641699184453</v>
      </c>
      <c r="I219" s="6">
        <f t="shared" si="70"/>
        <v>486</v>
      </c>
      <c r="J219" s="6">
        <f t="shared" si="90"/>
        <v>0</v>
      </c>
      <c r="K219" s="6">
        <f t="shared" si="71"/>
        <v>486</v>
      </c>
      <c r="L219" s="6">
        <f t="shared" si="72"/>
        <v>474</v>
      </c>
      <c r="M219" s="6">
        <f t="shared" si="73"/>
        <v>0</v>
      </c>
      <c r="N219" s="6">
        <f t="shared" si="74"/>
        <v>12</v>
      </c>
      <c r="O219" s="5">
        <v>1.7999999999999999E-2</v>
      </c>
      <c r="P219" s="6">
        <f t="shared" si="75"/>
        <v>0</v>
      </c>
      <c r="Q219" s="6">
        <f t="shared" si="76"/>
        <v>12</v>
      </c>
      <c r="R219" s="6">
        <v>91</v>
      </c>
      <c r="S219" s="6">
        <f t="shared" si="77"/>
        <v>559</v>
      </c>
      <c r="T219" s="5">
        <v>1.0185238476787837</v>
      </c>
      <c r="U219" s="6">
        <f t="shared" si="78"/>
        <v>569</v>
      </c>
      <c r="V219" s="6">
        <f t="shared" si="91"/>
        <v>40</v>
      </c>
      <c r="W219" s="6">
        <f t="shared" si="79"/>
        <v>609</v>
      </c>
      <c r="X219" s="6">
        <f t="shared" si="80"/>
        <v>474</v>
      </c>
      <c r="Y219" s="6">
        <f t="shared" si="81"/>
        <v>0</v>
      </c>
      <c r="Z219" s="6">
        <f t="shared" si="82"/>
        <v>135</v>
      </c>
      <c r="AA219" s="6">
        <f t="shared" si="83"/>
        <v>2</v>
      </c>
      <c r="AB219" s="6">
        <f t="shared" si="84"/>
        <v>133</v>
      </c>
      <c r="AC219" s="5">
        <f t="shared" si="85"/>
        <v>7.1729957805907171E-2</v>
      </c>
      <c r="AD219" s="5">
        <f t="shared" si="86"/>
        <v>1</v>
      </c>
      <c r="AE219" s="5">
        <f t="shared" si="87"/>
        <v>1</v>
      </c>
      <c r="AF219" s="5">
        <f t="shared" si="88"/>
        <v>0.69428571428571428</v>
      </c>
      <c r="AG219" s="5">
        <f t="shared" si="89"/>
        <v>0.81285714285714283</v>
      </c>
    </row>
    <row r="220" spans="1:33">
      <c r="A220" s="4">
        <v>46205</v>
      </c>
      <c r="B220" s="3" t="s">
        <v>63</v>
      </c>
      <c r="C220" s="3">
        <v>7</v>
      </c>
      <c r="D220" s="6">
        <v>406</v>
      </c>
      <c r="E220" s="6">
        <v>450</v>
      </c>
      <c r="F220" s="6">
        <v>560</v>
      </c>
      <c r="G220" s="6">
        <f t="shared" si="69"/>
        <v>394</v>
      </c>
      <c r="H220" s="5">
        <v>1.019017712173296</v>
      </c>
      <c r="I220" s="6">
        <f t="shared" si="70"/>
        <v>401</v>
      </c>
      <c r="J220" s="6">
        <f t="shared" si="90"/>
        <v>58</v>
      </c>
      <c r="K220" s="6">
        <f t="shared" si="71"/>
        <v>459</v>
      </c>
      <c r="L220" s="6">
        <f t="shared" si="72"/>
        <v>450</v>
      </c>
      <c r="M220" s="6">
        <f t="shared" si="73"/>
        <v>0</v>
      </c>
      <c r="N220" s="6">
        <f t="shared" si="74"/>
        <v>9</v>
      </c>
      <c r="O220" s="5">
        <v>0.02</v>
      </c>
      <c r="P220" s="6">
        <f t="shared" si="75"/>
        <v>0</v>
      </c>
      <c r="Q220" s="6">
        <f t="shared" si="76"/>
        <v>9</v>
      </c>
      <c r="R220" s="6">
        <v>73</v>
      </c>
      <c r="S220" s="6">
        <f t="shared" si="77"/>
        <v>458</v>
      </c>
      <c r="T220" s="5">
        <v>1.0058619025630657</v>
      </c>
      <c r="U220" s="6">
        <f t="shared" si="78"/>
        <v>461</v>
      </c>
      <c r="V220" s="6">
        <f t="shared" si="91"/>
        <v>21</v>
      </c>
      <c r="W220" s="6">
        <f t="shared" si="79"/>
        <v>482</v>
      </c>
      <c r="X220" s="6">
        <f t="shared" si="80"/>
        <v>450</v>
      </c>
      <c r="Y220" s="6">
        <f t="shared" si="81"/>
        <v>0</v>
      </c>
      <c r="Z220" s="6">
        <f t="shared" si="82"/>
        <v>32</v>
      </c>
      <c r="AA220" s="6">
        <f t="shared" si="83"/>
        <v>1</v>
      </c>
      <c r="AB220" s="6">
        <f t="shared" si="84"/>
        <v>31</v>
      </c>
      <c r="AC220" s="5">
        <f t="shared" si="85"/>
        <v>9.7777777777777783E-2</v>
      </c>
      <c r="AD220" s="5">
        <f t="shared" si="86"/>
        <v>1</v>
      </c>
      <c r="AE220" s="5">
        <f t="shared" si="87"/>
        <v>1</v>
      </c>
      <c r="AF220" s="5">
        <f t="shared" si="88"/>
        <v>0.71607142857142858</v>
      </c>
      <c r="AG220" s="5">
        <f t="shared" si="89"/>
        <v>0.82321428571428568</v>
      </c>
    </row>
    <row r="221" spans="1:33">
      <c r="A221" s="4">
        <v>46205</v>
      </c>
      <c r="B221" s="3" t="s">
        <v>64</v>
      </c>
      <c r="C221" s="3">
        <v>5</v>
      </c>
      <c r="D221" s="6">
        <v>162</v>
      </c>
      <c r="E221" s="6">
        <v>161</v>
      </c>
      <c r="F221" s="6">
        <v>230</v>
      </c>
      <c r="G221" s="6">
        <f t="shared" si="69"/>
        <v>157</v>
      </c>
      <c r="H221" s="5">
        <v>0.99012977947957515</v>
      </c>
      <c r="I221" s="6">
        <f t="shared" si="70"/>
        <v>155</v>
      </c>
      <c r="J221" s="6">
        <f t="shared" si="90"/>
        <v>0</v>
      </c>
      <c r="K221" s="6">
        <f t="shared" si="71"/>
        <v>155</v>
      </c>
      <c r="L221" s="6">
        <f t="shared" si="72"/>
        <v>155</v>
      </c>
      <c r="M221" s="6">
        <f t="shared" si="73"/>
        <v>6</v>
      </c>
      <c r="N221" s="6">
        <f t="shared" si="74"/>
        <v>0</v>
      </c>
      <c r="O221" s="5">
        <v>2.5000000000000001E-2</v>
      </c>
      <c r="P221" s="6">
        <f t="shared" si="75"/>
        <v>0</v>
      </c>
      <c r="Q221" s="6">
        <f t="shared" si="76"/>
        <v>0</v>
      </c>
      <c r="R221" s="6">
        <v>32</v>
      </c>
      <c r="S221" s="6">
        <f t="shared" si="77"/>
        <v>160</v>
      </c>
      <c r="T221" s="5">
        <v>1.0092126414621814</v>
      </c>
      <c r="U221" s="6">
        <f t="shared" si="78"/>
        <v>161</v>
      </c>
      <c r="V221" s="6">
        <f t="shared" si="91"/>
        <v>34</v>
      </c>
      <c r="W221" s="6">
        <f t="shared" si="79"/>
        <v>195</v>
      </c>
      <c r="X221" s="6">
        <f t="shared" si="80"/>
        <v>161</v>
      </c>
      <c r="Y221" s="6">
        <f t="shared" si="81"/>
        <v>0</v>
      </c>
      <c r="Z221" s="6">
        <f t="shared" si="82"/>
        <v>34</v>
      </c>
      <c r="AA221" s="6">
        <f t="shared" si="83"/>
        <v>1</v>
      </c>
      <c r="AB221" s="6">
        <f t="shared" si="84"/>
        <v>33</v>
      </c>
      <c r="AC221" s="5">
        <f t="shared" si="85"/>
        <v>6.2111801242236021E-3</v>
      </c>
      <c r="AD221" s="5">
        <f t="shared" si="86"/>
        <v>0.96273291925465843</v>
      </c>
      <c r="AE221" s="5">
        <f t="shared" si="87"/>
        <v>1</v>
      </c>
      <c r="AF221" s="5">
        <f t="shared" si="88"/>
        <v>0.67391304347826086</v>
      </c>
      <c r="AG221" s="5">
        <f t="shared" si="89"/>
        <v>0.7</v>
      </c>
    </row>
    <row r="222" spans="1:33">
      <c r="A222" s="4">
        <v>46206</v>
      </c>
      <c r="B222" s="3" t="s">
        <v>60</v>
      </c>
      <c r="C222" s="3">
        <v>2</v>
      </c>
      <c r="D222" s="6">
        <v>1795</v>
      </c>
      <c r="E222" s="6">
        <v>1563</v>
      </c>
      <c r="F222" s="6">
        <v>2250</v>
      </c>
      <c r="G222" s="6">
        <f t="shared" si="69"/>
        <v>1741</v>
      </c>
      <c r="H222" s="5">
        <v>0.99341871715255836</v>
      </c>
      <c r="I222" s="6">
        <f t="shared" si="70"/>
        <v>1730</v>
      </c>
      <c r="J222" s="6">
        <f t="shared" si="90"/>
        <v>503</v>
      </c>
      <c r="K222" s="6">
        <f t="shared" si="71"/>
        <v>2233</v>
      </c>
      <c r="L222" s="6">
        <f t="shared" si="72"/>
        <v>1563</v>
      </c>
      <c r="M222" s="6">
        <f t="shared" si="73"/>
        <v>0</v>
      </c>
      <c r="N222" s="6">
        <f t="shared" si="74"/>
        <v>670</v>
      </c>
      <c r="O222" s="5">
        <v>2.5000000000000001E-2</v>
      </c>
      <c r="P222" s="6">
        <f t="shared" si="75"/>
        <v>17</v>
      </c>
      <c r="Q222" s="6">
        <f t="shared" si="76"/>
        <v>653</v>
      </c>
      <c r="R222" s="6">
        <v>215</v>
      </c>
      <c r="S222" s="6">
        <f t="shared" si="77"/>
        <v>1566</v>
      </c>
      <c r="T222" s="5">
        <v>1.0124911474418521</v>
      </c>
      <c r="U222" s="6">
        <f t="shared" si="78"/>
        <v>1586</v>
      </c>
      <c r="V222" s="6">
        <f t="shared" si="91"/>
        <v>444</v>
      </c>
      <c r="W222" s="6">
        <f t="shared" si="79"/>
        <v>2030</v>
      </c>
      <c r="X222" s="6">
        <f t="shared" si="80"/>
        <v>1563</v>
      </c>
      <c r="Y222" s="6">
        <f t="shared" si="81"/>
        <v>0</v>
      </c>
      <c r="Z222" s="6">
        <f t="shared" si="82"/>
        <v>467</v>
      </c>
      <c r="AA222" s="6">
        <f t="shared" si="83"/>
        <v>12</v>
      </c>
      <c r="AB222" s="6">
        <f t="shared" si="84"/>
        <v>455</v>
      </c>
      <c r="AC222" s="5">
        <f t="shared" si="85"/>
        <v>0.14843250159948818</v>
      </c>
      <c r="AD222" s="5">
        <f t="shared" si="86"/>
        <v>1</v>
      </c>
      <c r="AE222" s="5">
        <f t="shared" si="87"/>
        <v>1</v>
      </c>
      <c r="AF222" s="5">
        <f t="shared" si="88"/>
        <v>0.76888888888888884</v>
      </c>
      <c r="AG222" s="5">
        <f t="shared" si="89"/>
        <v>0.7048888888888889</v>
      </c>
    </row>
    <row r="223" spans="1:33">
      <c r="A223" s="4">
        <v>46206</v>
      </c>
      <c r="B223" s="3" t="s">
        <v>61</v>
      </c>
      <c r="C223" s="3">
        <v>2</v>
      </c>
      <c r="D223" s="6">
        <v>898</v>
      </c>
      <c r="E223" s="6">
        <v>1024</v>
      </c>
      <c r="F223" s="6">
        <v>1200</v>
      </c>
      <c r="G223" s="6">
        <f t="shared" si="69"/>
        <v>871</v>
      </c>
      <c r="H223" s="5">
        <v>1.0180315044580148</v>
      </c>
      <c r="I223" s="6">
        <f t="shared" si="70"/>
        <v>887</v>
      </c>
      <c r="J223" s="6">
        <f t="shared" si="90"/>
        <v>114</v>
      </c>
      <c r="K223" s="6">
        <f t="shared" si="71"/>
        <v>1001</v>
      </c>
      <c r="L223" s="6">
        <f t="shared" si="72"/>
        <v>1001</v>
      </c>
      <c r="M223" s="6">
        <f t="shared" si="73"/>
        <v>23</v>
      </c>
      <c r="N223" s="6">
        <f t="shared" si="74"/>
        <v>0</v>
      </c>
      <c r="O223" s="5">
        <v>0.03</v>
      </c>
      <c r="P223" s="6">
        <f t="shared" si="75"/>
        <v>0</v>
      </c>
      <c r="Q223" s="6">
        <f t="shared" si="76"/>
        <v>0</v>
      </c>
      <c r="R223" s="6">
        <v>108</v>
      </c>
      <c r="S223" s="6">
        <f t="shared" si="77"/>
        <v>762</v>
      </c>
      <c r="T223" s="5">
        <v>0.99318159230367242</v>
      </c>
      <c r="U223" s="6">
        <f t="shared" si="78"/>
        <v>757</v>
      </c>
      <c r="V223" s="6">
        <f t="shared" si="91"/>
        <v>244</v>
      </c>
      <c r="W223" s="6">
        <f t="shared" si="79"/>
        <v>1001</v>
      </c>
      <c r="X223" s="6">
        <f t="shared" si="80"/>
        <v>1001</v>
      </c>
      <c r="Y223" s="6">
        <f t="shared" si="81"/>
        <v>23</v>
      </c>
      <c r="Z223" s="6">
        <f t="shared" si="82"/>
        <v>0</v>
      </c>
      <c r="AA223" s="6">
        <f t="shared" si="83"/>
        <v>0</v>
      </c>
      <c r="AB223" s="6">
        <f t="shared" si="84"/>
        <v>0</v>
      </c>
      <c r="AC223" s="5">
        <f t="shared" si="85"/>
        <v>0.123046875</v>
      </c>
      <c r="AD223" s="5">
        <f t="shared" si="86"/>
        <v>0.9775390625</v>
      </c>
      <c r="AE223" s="5">
        <f t="shared" si="87"/>
        <v>0.9775390625</v>
      </c>
      <c r="AF223" s="5">
        <f t="shared" si="88"/>
        <v>0.73916666666666664</v>
      </c>
      <c r="AG223" s="5">
        <f t="shared" si="89"/>
        <v>0.63083333333333336</v>
      </c>
    </row>
    <row r="224" spans="1:33">
      <c r="A224" s="4">
        <v>46206</v>
      </c>
      <c r="B224" s="3" t="s">
        <v>62</v>
      </c>
      <c r="C224" s="3">
        <v>7</v>
      </c>
      <c r="D224" s="6">
        <v>528</v>
      </c>
      <c r="E224" s="6">
        <v>577</v>
      </c>
      <c r="F224" s="6">
        <v>700</v>
      </c>
      <c r="G224" s="6">
        <f t="shared" si="69"/>
        <v>512</v>
      </c>
      <c r="H224" s="5">
        <v>1.0053113178844644</v>
      </c>
      <c r="I224" s="6">
        <f t="shared" si="70"/>
        <v>515</v>
      </c>
      <c r="J224" s="6">
        <f t="shared" si="90"/>
        <v>12</v>
      </c>
      <c r="K224" s="6">
        <f t="shared" si="71"/>
        <v>527</v>
      </c>
      <c r="L224" s="6">
        <f t="shared" si="72"/>
        <v>527</v>
      </c>
      <c r="M224" s="6">
        <f t="shared" si="73"/>
        <v>50</v>
      </c>
      <c r="N224" s="6">
        <f t="shared" si="74"/>
        <v>0</v>
      </c>
      <c r="O224" s="5">
        <v>1.7999999999999999E-2</v>
      </c>
      <c r="P224" s="6">
        <f t="shared" si="75"/>
        <v>0</v>
      </c>
      <c r="Q224" s="6">
        <f t="shared" si="76"/>
        <v>0</v>
      </c>
      <c r="R224" s="6">
        <v>95</v>
      </c>
      <c r="S224" s="6">
        <f t="shared" si="77"/>
        <v>490</v>
      </c>
      <c r="T224" s="5">
        <v>0.98216530246056655</v>
      </c>
      <c r="U224" s="6">
        <f t="shared" si="78"/>
        <v>481</v>
      </c>
      <c r="V224" s="6">
        <f t="shared" si="91"/>
        <v>133</v>
      </c>
      <c r="W224" s="6">
        <f t="shared" si="79"/>
        <v>614</v>
      </c>
      <c r="X224" s="6">
        <f t="shared" si="80"/>
        <v>577</v>
      </c>
      <c r="Y224" s="6">
        <f t="shared" si="81"/>
        <v>0</v>
      </c>
      <c r="Z224" s="6">
        <f t="shared" si="82"/>
        <v>37</v>
      </c>
      <c r="AA224" s="6">
        <f t="shared" si="83"/>
        <v>1</v>
      </c>
      <c r="AB224" s="6">
        <f t="shared" si="84"/>
        <v>36</v>
      </c>
      <c r="AC224" s="5">
        <f t="shared" si="85"/>
        <v>8.4922010398613523E-2</v>
      </c>
      <c r="AD224" s="5">
        <f t="shared" si="86"/>
        <v>0.91334488734835351</v>
      </c>
      <c r="AE224" s="5">
        <f t="shared" si="87"/>
        <v>1</v>
      </c>
      <c r="AF224" s="5">
        <f t="shared" si="88"/>
        <v>0.73571428571428577</v>
      </c>
      <c r="AG224" s="5">
        <f t="shared" si="89"/>
        <v>0.68714285714285717</v>
      </c>
    </row>
    <row r="225" spans="1:33">
      <c r="A225" s="4">
        <v>46206</v>
      </c>
      <c r="B225" s="3" t="s">
        <v>63</v>
      </c>
      <c r="C225" s="3">
        <v>7</v>
      </c>
      <c r="D225" s="6">
        <v>422</v>
      </c>
      <c r="E225" s="6">
        <v>436</v>
      </c>
      <c r="F225" s="6">
        <v>560</v>
      </c>
      <c r="G225" s="6">
        <f t="shared" si="69"/>
        <v>409</v>
      </c>
      <c r="H225" s="5">
        <v>0.99465088880804198</v>
      </c>
      <c r="I225" s="6">
        <f t="shared" si="70"/>
        <v>407</v>
      </c>
      <c r="J225" s="6">
        <f t="shared" si="90"/>
        <v>9</v>
      </c>
      <c r="K225" s="6">
        <f t="shared" si="71"/>
        <v>416</v>
      </c>
      <c r="L225" s="6">
        <f t="shared" si="72"/>
        <v>416</v>
      </c>
      <c r="M225" s="6">
        <f t="shared" si="73"/>
        <v>20</v>
      </c>
      <c r="N225" s="6">
        <f t="shared" si="74"/>
        <v>0</v>
      </c>
      <c r="O225" s="5">
        <v>0.02</v>
      </c>
      <c r="P225" s="6">
        <f t="shared" si="75"/>
        <v>0</v>
      </c>
      <c r="Q225" s="6">
        <f t="shared" si="76"/>
        <v>0</v>
      </c>
      <c r="R225" s="6">
        <v>76</v>
      </c>
      <c r="S225" s="6">
        <f t="shared" si="77"/>
        <v>467</v>
      </c>
      <c r="T225" s="5">
        <v>1.0053443245039262</v>
      </c>
      <c r="U225" s="6">
        <f t="shared" si="78"/>
        <v>469</v>
      </c>
      <c r="V225" s="6">
        <f t="shared" si="91"/>
        <v>31</v>
      </c>
      <c r="W225" s="6">
        <f t="shared" si="79"/>
        <v>500</v>
      </c>
      <c r="X225" s="6">
        <f t="shared" si="80"/>
        <v>436</v>
      </c>
      <c r="Y225" s="6">
        <f t="shared" si="81"/>
        <v>0</v>
      </c>
      <c r="Z225" s="6">
        <f t="shared" si="82"/>
        <v>64</v>
      </c>
      <c r="AA225" s="6">
        <f t="shared" si="83"/>
        <v>1</v>
      </c>
      <c r="AB225" s="6">
        <f t="shared" si="84"/>
        <v>63</v>
      </c>
      <c r="AC225" s="5">
        <f t="shared" si="85"/>
        <v>3.2110091743119268E-2</v>
      </c>
      <c r="AD225" s="5">
        <f t="shared" si="86"/>
        <v>0.95412844036697253</v>
      </c>
      <c r="AE225" s="5">
        <f t="shared" si="87"/>
        <v>1</v>
      </c>
      <c r="AF225" s="5">
        <f t="shared" si="88"/>
        <v>0.72678571428571426</v>
      </c>
      <c r="AG225" s="5">
        <f t="shared" si="89"/>
        <v>0.83750000000000002</v>
      </c>
    </row>
    <row r="226" spans="1:33">
      <c r="A226" s="4">
        <v>46206</v>
      </c>
      <c r="B226" s="3" t="s">
        <v>64</v>
      </c>
      <c r="C226" s="3">
        <v>5</v>
      </c>
      <c r="D226" s="6">
        <v>169</v>
      </c>
      <c r="E226" s="6">
        <v>196</v>
      </c>
      <c r="F226" s="6">
        <v>230</v>
      </c>
      <c r="G226" s="6">
        <f t="shared" si="69"/>
        <v>164</v>
      </c>
      <c r="H226" s="5">
        <v>0.98375680029359625</v>
      </c>
      <c r="I226" s="6">
        <f t="shared" si="70"/>
        <v>161</v>
      </c>
      <c r="J226" s="6">
        <f t="shared" si="90"/>
        <v>0</v>
      </c>
      <c r="K226" s="6">
        <f t="shared" si="71"/>
        <v>161</v>
      </c>
      <c r="L226" s="6">
        <f t="shared" si="72"/>
        <v>161</v>
      </c>
      <c r="M226" s="6">
        <f t="shared" si="73"/>
        <v>35</v>
      </c>
      <c r="N226" s="6">
        <f t="shared" si="74"/>
        <v>0</v>
      </c>
      <c r="O226" s="5">
        <v>2.5000000000000001E-2</v>
      </c>
      <c r="P226" s="6">
        <f t="shared" si="75"/>
        <v>0</v>
      </c>
      <c r="Q226" s="6">
        <f t="shared" si="76"/>
        <v>0</v>
      </c>
      <c r="R226" s="6">
        <v>34</v>
      </c>
      <c r="S226" s="6">
        <f t="shared" si="77"/>
        <v>170</v>
      </c>
      <c r="T226" s="5">
        <v>0.98318437564135752</v>
      </c>
      <c r="U226" s="6">
        <f t="shared" si="78"/>
        <v>167</v>
      </c>
      <c r="V226" s="6">
        <f t="shared" si="91"/>
        <v>33</v>
      </c>
      <c r="W226" s="6">
        <f t="shared" si="79"/>
        <v>200</v>
      </c>
      <c r="X226" s="6">
        <f t="shared" si="80"/>
        <v>196</v>
      </c>
      <c r="Y226" s="6">
        <f t="shared" si="81"/>
        <v>0</v>
      </c>
      <c r="Z226" s="6">
        <f t="shared" si="82"/>
        <v>4</v>
      </c>
      <c r="AA226" s="6">
        <f t="shared" si="83"/>
        <v>0</v>
      </c>
      <c r="AB226" s="6">
        <f t="shared" si="84"/>
        <v>4</v>
      </c>
      <c r="AC226" s="5">
        <f t="shared" si="85"/>
        <v>0.13775510204081631</v>
      </c>
      <c r="AD226" s="5">
        <f t="shared" si="86"/>
        <v>0.8214285714285714</v>
      </c>
      <c r="AE226" s="5">
        <f t="shared" si="87"/>
        <v>1</v>
      </c>
      <c r="AF226" s="5">
        <f t="shared" si="88"/>
        <v>0.7</v>
      </c>
      <c r="AG226" s="5">
        <f t="shared" si="89"/>
        <v>0.72608695652173916</v>
      </c>
    </row>
    <row r="227" spans="1:33">
      <c r="A227" s="4">
        <v>46207</v>
      </c>
      <c r="B227" s="3" t="s">
        <v>60</v>
      </c>
      <c r="C227" s="3">
        <v>2</v>
      </c>
      <c r="D227" s="6">
        <v>1969</v>
      </c>
      <c r="E227" s="6">
        <v>1802</v>
      </c>
      <c r="F227" s="6">
        <v>2250</v>
      </c>
      <c r="G227" s="6">
        <f t="shared" si="69"/>
        <v>1910</v>
      </c>
      <c r="H227" s="5">
        <v>1.0104272359302655</v>
      </c>
      <c r="I227" s="6">
        <f t="shared" si="70"/>
        <v>1930</v>
      </c>
      <c r="J227" s="6">
        <f t="shared" si="90"/>
        <v>653</v>
      </c>
      <c r="K227" s="6">
        <f t="shared" si="71"/>
        <v>2583</v>
      </c>
      <c r="L227" s="6">
        <f t="shared" si="72"/>
        <v>1802</v>
      </c>
      <c r="M227" s="6">
        <f t="shared" si="73"/>
        <v>0</v>
      </c>
      <c r="N227" s="6">
        <f t="shared" si="74"/>
        <v>781</v>
      </c>
      <c r="O227" s="5">
        <v>2.5000000000000001E-2</v>
      </c>
      <c r="P227" s="6">
        <f t="shared" si="75"/>
        <v>20</v>
      </c>
      <c r="Q227" s="6">
        <f t="shared" si="76"/>
        <v>761</v>
      </c>
      <c r="R227" s="6">
        <v>236</v>
      </c>
      <c r="S227" s="6">
        <f t="shared" si="77"/>
        <v>1750</v>
      </c>
      <c r="T227" s="5">
        <v>0.99448215972310472</v>
      </c>
      <c r="U227" s="6">
        <f t="shared" si="78"/>
        <v>1740</v>
      </c>
      <c r="V227" s="6">
        <f t="shared" si="91"/>
        <v>455</v>
      </c>
      <c r="W227" s="6">
        <f t="shared" si="79"/>
        <v>2195</v>
      </c>
      <c r="X227" s="6">
        <f t="shared" si="80"/>
        <v>1802</v>
      </c>
      <c r="Y227" s="6">
        <f t="shared" si="81"/>
        <v>0</v>
      </c>
      <c r="Z227" s="6">
        <f t="shared" si="82"/>
        <v>393</v>
      </c>
      <c r="AA227" s="6">
        <f t="shared" si="83"/>
        <v>10</v>
      </c>
      <c r="AB227" s="6">
        <f t="shared" si="84"/>
        <v>383</v>
      </c>
      <c r="AC227" s="5">
        <f t="shared" si="85"/>
        <v>9.2674805771365151E-2</v>
      </c>
      <c r="AD227" s="5">
        <f t="shared" si="86"/>
        <v>1</v>
      </c>
      <c r="AE227" s="5">
        <f t="shared" si="87"/>
        <v>1</v>
      </c>
      <c r="AF227" s="5">
        <f t="shared" si="88"/>
        <v>0.85777777777777775</v>
      </c>
      <c r="AG227" s="5">
        <f t="shared" si="89"/>
        <v>0.77333333333333332</v>
      </c>
    </row>
    <row r="228" spans="1:33">
      <c r="A228" s="4">
        <v>46207</v>
      </c>
      <c r="B228" s="3" t="s">
        <v>61</v>
      </c>
      <c r="C228" s="3">
        <v>2</v>
      </c>
      <c r="D228" s="6">
        <v>984</v>
      </c>
      <c r="E228" s="6">
        <v>1070</v>
      </c>
      <c r="F228" s="6">
        <v>1200</v>
      </c>
      <c r="G228" s="6">
        <f t="shared" si="69"/>
        <v>954</v>
      </c>
      <c r="H228" s="5">
        <v>0.99643990681360806</v>
      </c>
      <c r="I228" s="6">
        <f t="shared" si="70"/>
        <v>951</v>
      </c>
      <c r="J228" s="6">
        <f t="shared" si="90"/>
        <v>0</v>
      </c>
      <c r="K228" s="6">
        <f t="shared" si="71"/>
        <v>951</v>
      </c>
      <c r="L228" s="6">
        <f t="shared" si="72"/>
        <v>951</v>
      </c>
      <c r="M228" s="6">
        <f t="shared" si="73"/>
        <v>119</v>
      </c>
      <c r="N228" s="6">
        <f t="shared" si="74"/>
        <v>0</v>
      </c>
      <c r="O228" s="5">
        <v>0.03</v>
      </c>
      <c r="P228" s="6">
        <f t="shared" si="75"/>
        <v>0</v>
      </c>
      <c r="Q228" s="6">
        <f t="shared" si="76"/>
        <v>0</v>
      </c>
      <c r="R228" s="6">
        <v>118</v>
      </c>
      <c r="S228" s="6">
        <f t="shared" si="77"/>
        <v>1102</v>
      </c>
      <c r="T228" s="5">
        <v>1.0118508517759444</v>
      </c>
      <c r="U228" s="6">
        <f t="shared" si="78"/>
        <v>1115</v>
      </c>
      <c r="V228" s="6">
        <f t="shared" si="91"/>
        <v>0</v>
      </c>
      <c r="W228" s="6">
        <f t="shared" si="79"/>
        <v>1115</v>
      </c>
      <c r="X228" s="6">
        <f t="shared" si="80"/>
        <v>1070</v>
      </c>
      <c r="Y228" s="6">
        <f t="shared" si="81"/>
        <v>0</v>
      </c>
      <c r="Z228" s="6">
        <f t="shared" si="82"/>
        <v>45</v>
      </c>
      <c r="AA228" s="6">
        <f t="shared" si="83"/>
        <v>1</v>
      </c>
      <c r="AB228" s="6">
        <f t="shared" si="84"/>
        <v>44</v>
      </c>
      <c r="AC228" s="5">
        <f t="shared" si="85"/>
        <v>8.0373831775700941E-2</v>
      </c>
      <c r="AD228" s="5">
        <f t="shared" si="86"/>
        <v>0.88878504672897196</v>
      </c>
      <c r="AE228" s="5">
        <f t="shared" si="87"/>
        <v>1</v>
      </c>
      <c r="AF228" s="5">
        <f t="shared" si="88"/>
        <v>0.79249999999999998</v>
      </c>
      <c r="AG228" s="5">
        <f t="shared" si="89"/>
        <v>0.9291666666666667</v>
      </c>
    </row>
    <row r="229" spans="1:33">
      <c r="A229" s="4">
        <v>46207</v>
      </c>
      <c r="B229" s="3" t="s">
        <v>62</v>
      </c>
      <c r="C229" s="3">
        <v>7</v>
      </c>
      <c r="D229" s="6">
        <v>579</v>
      </c>
      <c r="E229" s="6">
        <v>652</v>
      </c>
      <c r="F229" s="6">
        <v>700</v>
      </c>
      <c r="G229" s="6">
        <f t="shared" si="69"/>
        <v>562</v>
      </c>
      <c r="H229" s="5">
        <v>1.0008008702867175</v>
      </c>
      <c r="I229" s="6">
        <f t="shared" si="70"/>
        <v>562</v>
      </c>
      <c r="J229" s="6">
        <f t="shared" si="90"/>
        <v>0</v>
      </c>
      <c r="K229" s="6">
        <f t="shared" si="71"/>
        <v>562</v>
      </c>
      <c r="L229" s="6">
        <f t="shared" si="72"/>
        <v>562</v>
      </c>
      <c r="M229" s="6">
        <f t="shared" si="73"/>
        <v>90</v>
      </c>
      <c r="N229" s="6">
        <f t="shared" si="74"/>
        <v>0</v>
      </c>
      <c r="O229" s="5">
        <v>1.7999999999999999E-2</v>
      </c>
      <c r="P229" s="6">
        <f t="shared" si="75"/>
        <v>0</v>
      </c>
      <c r="Q229" s="6">
        <f t="shared" si="76"/>
        <v>0</v>
      </c>
      <c r="R229" s="6">
        <v>104</v>
      </c>
      <c r="S229" s="6">
        <f t="shared" si="77"/>
        <v>647</v>
      </c>
      <c r="T229" s="5">
        <v>1.0110635413522966</v>
      </c>
      <c r="U229" s="6">
        <f t="shared" si="78"/>
        <v>654</v>
      </c>
      <c r="V229" s="6">
        <f t="shared" si="91"/>
        <v>36</v>
      </c>
      <c r="W229" s="6">
        <f t="shared" si="79"/>
        <v>690</v>
      </c>
      <c r="X229" s="6">
        <f t="shared" si="80"/>
        <v>652</v>
      </c>
      <c r="Y229" s="6">
        <f t="shared" si="81"/>
        <v>0</v>
      </c>
      <c r="Z229" s="6">
        <f t="shared" si="82"/>
        <v>38</v>
      </c>
      <c r="AA229" s="6">
        <f t="shared" si="83"/>
        <v>1</v>
      </c>
      <c r="AB229" s="6">
        <f t="shared" si="84"/>
        <v>37</v>
      </c>
      <c r="AC229" s="5">
        <f t="shared" si="85"/>
        <v>0.11196319018404909</v>
      </c>
      <c r="AD229" s="5">
        <f t="shared" si="86"/>
        <v>0.8619631901840491</v>
      </c>
      <c r="AE229" s="5">
        <f t="shared" si="87"/>
        <v>1</v>
      </c>
      <c r="AF229" s="5">
        <f t="shared" si="88"/>
        <v>0.80285714285714282</v>
      </c>
      <c r="AG229" s="5">
        <f t="shared" si="89"/>
        <v>0.93428571428571427</v>
      </c>
    </row>
    <row r="230" spans="1:33">
      <c r="A230" s="4">
        <v>46207</v>
      </c>
      <c r="B230" s="3" t="s">
        <v>63</v>
      </c>
      <c r="C230" s="3">
        <v>7</v>
      </c>
      <c r="D230" s="6">
        <v>459</v>
      </c>
      <c r="E230" s="6">
        <v>379</v>
      </c>
      <c r="F230" s="6">
        <v>560</v>
      </c>
      <c r="G230" s="6">
        <f t="shared" si="69"/>
        <v>445</v>
      </c>
      <c r="H230" s="5">
        <v>1.0114924557505054</v>
      </c>
      <c r="I230" s="6">
        <f t="shared" si="70"/>
        <v>450</v>
      </c>
      <c r="J230" s="6">
        <f t="shared" si="90"/>
        <v>0</v>
      </c>
      <c r="K230" s="6">
        <f t="shared" si="71"/>
        <v>450</v>
      </c>
      <c r="L230" s="6">
        <f t="shared" si="72"/>
        <v>379</v>
      </c>
      <c r="M230" s="6">
        <f t="shared" si="73"/>
        <v>0</v>
      </c>
      <c r="N230" s="6">
        <f t="shared" si="74"/>
        <v>71</v>
      </c>
      <c r="O230" s="5">
        <v>0.02</v>
      </c>
      <c r="P230" s="6">
        <f t="shared" si="75"/>
        <v>1</v>
      </c>
      <c r="Q230" s="6">
        <f t="shared" si="76"/>
        <v>70</v>
      </c>
      <c r="R230" s="6">
        <v>83</v>
      </c>
      <c r="S230" s="6">
        <f t="shared" si="77"/>
        <v>479</v>
      </c>
      <c r="T230" s="5">
        <v>1.0052215864075005</v>
      </c>
      <c r="U230" s="6">
        <f t="shared" si="78"/>
        <v>482</v>
      </c>
      <c r="V230" s="6">
        <f t="shared" si="91"/>
        <v>63</v>
      </c>
      <c r="W230" s="6">
        <f t="shared" si="79"/>
        <v>545</v>
      </c>
      <c r="X230" s="6">
        <f t="shared" si="80"/>
        <v>379</v>
      </c>
      <c r="Y230" s="6">
        <f t="shared" si="81"/>
        <v>0</v>
      </c>
      <c r="Z230" s="6">
        <f t="shared" si="82"/>
        <v>166</v>
      </c>
      <c r="AA230" s="6">
        <f t="shared" si="83"/>
        <v>3</v>
      </c>
      <c r="AB230" s="6">
        <f t="shared" si="84"/>
        <v>163</v>
      </c>
      <c r="AC230" s="5">
        <f t="shared" si="85"/>
        <v>0.21108179419525067</v>
      </c>
      <c r="AD230" s="5">
        <f t="shared" si="86"/>
        <v>1</v>
      </c>
      <c r="AE230" s="5">
        <f t="shared" si="87"/>
        <v>1</v>
      </c>
      <c r="AF230" s="5">
        <f t="shared" si="88"/>
        <v>0.8035714285714286</v>
      </c>
      <c r="AG230" s="5">
        <f t="shared" si="89"/>
        <v>0.86071428571428577</v>
      </c>
    </row>
    <row r="231" spans="1:33">
      <c r="A231" s="4">
        <v>46207</v>
      </c>
      <c r="B231" s="3" t="s">
        <v>64</v>
      </c>
      <c r="C231" s="3">
        <v>5</v>
      </c>
      <c r="D231" s="6">
        <v>182</v>
      </c>
      <c r="E231" s="6">
        <v>166</v>
      </c>
      <c r="F231" s="6">
        <v>230</v>
      </c>
      <c r="G231" s="6">
        <f t="shared" si="69"/>
        <v>177</v>
      </c>
      <c r="H231" s="5">
        <v>1.0142449818407273</v>
      </c>
      <c r="I231" s="6">
        <f t="shared" si="70"/>
        <v>180</v>
      </c>
      <c r="J231" s="6">
        <f t="shared" si="90"/>
        <v>0</v>
      </c>
      <c r="K231" s="6">
        <f t="shared" si="71"/>
        <v>180</v>
      </c>
      <c r="L231" s="6">
        <f t="shared" si="72"/>
        <v>166</v>
      </c>
      <c r="M231" s="6">
        <f t="shared" si="73"/>
        <v>0</v>
      </c>
      <c r="N231" s="6">
        <f t="shared" si="74"/>
        <v>14</v>
      </c>
      <c r="O231" s="5">
        <v>2.5000000000000001E-2</v>
      </c>
      <c r="P231" s="6">
        <f t="shared" si="75"/>
        <v>0</v>
      </c>
      <c r="Q231" s="6">
        <f t="shared" si="76"/>
        <v>14</v>
      </c>
      <c r="R231" s="6">
        <v>36</v>
      </c>
      <c r="S231" s="6">
        <f t="shared" si="77"/>
        <v>214</v>
      </c>
      <c r="T231" s="5">
        <v>0.98640851932225981</v>
      </c>
      <c r="U231" s="6">
        <f t="shared" si="78"/>
        <v>211</v>
      </c>
      <c r="V231" s="6">
        <f t="shared" si="91"/>
        <v>4</v>
      </c>
      <c r="W231" s="6">
        <f t="shared" si="79"/>
        <v>215</v>
      </c>
      <c r="X231" s="6">
        <f t="shared" si="80"/>
        <v>166</v>
      </c>
      <c r="Y231" s="6">
        <f t="shared" si="81"/>
        <v>0</v>
      </c>
      <c r="Z231" s="6">
        <f t="shared" si="82"/>
        <v>49</v>
      </c>
      <c r="AA231" s="6">
        <f t="shared" si="83"/>
        <v>1</v>
      </c>
      <c r="AB231" s="6">
        <f t="shared" si="84"/>
        <v>48</v>
      </c>
      <c r="AC231" s="5">
        <f t="shared" si="85"/>
        <v>9.6385542168674704E-2</v>
      </c>
      <c r="AD231" s="5">
        <f t="shared" si="86"/>
        <v>1</v>
      </c>
      <c r="AE231" s="5">
        <f t="shared" si="87"/>
        <v>1</v>
      </c>
      <c r="AF231" s="5">
        <f t="shared" si="88"/>
        <v>0.78260869565217395</v>
      </c>
      <c r="AG231" s="5">
        <f t="shared" si="89"/>
        <v>0.91739130434782612</v>
      </c>
    </row>
    <row r="232" spans="1:33">
      <c r="A232" s="4">
        <v>46208</v>
      </c>
      <c r="B232" s="3" t="s">
        <v>60</v>
      </c>
      <c r="C232" s="3">
        <v>2</v>
      </c>
      <c r="D232" s="6">
        <v>1935</v>
      </c>
      <c r="E232" s="6">
        <v>2033</v>
      </c>
      <c r="F232" s="6">
        <v>2250</v>
      </c>
      <c r="G232" s="6">
        <f t="shared" si="69"/>
        <v>1877</v>
      </c>
      <c r="H232" s="5">
        <v>1.016286618676282</v>
      </c>
      <c r="I232" s="6">
        <f t="shared" si="70"/>
        <v>1908</v>
      </c>
      <c r="J232" s="6">
        <f t="shared" si="90"/>
        <v>761</v>
      </c>
      <c r="K232" s="6">
        <f t="shared" si="71"/>
        <v>2669</v>
      </c>
      <c r="L232" s="6">
        <f t="shared" si="72"/>
        <v>2033</v>
      </c>
      <c r="M232" s="6">
        <f t="shared" si="73"/>
        <v>0</v>
      </c>
      <c r="N232" s="6">
        <f t="shared" si="74"/>
        <v>636</v>
      </c>
      <c r="O232" s="5">
        <v>2.5000000000000001E-2</v>
      </c>
      <c r="P232" s="6">
        <f t="shared" si="75"/>
        <v>16</v>
      </c>
      <c r="Q232" s="6">
        <f t="shared" si="76"/>
        <v>620</v>
      </c>
      <c r="R232" s="6">
        <v>232</v>
      </c>
      <c r="S232" s="6">
        <f t="shared" si="77"/>
        <v>1784</v>
      </c>
      <c r="T232" s="5">
        <v>0.980702858365047</v>
      </c>
      <c r="U232" s="6">
        <f t="shared" si="78"/>
        <v>1750</v>
      </c>
      <c r="V232" s="6">
        <f t="shared" si="91"/>
        <v>383</v>
      </c>
      <c r="W232" s="6">
        <f t="shared" si="79"/>
        <v>2133</v>
      </c>
      <c r="X232" s="6">
        <f t="shared" si="80"/>
        <v>2033</v>
      </c>
      <c r="Y232" s="6">
        <f t="shared" si="81"/>
        <v>0</v>
      </c>
      <c r="Z232" s="6">
        <f t="shared" si="82"/>
        <v>100</v>
      </c>
      <c r="AA232" s="6">
        <f t="shared" si="83"/>
        <v>3</v>
      </c>
      <c r="AB232" s="6">
        <f t="shared" si="84"/>
        <v>97</v>
      </c>
      <c r="AC232" s="5">
        <f t="shared" si="85"/>
        <v>4.8204623708804725E-2</v>
      </c>
      <c r="AD232" s="5">
        <f t="shared" si="86"/>
        <v>1</v>
      </c>
      <c r="AE232" s="5">
        <f t="shared" si="87"/>
        <v>1</v>
      </c>
      <c r="AF232" s="5">
        <f t="shared" si="88"/>
        <v>0.84799999999999998</v>
      </c>
      <c r="AG232" s="5">
        <f t="shared" si="89"/>
        <v>0.77777777777777779</v>
      </c>
    </row>
    <row r="233" spans="1:33">
      <c r="A233" s="4">
        <v>46208</v>
      </c>
      <c r="B233" s="3" t="s">
        <v>61</v>
      </c>
      <c r="C233" s="3">
        <v>2</v>
      </c>
      <c r="D233" s="6">
        <v>967</v>
      </c>
      <c r="E233" s="6">
        <v>946</v>
      </c>
      <c r="F233" s="6">
        <v>1200</v>
      </c>
      <c r="G233" s="6">
        <f t="shared" si="69"/>
        <v>938</v>
      </c>
      <c r="H233" s="5">
        <v>1.0072217486022752</v>
      </c>
      <c r="I233" s="6">
        <f t="shared" si="70"/>
        <v>945</v>
      </c>
      <c r="J233" s="6">
        <f t="shared" si="90"/>
        <v>0</v>
      </c>
      <c r="K233" s="6">
        <f t="shared" si="71"/>
        <v>945</v>
      </c>
      <c r="L233" s="6">
        <f t="shared" si="72"/>
        <v>945</v>
      </c>
      <c r="M233" s="6">
        <f t="shared" si="73"/>
        <v>1</v>
      </c>
      <c r="N233" s="6">
        <f t="shared" si="74"/>
        <v>0</v>
      </c>
      <c r="O233" s="5">
        <v>0.03</v>
      </c>
      <c r="P233" s="6">
        <f t="shared" si="75"/>
        <v>0</v>
      </c>
      <c r="Q233" s="6">
        <f t="shared" si="76"/>
        <v>0</v>
      </c>
      <c r="R233" s="6">
        <v>116</v>
      </c>
      <c r="S233" s="6">
        <f t="shared" si="77"/>
        <v>1039</v>
      </c>
      <c r="T233" s="5">
        <v>1.0133906090977804</v>
      </c>
      <c r="U233" s="6">
        <f t="shared" si="78"/>
        <v>1053</v>
      </c>
      <c r="V233" s="6">
        <f t="shared" si="91"/>
        <v>44</v>
      </c>
      <c r="W233" s="6">
        <f t="shared" si="79"/>
        <v>1097</v>
      </c>
      <c r="X233" s="6">
        <f t="shared" si="80"/>
        <v>946</v>
      </c>
      <c r="Y233" s="6">
        <f t="shared" si="81"/>
        <v>0</v>
      </c>
      <c r="Z233" s="6">
        <f t="shared" si="82"/>
        <v>151</v>
      </c>
      <c r="AA233" s="6">
        <f t="shared" si="83"/>
        <v>5</v>
      </c>
      <c r="AB233" s="6">
        <f t="shared" si="84"/>
        <v>146</v>
      </c>
      <c r="AC233" s="5">
        <f t="shared" si="85"/>
        <v>2.2198731501057084E-2</v>
      </c>
      <c r="AD233" s="5">
        <f t="shared" si="86"/>
        <v>0.9989429175475687</v>
      </c>
      <c r="AE233" s="5">
        <f t="shared" si="87"/>
        <v>1</v>
      </c>
      <c r="AF233" s="5">
        <f t="shared" si="88"/>
        <v>0.78749999999999998</v>
      </c>
      <c r="AG233" s="5">
        <f t="shared" si="89"/>
        <v>0.87749999999999995</v>
      </c>
    </row>
    <row r="234" spans="1:33">
      <c r="A234" s="4">
        <v>46208</v>
      </c>
      <c r="B234" s="3" t="s">
        <v>62</v>
      </c>
      <c r="C234" s="3">
        <v>7</v>
      </c>
      <c r="D234" s="6">
        <v>589</v>
      </c>
      <c r="E234" s="6">
        <v>511</v>
      </c>
      <c r="F234" s="6">
        <v>700</v>
      </c>
      <c r="G234" s="6">
        <f t="shared" si="69"/>
        <v>571</v>
      </c>
      <c r="H234" s="5">
        <v>0.98596626447055313</v>
      </c>
      <c r="I234" s="6">
        <f t="shared" si="70"/>
        <v>563</v>
      </c>
      <c r="J234" s="6">
        <f t="shared" si="90"/>
        <v>0</v>
      </c>
      <c r="K234" s="6">
        <f t="shared" si="71"/>
        <v>563</v>
      </c>
      <c r="L234" s="6">
        <f t="shared" si="72"/>
        <v>511</v>
      </c>
      <c r="M234" s="6">
        <f t="shared" si="73"/>
        <v>0</v>
      </c>
      <c r="N234" s="6">
        <f t="shared" si="74"/>
        <v>52</v>
      </c>
      <c r="O234" s="5">
        <v>1.7999999999999999E-2</v>
      </c>
      <c r="P234" s="6">
        <f t="shared" si="75"/>
        <v>1</v>
      </c>
      <c r="Q234" s="6">
        <f t="shared" si="76"/>
        <v>51</v>
      </c>
      <c r="R234" s="6">
        <v>106</v>
      </c>
      <c r="S234" s="6">
        <f t="shared" si="77"/>
        <v>658</v>
      </c>
      <c r="T234" s="5">
        <v>1.0107168134948858</v>
      </c>
      <c r="U234" s="6">
        <f t="shared" si="78"/>
        <v>665</v>
      </c>
      <c r="V234" s="6">
        <f t="shared" si="91"/>
        <v>37</v>
      </c>
      <c r="W234" s="6">
        <f t="shared" si="79"/>
        <v>702</v>
      </c>
      <c r="X234" s="6">
        <f t="shared" si="80"/>
        <v>511</v>
      </c>
      <c r="Y234" s="6">
        <f t="shared" si="81"/>
        <v>0</v>
      </c>
      <c r="Z234" s="6">
        <f t="shared" si="82"/>
        <v>191</v>
      </c>
      <c r="AA234" s="6">
        <f t="shared" si="83"/>
        <v>3</v>
      </c>
      <c r="AB234" s="6">
        <f t="shared" si="84"/>
        <v>188</v>
      </c>
      <c r="AC234" s="5">
        <f t="shared" si="85"/>
        <v>0.15264187866927592</v>
      </c>
      <c r="AD234" s="5">
        <f t="shared" si="86"/>
        <v>1</v>
      </c>
      <c r="AE234" s="5">
        <f t="shared" si="87"/>
        <v>1</v>
      </c>
      <c r="AF234" s="5">
        <f t="shared" si="88"/>
        <v>0.80428571428571427</v>
      </c>
      <c r="AG234" s="5">
        <f t="shared" si="89"/>
        <v>0.95</v>
      </c>
    </row>
    <row r="235" spans="1:33">
      <c r="A235" s="4">
        <v>46208</v>
      </c>
      <c r="B235" s="3" t="s">
        <v>63</v>
      </c>
      <c r="C235" s="3">
        <v>7</v>
      </c>
      <c r="D235" s="6">
        <v>471</v>
      </c>
      <c r="E235" s="6">
        <v>504</v>
      </c>
      <c r="F235" s="6">
        <v>560</v>
      </c>
      <c r="G235" s="6">
        <f t="shared" si="69"/>
        <v>457</v>
      </c>
      <c r="H235" s="5">
        <v>1.0178076781147014</v>
      </c>
      <c r="I235" s="6">
        <f t="shared" si="70"/>
        <v>465</v>
      </c>
      <c r="J235" s="6">
        <f t="shared" si="90"/>
        <v>70</v>
      </c>
      <c r="K235" s="6">
        <f t="shared" si="71"/>
        <v>535</v>
      </c>
      <c r="L235" s="6">
        <f t="shared" si="72"/>
        <v>504</v>
      </c>
      <c r="M235" s="6">
        <f t="shared" si="73"/>
        <v>0</v>
      </c>
      <c r="N235" s="6">
        <f t="shared" si="74"/>
        <v>31</v>
      </c>
      <c r="O235" s="5">
        <v>0.02</v>
      </c>
      <c r="P235" s="6">
        <f t="shared" si="75"/>
        <v>1</v>
      </c>
      <c r="Q235" s="6">
        <f t="shared" si="76"/>
        <v>30</v>
      </c>
      <c r="R235" s="6">
        <v>85</v>
      </c>
      <c r="S235" s="6">
        <f t="shared" si="77"/>
        <v>393</v>
      </c>
      <c r="T235" s="5">
        <v>1.0192742942235982</v>
      </c>
      <c r="U235" s="6">
        <f t="shared" si="78"/>
        <v>401</v>
      </c>
      <c r="V235" s="6">
        <f t="shared" si="91"/>
        <v>163</v>
      </c>
      <c r="W235" s="6">
        <f t="shared" si="79"/>
        <v>564</v>
      </c>
      <c r="X235" s="6">
        <f t="shared" si="80"/>
        <v>504</v>
      </c>
      <c r="Y235" s="6">
        <f t="shared" si="81"/>
        <v>0</v>
      </c>
      <c r="Z235" s="6">
        <f t="shared" si="82"/>
        <v>60</v>
      </c>
      <c r="AA235" s="6">
        <f t="shared" si="83"/>
        <v>1</v>
      </c>
      <c r="AB235" s="6">
        <f t="shared" si="84"/>
        <v>59</v>
      </c>
      <c r="AC235" s="5">
        <f t="shared" si="85"/>
        <v>6.5476190476190479E-2</v>
      </c>
      <c r="AD235" s="5">
        <f t="shared" si="86"/>
        <v>1</v>
      </c>
      <c r="AE235" s="5">
        <f t="shared" si="87"/>
        <v>1</v>
      </c>
      <c r="AF235" s="5">
        <f t="shared" si="88"/>
        <v>0.8303571428571429</v>
      </c>
      <c r="AG235" s="5">
        <f t="shared" si="89"/>
        <v>0.71607142857142858</v>
      </c>
    </row>
    <row r="236" spans="1:33">
      <c r="A236" s="4">
        <v>46208</v>
      </c>
      <c r="B236" s="3" t="s">
        <v>64</v>
      </c>
      <c r="C236" s="3">
        <v>5</v>
      </c>
      <c r="D236" s="6">
        <v>187</v>
      </c>
      <c r="E236" s="6">
        <v>182</v>
      </c>
      <c r="F236" s="6">
        <v>230</v>
      </c>
      <c r="G236" s="6">
        <f t="shared" si="69"/>
        <v>181</v>
      </c>
      <c r="H236" s="5">
        <v>1.0059779962971562</v>
      </c>
      <c r="I236" s="6">
        <f t="shared" si="70"/>
        <v>182</v>
      </c>
      <c r="J236" s="6">
        <f t="shared" si="90"/>
        <v>14</v>
      </c>
      <c r="K236" s="6">
        <f t="shared" si="71"/>
        <v>196</v>
      </c>
      <c r="L236" s="6">
        <f t="shared" si="72"/>
        <v>182</v>
      </c>
      <c r="M236" s="6">
        <f t="shared" si="73"/>
        <v>0</v>
      </c>
      <c r="N236" s="6">
        <f t="shared" si="74"/>
        <v>14</v>
      </c>
      <c r="O236" s="5">
        <v>2.5000000000000001E-2</v>
      </c>
      <c r="P236" s="6">
        <f t="shared" si="75"/>
        <v>0</v>
      </c>
      <c r="Q236" s="6">
        <f t="shared" si="76"/>
        <v>14</v>
      </c>
      <c r="R236" s="6">
        <v>37</v>
      </c>
      <c r="S236" s="6">
        <f t="shared" si="77"/>
        <v>176</v>
      </c>
      <c r="T236" s="5">
        <v>0.98495839893048909</v>
      </c>
      <c r="U236" s="6">
        <f t="shared" si="78"/>
        <v>173</v>
      </c>
      <c r="V236" s="6">
        <f t="shared" si="91"/>
        <v>48</v>
      </c>
      <c r="W236" s="6">
        <f t="shared" si="79"/>
        <v>221</v>
      </c>
      <c r="X236" s="6">
        <f t="shared" si="80"/>
        <v>182</v>
      </c>
      <c r="Y236" s="6">
        <f t="shared" si="81"/>
        <v>0</v>
      </c>
      <c r="Z236" s="6">
        <f t="shared" si="82"/>
        <v>39</v>
      </c>
      <c r="AA236" s="6">
        <f t="shared" si="83"/>
        <v>1</v>
      </c>
      <c r="AB236" s="6">
        <f t="shared" si="84"/>
        <v>38</v>
      </c>
      <c r="AC236" s="5">
        <f t="shared" si="85"/>
        <v>2.7472527472527472E-2</v>
      </c>
      <c r="AD236" s="5">
        <f t="shared" si="86"/>
        <v>1</v>
      </c>
      <c r="AE236" s="5">
        <f t="shared" si="87"/>
        <v>1</v>
      </c>
      <c r="AF236" s="5">
        <f t="shared" si="88"/>
        <v>0.79130434782608694</v>
      </c>
      <c r="AG236" s="5">
        <f t="shared" si="89"/>
        <v>0.75217391304347825</v>
      </c>
    </row>
    <row r="237" spans="1:33">
      <c r="A237" s="4">
        <v>46209</v>
      </c>
      <c r="B237" s="3" t="s">
        <v>60</v>
      </c>
      <c r="C237" s="3">
        <v>2</v>
      </c>
      <c r="D237" s="6">
        <v>1659</v>
      </c>
      <c r="E237" s="6">
        <v>1551</v>
      </c>
      <c r="F237" s="6">
        <v>2250</v>
      </c>
      <c r="G237" s="6">
        <f t="shared" si="69"/>
        <v>1609</v>
      </c>
      <c r="H237" s="5">
        <v>0.98727682875560996</v>
      </c>
      <c r="I237" s="6">
        <f t="shared" si="70"/>
        <v>1589</v>
      </c>
      <c r="J237" s="6">
        <f t="shared" si="90"/>
        <v>620</v>
      </c>
      <c r="K237" s="6">
        <f t="shared" si="71"/>
        <v>2209</v>
      </c>
      <c r="L237" s="6">
        <f t="shared" si="72"/>
        <v>1551</v>
      </c>
      <c r="M237" s="6">
        <f t="shared" si="73"/>
        <v>0</v>
      </c>
      <c r="N237" s="6">
        <f t="shared" si="74"/>
        <v>658</v>
      </c>
      <c r="O237" s="5">
        <v>2.5000000000000001E-2</v>
      </c>
      <c r="P237" s="6">
        <f t="shared" si="75"/>
        <v>16</v>
      </c>
      <c r="Q237" s="6">
        <f t="shared" si="76"/>
        <v>642</v>
      </c>
      <c r="R237" s="6">
        <v>199</v>
      </c>
      <c r="S237" s="6">
        <f t="shared" si="77"/>
        <v>1761</v>
      </c>
      <c r="T237" s="5">
        <v>1.013852160934767</v>
      </c>
      <c r="U237" s="6">
        <f t="shared" si="78"/>
        <v>1785</v>
      </c>
      <c r="V237" s="6">
        <f t="shared" si="91"/>
        <v>97</v>
      </c>
      <c r="W237" s="6">
        <f t="shared" si="79"/>
        <v>1882</v>
      </c>
      <c r="X237" s="6">
        <f t="shared" si="80"/>
        <v>1551</v>
      </c>
      <c r="Y237" s="6">
        <f t="shared" si="81"/>
        <v>0</v>
      </c>
      <c r="Z237" s="6">
        <f t="shared" si="82"/>
        <v>331</v>
      </c>
      <c r="AA237" s="6">
        <f t="shared" si="83"/>
        <v>8</v>
      </c>
      <c r="AB237" s="6">
        <f t="shared" si="84"/>
        <v>323</v>
      </c>
      <c r="AC237" s="5">
        <f t="shared" si="85"/>
        <v>6.9632495164410058E-2</v>
      </c>
      <c r="AD237" s="5">
        <f t="shared" si="86"/>
        <v>1</v>
      </c>
      <c r="AE237" s="5">
        <f t="shared" si="87"/>
        <v>1</v>
      </c>
      <c r="AF237" s="5">
        <f t="shared" si="88"/>
        <v>0.7062222222222222</v>
      </c>
      <c r="AG237" s="5">
        <f t="shared" si="89"/>
        <v>0.79333333333333333</v>
      </c>
    </row>
    <row r="238" spans="1:33">
      <c r="A238" s="4">
        <v>46209</v>
      </c>
      <c r="B238" s="3" t="s">
        <v>61</v>
      </c>
      <c r="C238" s="3">
        <v>2</v>
      </c>
      <c r="D238" s="6">
        <v>821</v>
      </c>
      <c r="E238" s="6">
        <v>824</v>
      </c>
      <c r="F238" s="6">
        <v>1200</v>
      </c>
      <c r="G238" s="6">
        <f t="shared" si="69"/>
        <v>796</v>
      </c>
      <c r="H238" s="5">
        <v>1.0195117988342186</v>
      </c>
      <c r="I238" s="6">
        <f t="shared" si="70"/>
        <v>812</v>
      </c>
      <c r="J238" s="6">
        <f t="shared" si="90"/>
        <v>0</v>
      </c>
      <c r="K238" s="6">
        <f t="shared" si="71"/>
        <v>812</v>
      </c>
      <c r="L238" s="6">
        <f t="shared" si="72"/>
        <v>812</v>
      </c>
      <c r="M238" s="6">
        <f t="shared" si="73"/>
        <v>12</v>
      </c>
      <c r="N238" s="6">
        <f t="shared" si="74"/>
        <v>0</v>
      </c>
      <c r="O238" s="5">
        <v>0.03</v>
      </c>
      <c r="P238" s="6">
        <f t="shared" si="75"/>
        <v>0</v>
      </c>
      <c r="Q238" s="6">
        <f t="shared" si="76"/>
        <v>0</v>
      </c>
      <c r="R238" s="6">
        <v>99</v>
      </c>
      <c r="S238" s="6">
        <f t="shared" si="77"/>
        <v>774</v>
      </c>
      <c r="T238" s="5">
        <v>0.98040261181353372</v>
      </c>
      <c r="U238" s="6">
        <f t="shared" si="78"/>
        <v>759</v>
      </c>
      <c r="V238" s="6">
        <f t="shared" si="91"/>
        <v>146</v>
      </c>
      <c r="W238" s="6">
        <f t="shared" si="79"/>
        <v>905</v>
      </c>
      <c r="X238" s="6">
        <f t="shared" si="80"/>
        <v>824</v>
      </c>
      <c r="Y238" s="6">
        <f t="shared" si="81"/>
        <v>0</v>
      </c>
      <c r="Z238" s="6">
        <f t="shared" si="82"/>
        <v>81</v>
      </c>
      <c r="AA238" s="6">
        <f t="shared" si="83"/>
        <v>2</v>
      </c>
      <c r="AB238" s="6">
        <f t="shared" si="84"/>
        <v>79</v>
      </c>
      <c r="AC238" s="5">
        <f t="shared" si="85"/>
        <v>3.6407766990291263E-3</v>
      </c>
      <c r="AD238" s="5">
        <f t="shared" si="86"/>
        <v>0.9854368932038835</v>
      </c>
      <c r="AE238" s="5">
        <f t="shared" si="87"/>
        <v>1</v>
      </c>
      <c r="AF238" s="5">
        <f t="shared" si="88"/>
        <v>0.67666666666666664</v>
      </c>
      <c r="AG238" s="5">
        <f t="shared" si="89"/>
        <v>0.63249999999999995</v>
      </c>
    </row>
    <row r="239" spans="1:33">
      <c r="A239" s="4">
        <v>46209</v>
      </c>
      <c r="B239" s="3" t="s">
        <v>62</v>
      </c>
      <c r="C239" s="3">
        <v>7</v>
      </c>
      <c r="D239" s="6">
        <v>473</v>
      </c>
      <c r="E239" s="6">
        <v>484</v>
      </c>
      <c r="F239" s="6">
        <v>700</v>
      </c>
      <c r="G239" s="6">
        <f t="shared" si="69"/>
        <v>459</v>
      </c>
      <c r="H239" s="5">
        <v>1.0065002207645857</v>
      </c>
      <c r="I239" s="6">
        <f t="shared" si="70"/>
        <v>462</v>
      </c>
      <c r="J239" s="6">
        <f t="shared" si="90"/>
        <v>51</v>
      </c>
      <c r="K239" s="6">
        <f t="shared" si="71"/>
        <v>513</v>
      </c>
      <c r="L239" s="6">
        <f t="shared" si="72"/>
        <v>484</v>
      </c>
      <c r="M239" s="6">
        <f t="shared" si="73"/>
        <v>0</v>
      </c>
      <c r="N239" s="6">
        <f t="shared" si="74"/>
        <v>29</v>
      </c>
      <c r="O239" s="5">
        <v>1.7999999999999999E-2</v>
      </c>
      <c r="P239" s="6">
        <f t="shared" si="75"/>
        <v>1</v>
      </c>
      <c r="Q239" s="6">
        <f t="shared" si="76"/>
        <v>28</v>
      </c>
      <c r="R239" s="6">
        <v>85</v>
      </c>
      <c r="S239" s="6">
        <f t="shared" si="77"/>
        <v>370</v>
      </c>
      <c r="T239" s="5">
        <v>1.0060158822359504</v>
      </c>
      <c r="U239" s="6">
        <f t="shared" si="78"/>
        <v>372</v>
      </c>
      <c r="V239" s="6">
        <f t="shared" si="91"/>
        <v>188</v>
      </c>
      <c r="W239" s="6">
        <f t="shared" si="79"/>
        <v>560</v>
      </c>
      <c r="X239" s="6">
        <f t="shared" si="80"/>
        <v>484</v>
      </c>
      <c r="Y239" s="6">
        <f t="shared" si="81"/>
        <v>0</v>
      </c>
      <c r="Z239" s="6">
        <f t="shared" si="82"/>
        <v>76</v>
      </c>
      <c r="AA239" s="6">
        <f t="shared" si="83"/>
        <v>1</v>
      </c>
      <c r="AB239" s="6">
        <f t="shared" si="84"/>
        <v>75</v>
      </c>
      <c r="AC239" s="5">
        <f t="shared" si="85"/>
        <v>2.2727272727272728E-2</v>
      </c>
      <c r="AD239" s="5">
        <f t="shared" si="86"/>
        <v>1</v>
      </c>
      <c r="AE239" s="5">
        <f t="shared" si="87"/>
        <v>1</v>
      </c>
      <c r="AF239" s="5">
        <f t="shared" si="88"/>
        <v>0.66</v>
      </c>
      <c r="AG239" s="5">
        <f t="shared" si="89"/>
        <v>0.53142857142857147</v>
      </c>
    </row>
    <row r="240" spans="1:33">
      <c r="A240" s="4">
        <v>46209</v>
      </c>
      <c r="B240" s="3" t="s">
        <v>63</v>
      </c>
      <c r="C240" s="3">
        <v>7</v>
      </c>
      <c r="D240" s="6">
        <v>366</v>
      </c>
      <c r="E240" s="6">
        <v>428</v>
      </c>
      <c r="F240" s="6">
        <v>560</v>
      </c>
      <c r="G240" s="6">
        <f t="shared" si="69"/>
        <v>355</v>
      </c>
      <c r="H240" s="5">
        <v>1.011154347107992</v>
      </c>
      <c r="I240" s="6">
        <f t="shared" si="70"/>
        <v>359</v>
      </c>
      <c r="J240" s="6">
        <f t="shared" si="90"/>
        <v>30</v>
      </c>
      <c r="K240" s="6">
        <f t="shared" si="71"/>
        <v>389</v>
      </c>
      <c r="L240" s="6">
        <f t="shared" si="72"/>
        <v>389</v>
      </c>
      <c r="M240" s="6">
        <f t="shared" si="73"/>
        <v>39</v>
      </c>
      <c r="N240" s="6">
        <f t="shared" si="74"/>
        <v>0</v>
      </c>
      <c r="O240" s="5">
        <v>0.02</v>
      </c>
      <c r="P240" s="6">
        <f t="shared" si="75"/>
        <v>0</v>
      </c>
      <c r="Q240" s="6">
        <f t="shared" si="76"/>
        <v>0</v>
      </c>
      <c r="R240" s="6">
        <v>66</v>
      </c>
      <c r="S240" s="6">
        <f t="shared" si="77"/>
        <v>373</v>
      </c>
      <c r="T240" s="5">
        <v>1.0191529007806512</v>
      </c>
      <c r="U240" s="6">
        <f t="shared" si="78"/>
        <v>380</v>
      </c>
      <c r="V240" s="6">
        <f t="shared" si="91"/>
        <v>59</v>
      </c>
      <c r="W240" s="6">
        <f t="shared" si="79"/>
        <v>439</v>
      </c>
      <c r="X240" s="6">
        <f t="shared" si="80"/>
        <v>428</v>
      </c>
      <c r="Y240" s="6">
        <f t="shared" si="81"/>
        <v>0</v>
      </c>
      <c r="Z240" s="6">
        <f t="shared" si="82"/>
        <v>11</v>
      </c>
      <c r="AA240" s="6">
        <f t="shared" si="83"/>
        <v>0</v>
      </c>
      <c r="AB240" s="6">
        <f t="shared" si="84"/>
        <v>11</v>
      </c>
      <c r="AC240" s="5">
        <f t="shared" si="85"/>
        <v>0.14485981308411214</v>
      </c>
      <c r="AD240" s="5">
        <f t="shared" si="86"/>
        <v>0.90887850467289721</v>
      </c>
      <c r="AE240" s="5">
        <f t="shared" si="87"/>
        <v>1</v>
      </c>
      <c r="AF240" s="5">
        <f t="shared" si="88"/>
        <v>0.64107142857142863</v>
      </c>
      <c r="AG240" s="5">
        <f t="shared" si="89"/>
        <v>0.6785714285714286</v>
      </c>
    </row>
    <row r="241" spans="1:33">
      <c r="A241" s="4">
        <v>46209</v>
      </c>
      <c r="B241" s="3" t="s">
        <v>64</v>
      </c>
      <c r="C241" s="3">
        <v>5</v>
      </c>
      <c r="D241" s="6">
        <v>150</v>
      </c>
      <c r="E241" s="6">
        <v>153</v>
      </c>
      <c r="F241" s="6">
        <v>230</v>
      </c>
      <c r="G241" s="6">
        <f t="shared" si="69"/>
        <v>146</v>
      </c>
      <c r="H241" s="5">
        <v>1.0124697224895234</v>
      </c>
      <c r="I241" s="6">
        <f t="shared" si="70"/>
        <v>148</v>
      </c>
      <c r="J241" s="6">
        <f t="shared" si="90"/>
        <v>14</v>
      </c>
      <c r="K241" s="6">
        <f t="shared" si="71"/>
        <v>162</v>
      </c>
      <c r="L241" s="6">
        <f t="shared" si="72"/>
        <v>153</v>
      </c>
      <c r="M241" s="6">
        <f t="shared" si="73"/>
        <v>0</v>
      </c>
      <c r="N241" s="6">
        <f t="shared" si="74"/>
        <v>9</v>
      </c>
      <c r="O241" s="5">
        <v>2.5000000000000001E-2</v>
      </c>
      <c r="P241" s="6">
        <f t="shared" si="75"/>
        <v>0</v>
      </c>
      <c r="Q241" s="6">
        <f t="shared" si="76"/>
        <v>9</v>
      </c>
      <c r="R241" s="6">
        <v>30</v>
      </c>
      <c r="S241" s="6">
        <f t="shared" si="77"/>
        <v>142</v>
      </c>
      <c r="T241" s="5">
        <v>1.0061458876153919</v>
      </c>
      <c r="U241" s="6">
        <f t="shared" si="78"/>
        <v>143</v>
      </c>
      <c r="V241" s="6">
        <f t="shared" si="91"/>
        <v>38</v>
      </c>
      <c r="W241" s="6">
        <f t="shared" si="79"/>
        <v>181</v>
      </c>
      <c r="X241" s="6">
        <f t="shared" si="80"/>
        <v>153</v>
      </c>
      <c r="Y241" s="6">
        <f t="shared" si="81"/>
        <v>0</v>
      </c>
      <c r="Z241" s="6">
        <f t="shared" si="82"/>
        <v>28</v>
      </c>
      <c r="AA241" s="6">
        <f t="shared" si="83"/>
        <v>1</v>
      </c>
      <c r="AB241" s="6">
        <f t="shared" si="84"/>
        <v>27</v>
      </c>
      <c r="AC241" s="5">
        <f t="shared" si="85"/>
        <v>1.9607843137254902E-2</v>
      </c>
      <c r="AD241" s="5">
        <f t="shared" si="86"/>
        <v>1</v>
      </c>
      <c r="AE241" s="5">
        <f t="shared" si="87"/>
        <v>1</v>
      </c>
      <c r="AF241" s="5">
        <f t="shared" si="88"/>
        <v>0.64347826086956517</v>
      </c>
      <c r="AG241" s="5">
        <f t="shared" si="89"/>
        <v>0.62173913043478257</v>
      </c>
    </row>
    <row r="242" spans="1:33">
      <c r="A242" s="4">
        <v>46210</v>
      </c>
      <c r="B242" s="3" t="s">
        <v>60</v>
      </c>
      <c r="C242" s="3">
        <v>2</v>
      </c>
      <c r="D242" s="6">
        <v>1694</v>
      </c>
      <c r="E242" s="6">
        <v>1709</v>
      </c>
      <c r="F242" s="6">
        <v>2250</v>
      </c>
      <c r="G242" s="6">
        <f t="shared" si="69"/>
        <v>1643</v>
      </c>
      <c r="H242" s="5">
        <v>1.0090665982278071</v>
      </c>
      <c r="I242" s="6">
        <f t="shared" si="70"/>
        <v>1658</v>
      </c>
      <c r="J242" s="6">
        <f t="shared" si="90"/>
        <v>642</v>
      </c>
      <c r="K242" s="6">
        <f t="shared" si="71"/>
        <v>2300</v>
      </c>
      <c r="L242" s="6">
        <f t="shared" si="72"/>
        <v>1709</v>
      </c>
      <c r="M242" s="6">
        <f t="shared" si="73"/>
        <v>0</v>
      </c>
      <c r="N242" s="6">
        <f t="shared" si="74"/>
        <v>591</v>
      </c>
      <c r="O242" s="5">
        <v>2.5000000000000001E-2</v>
      </c>
      <c r="P242" s="6">
        <f t="shared" si="75"/>
        <v>15</v>
      </c>
      <c r="Q242" s="6">
        <f t="shared" si="76"/>
        <v>576</v>
      </c>
      <c r="R242" s="6">
        <v>203</v>
      </c>
      <c r="S242" s="6">
        <f t="shared" si="77"/>
        <v>1574</v>
      </c>
      <c r="T242" s="5">
        <v>0.98259242785877488</v>
      </c>
      <c r="U242" s="6">
        <f t="shared" si="78"/>
        <v>1547</v>
      </c>
      <c r="V242" s="6">
        <f t="shared" si="91"/>
        <v>323</v>
      </c>
      <c r="W242" s="6">
        <f t="shared" si="79"/>
        <v>1870</v>
      </c>
      <c r="X242" s="6">
        <f t="shared" si="80"/>
        <v>1709</v>
      </c>
      <c r="Y242" s="6">
        <f t="shared" si="81"/>
        <v>0</v>
      </c>
      <c r="Z242" s="6">
        <f t="shared" si="82"/>
        <v>161</v>
      </c>
      <c r="AA242" s="6">
        <f t="shared" si="83"/>
        <v>4</v>
      </c>
      <c r="AB242" s="6">
        <f t="shared" si="84"/>
        <v>157</v>
      </c>
      <c r="AC242" s="5">
        <f t="shared" si="85"/>
        <v>8.777062609713282E-3</v>
      </c>
      <c r="AD242" s="5">
        <f t="shared" si="86"/>
        <v>1</v>
      </c>
      <c r="AE242" s="5">
        <f t="shared" si="87"/>
        <v>1</v>
      </c>
      <c r="AF242" s="5">
        <f t="shared" si="88"/>
        <v>0.73688888888888893</v>
      </c>
      <c r="AG242" s="5">
        <f t="shared" si="89"/>
        <v>0.68755555555555559</v>
      </c>
    </row>
    <row r="243" spans="1:33">
      <c r="A243" s="4">
        <v>46210</v>
      </c>
      <c r="B243" s="3" t="s">
        <v>61</v>
      </c>
      <c r="C243" s="3">
        <v>2</v>
      </c>
      <c r="D243" s="6">
        <v>847</v>
      </c>
      <c r="E243" s="6">
        <v>945</v>
      </c>
      <c r="F243" s="6">
        <v>1200</v>
      </c>
      <c r="G243" s="6">
        <f t="shared" si="69"/>
        <v>822</v>
      </c>
      <c r="H243" s="5">
        <v>1.0122105127725014</v>
      </c>
      <c r="I243" s="6">
        <f t="shared" si="70"/>
        <v>832</v>
      </c>
      <c r="J243" s="6">
        <f t="shared" si="90"/>
        <v>0</v>
      </c>
      <c r="K243" s="6">
        <f t="shared" si="71"/>
        <v>832</v>
      </c>
      <c r="L243" s="6">
        <f t="shared" si="72"/>
        <v>832</v>
      </c>
      <c r="M243" s="6">
        <f t="shared" si="73"/>
        <v>113</v>
      </c>
      <c r="N243" s="6">
        <f t="shared" si="74"/>
        <v>0</v>
      </c>
      <c r="O243" s="5">
        <v>0.03</v>
      </c>
      <c r="P243" s="6">
        <f t="shared" si="75"/>
        <v>0</v>
      </c>
      <c r="Q243" s="6">
        <f t="shared" si="76"/>
        <v>0</v>
      </c>
      <c r="R243" s="6">
        <v>102</v>
      </c>
      <c r="S243" s="6">
        <f t="shared" si="77"/>
        <v>870</v>
      </c>
      <c r="T243" s="5">
        <v>1.0093672515192182</v>
      </c>
      <c r="U243" s="6">
        <f t="shared" si="78"/>
        <v>878</v>
      </c>
      <c r="V243" s="6">
        <f t="shared" si="91"/>
        <v>79</v>
      </c>
      <c r="W243" s="6">
        <f t="shared" si="79"/>
        <v>957</v>
      </c>
      <c r="X243" s="6">
        <f t="shared" si="80"/>
        <v>945</v>
      </c>
      <c r="Y243" s="6">
        <f t="shared" si="81"/>
        <v>0</v>
      </c>
      <c r="Z243" s="6">
        <f t="shared" si="82"/>
        <v>12</v>
      </c>
      <c r="AA243" s="6">
        <f t="shared" si="83"/>
        <v>0</v>
      </c>
      <c r="AB243" s="6">
        <f t="shared" si="84"/>
        <v>12</v>
      </c>
      <c r="AC243" s="5">
        <f t="shared" si="85"/>
        <v>0.1037037037037037</v>
      </c>
      <c r="AD243" s="5">
        <f t="shared" si="86"/>
        <v>0.88042328042328044</v>
      </c>
      <c r="AE243" s="5">
        <f t="shared" si="87"/>
        <v>1</v>
      </c>
      <c r="AF243" s="5">
        <f t="shared" si="88"/>
        <v>0.69333333333333336</v>
      </c>
      <c r="AG243" s="5">
        <f t="shared" si="89"/>
        <v>0.73166666666666669</v>
      </c>
    </row>
    <row r="244" spans="1:33">
      <c r="A244" s="4">
        <v>46210</v>
      </c>
      <c r="B244" s="3" t="s">
        <v>62</v>
      </c>
      <c r="C244" s="3">
        <v>7</v>
      </c>
      <c r="D244" s="6">
        <v>488</v>
      </c>
      <c r="E244" s="6">
        <v>569</v>
      </c>
      <c r="F244" s="6">
        <v>700</v>
      </c>
      <c r="G244" s="6">
        <f t="shared" si="69"/>
        <v>473</v>
      </c>
      <c r="H244" s="5">
        <v>0.98369101616002741</v>
      </c>
      <c r="I244" s="6">
        <f t="shared" si="70"/>
        <v>465</v>
      </c>
      <c r="J244" s="6">
        <f t="shared" si="90"/>
        <v>28</v>
      </c>
      <c r="K244" s="6">
        <f t="shared" si="71"/>
        <v>493</v>
      </c>
      <c r="L244" s="6">
        <f t="shared" si="72"/>
        <v>493</v>
      </c>
      <c r="M244" s="6">
        <f t="shared" si="73"/>
        <v>76</v>
      </c>
      <c r="N244" s="6">
        <f t="shared" si="74"/>
        <v>0</v>
      </c>
      <c r="O244" s="5">
        <v>1.7999999999999999E-2</v>
      </c>
      <c r="P244" s="6">
        <f t="shared" si="75"/>
        <v>0</v>
      </c>
      <c r="Q244" s="6">
        <f t="shared" si="76"/>
        <v>0</v>
      </c>
      <c r="R244" s="6">
        <v>88</v>
      </c>
      <c r="S244" s="6">
        <f t="shared" si="77"/>
        <v>501</v>
      </c>
      <c r="T244" s="5">
        <v>1.0191353310754609</v>
      </c>
      <c r="U244" s="6">
        <f t="shared" si="78"/>
        <v>511</v>
      </c>
      <c r="V244" s="6">
        <f t="shared" si="91"/>
        <v>75</v>
      </c>
      <c r="W244" s="6">
        <f t="shared" si="79"/>
        <v>586</v>
      </c>
      <c r="X244" s="6">
        <f t="shared" si="80"/>
        <v>569</v>
      </c>
      <c r="Y244" s="6">
        <f t="shared" si="81"/>
        <v>0</v>
      </c>
      <c r="Z244" s="6">
        <f t="shared" si="82"/>
        <v>17</v>
      </c>
      <c r="AA244" s="6">
        <f t="shared" si="83"/>
        <v>0</v>
      </c>
      <c r="AB244" s="6">
        <f t="shared" si="84"/>
        <v>17</v>
      </c>
      <c r="AC244" s="5">
        <f t="shared" si="85"/>
        <v>0.14235500878734622</v>
      </c>
      <c r="AD244" s="5">
        <f t="shared" si="86"/>
        <v>0.86643233743409487</v>
      </c>
      <c r="AE244" s="5">
        <f t="shared" si="87"/>
        <v>1</v>
      </c>
      <c r="AF244" s="5">
        <f t="shared" si="88"/>
        <v>0.66428571428571426</v>
      </c>
      <c r="AG244" s="5">
        <f t="shared" si="89"/>
        <v>0.73</v>
      </c>
    </row>
    <row r="245" spans="1:33">
      <c r="A245" s="4">
        <v>46210</v>
      </c>
      <c r="B245" s="3" t="s">
        <v>63</v>
      </c>
      <c r="C245" s="3">
        <v>7</v>
      </c>
      <c r="D245" s="6">
        <v>382</v>
      </c>
      <c r="E245" s="6">
        <v>439</v>
      </c>
      <c r="F245" s="6">
        <v>560</v>
      </c>
      <c r="G245" s="6">
        <f t="shared" si="69"/>
        <v>371</v>
      </c>
      <c r="H245" s="5">
        <v>1.0162014333412468</v>
      </c>
      <c r="I245" s="6">
        <f t="shared" si="70"/>
        <v>377</v>
      </c>
      <c r="J245" s="6">
        <f t="shared" si="90"/>
        <v>0</v>
      </c>
      <c r="K245" s="6">
        <f t="shared" si="71"/>
        <v>377</v>
      </c>
      <c r="L245" s="6">
        <f t="shared" si="72"/>
        <v>377</v>
      </c>
      <c r="M245" s="6">
        <f t="shared" si="73"/>
        <v>62</v>
      </c>
      <c r="N245" s="6">
        <f t="shared" si="74"/>
        <v>0</v>
      </c>
      <c r="O245" s="5">
        <v>0.02</v>
      </c>
      <c r="P245" s="6">
        <f t="shared" si="75"/>
        <v>0</v>
      </c>
      <c r="Q245" s="6">
        <f t="shared" si="76"/>
        <v>0</v>
      </c>
      <c r="R245" s="6">
        <v>69</v>
      </c>
      <c r="S245" s="6">
        <f t="shared" si="77"/>
        <v>440</v>
      </c>
      <c r="T245" s="5">
        <v>0.98816867259100527</v>
      </c>
      <c r="U245" s="6">
        <f t="shared" si="78"/>
        <v>435</v>
      </c>
      <c r="V245" s="6">
        <f t="shared" si="91"/>
        <v>11</v>
      </c>
      <c r="W245" s="6">
        <f t="shared" si="79"/>
        <v>446</v>
      </c>
      <c r="X245" s="6">
        <f t="shared" si="80"/>
        <v>439</v>
      </c>
      <c r="Y245" s="6">
        <f t="shared" si="81"/>
        <v>0</v>
      </c>
      <c r="Z245" s="6">
        <f t="shared" si="82"/>
        <v>7</v>
      </c>
      <c r="AA245" s="6">
        <f t="shared" si="83"/>
        <v>0</v>
      </c>
      <c r="AB245" s="6">
        <f t="shared" si="84"/>
        <v>7</v>
      </c>
      <c r="AC245" s="5">
        <f t="shared" si="85"/>
        <v>0.12984054669703873</v>
      </c>
      <c r="AD245" s="5">
        <f t="shared" si="86"/>
        <v>0.85876993166287019</v>
      </c>
      <c r="AE245" s="5">
        <f t="shared" si="87"/>
        <v>1</v>
      </c>
      <c r="AF245" s="5">
        <f t="shared" si="88"/>
        <v>0.67321428571428577</v>
      </c>
      <c r="AG245" s="5">
        <f t="shared" si="89"/>
        <v>0.7767857142857143</v>
      </c>
    </row>
    <row r="246" spans="1:33">
      <c r="A246" s="4">
        <v>46210</v>
      </c>
      <c r="B246" s="3" t="s">
        <v>64</v>
      </c>
      <c r="C246" s="3">
        <v>5</v>
      </c>
      <c r="D246" s="6">
        <v>155</v>
      </c>
      <c r="E246" s="6">
        <v>172</v>
      </c>
      <c r="F246" s="6">
        <v>230</v>
      </c>
      <c r="G246" s="6">
        <f t="shared" si="69"/>
        <v>150</v>
      </c>
      <c r="H246" s="5">
        <v>0.99818941814904616</v>
      </c>
      <c r="I246" s="6">
        <f t="shared" si="70"/>
        <v>150</v>
      </c>
      <c r="J246" s="6">
        <f t="shared" si="90"/>
        <v>9</v>
      </c>
      <c r="K246" s="6">
        <f t="shared" si="71"/>
        <v>159</v>
      </c>
      <c r="L246" s="6">
        <f t="shared" si="72"/>
        <v>159</v>
      </c>
      <c r="M246" s="6">
        <f t="shared" si="73"/>
        <v>13</v>
      </c>
      <c r="N246" s="6">
        <f t="shared" si="74"/>
        <v>0</v>
      </c>
      <c r="O246" s="5">
        <v>2.5000000000000001E-2</v>
      </c>
      <c r="P246" s="6">
        <f t="shared" si="75"/>
        <v>0</v>
      </c>
      <c r="Q246" s="6">
        <f t="shared" si="76"/>
        <v>0</v>
      </c>
      <c r="R246" s="6">
        <v>31</v>
      </c>
      <c r="S246" s="6">
        <f t="shared" si="77"/>
        <v>159</v>
      </c>
      <c r="T246" s="5">
        <v>1.0016116791276588</v>
      </c>
      <c r="U246" s="6">
        <f t="shared" si="78"/>
        <v>159</v>
      </c>
      <c r="V246" s="6">
        <f t="shared" si="91"/>
        <v>27</v>
      </c>
      <c r="W246" s="6">
        <f t="shared" si="79"/>
        <v>186</v>
      </c>
      <c r="X246" s="6">
        <f t="shared" si="80"/>
        <v>172</v>
      </c>
      <c r="Y246" s="6">
        <f t="shared" si="81"/>
        <v>0</v>
      </c>
      <c r="Z246" s="6">
        <f t="shared" si="82"/>
        <v>14</v>
      </c>
      <c r="AA246" s="6">
        <f t="shared" si="83"/>
        <v>0</v>
      </c>
      <c r="AB246" s="6">
        <f t="shared" si="84"/>
        <v>14</v>
      </c>
      <c r="AC246" s="5">
        <f t="shared" si="85"/>
        <v>9.8837209302325577E-2</v>
      </c>
      <c r="AD246" s="5">
        <f t="shared" si="86"/>
        <v>0.92441860465116277</v>
      </c>
      <c r="AE246" s="5">
        <f t="shared" si="87"/>
        <v>1</v>
      </c>
      <c r="AF246" s="5">
        <f t="shared" si="88"/>
        <v>0.65217391304347827</v>
      </c>
      <c r="AG246" s="5">
        <f t="shared" si="89"/>
        <v>0.69130434782608696</v>
      </c>
    </row>
    <row r="247" spans="1:33">
      <c r="A247" s="4">
        <v>46211</v>
      </c>
      <c r="B247" s="3" t="s">
        <v>60</v>
      </c>
      <c r="C247" s="3">
        <v>2</v>
      </c>
      <c r="D247" s="6">
        <v>1712</v>
      </c>
      <c r="E247" s="6">
        <v>1967</v>
      </c>
      <c r="F247" s="6">
        <v>2250</v>
      </c>
      <c r="G247" s="6">
        <f t="shared" si="69"/>
        <v>1661</v>
      </c>
      <c r="H247" s="5">
        <v>1.0004954838189353</v>
      </c>
      <c r="I247" s="6">
        <f t="shared" si="70"/>
        <v>1662</v>
      </c>
      <c r="J247" s="6">
        <f t="shared" si="90"/>
        <v>576</v>
      </c>
      <c r="K247" s="6">
        <f t="shared" si="71"/>
        <v>2238</v>
      </c>
      <c r="L247" s="6">
        <f t="shared" si="72"/>
        <v>1967</v>
      </c>
      <c r="M247" s="6">
        <f t="shared" si="73"/>
        <v>0</v>
      </c>
      <c r="N247" s="6">
        <f t="shared" si="74"/>
        <v>271</v>
      </c>
      <c r="O247" s="5">
        <v>2.5000000000000001E-2</v>
      </c>
      <c r="P247" s="6">
        <f t="shared" si="75"/>
        <v>7</v>
      </c>
      <c r="Q247" s="6">
        <f t="shared" si="76"/>
        <v>264</v>
      </c>
      <c r="R247" s="6">
        <v>205</v>
      </c>
      <c r="S247" s="6">
        <f t="shared" si="77"/>
        <v>1760</v>
      </c>
      <c r="T247" s="5">
        <v>1.0099780735899446</v>
      </c>
      <c r="U247" s="6">
        <f t="shared" si="78"/>
        <v>1778</v>
      </c>
      <c r="V247" s="6">
        <f t="shared" si="91"/>
        <v>157</v>
      </c>
      <c r="W247" s="6">
        <f t="shared" si="79"/>
        <v>1935</v>
      </c>
      <c r="X247" s="6">
        <f t="shared" si="80"/>
        <v>1935</v>
      </c>
      <c r="Y247" s="6">
        <f t="shared" si="81"/>
        <v>32</v>
      </c>
      <c r="Z247" s="6">
        <f t="shared" si="82"/>
        <v>0</v>
      </c>
      <c r="AA247" s="6">
        <f t="shared" si="83"/>
        <v>0</v>
      </c>
      <c r="AB247" s="6">
        <f t="shared" si="84"/>
        <v>0</v>
      </c>
      <c r="AC247" s="5">
        <f t="shared" si="85"/>
        <v>0.12963904422979156</v>
      </c>
      <c r="AD247" s="5">
        <f t="shared" si="86"/>
        <v>1</v>
      </c>
      <c r="AE247" s="5">
        <f t="shared" si="87"/>
        <v>0.98373157092018304</v>
      </c>
      <c r="AF247" s="5">
        <f t="shared" si="88"/>
        <v>0.73866666666666669</v>
      </c>
      <c r="AG247" s="5">
        <f t="shared" si="89"/>
        <v>0.79022222222222227</v>
      </c>
    </row>
    <row r="248" spans="1:33">
      <c r="A248" s="4">
        <v>46211</v>
      </c>
      <c r="B248" s="3" t="s">
        <v>61</v>
      </c>
      <c r="C248" s="3">
        <v>2</v>
      </c>
      <c r="D248" s="6">
        <v>856</v>
      </c>
      <c r="E248" s="6">
        <v>883</v>
      </c>
      <c r="F248" s="6">
        <v>1200</v>
      </c>
      <c r="G248" s="6">
        <f t="shared" si="69"/>
        <v>830</v>
      </c>
      <c r="H248" s="5">
        <v>1.0101213456865341</v>
      </c>
      <c r="I248" s="6">
        <f t="shared" si="70"/>
        <v>838</v>
      </c>
      <c r="J248" s="6">
        <f t="shared" si="90"/>
        <v>0</v>
      </c>
      <c r="K248" s="6">
        <f t="shared" si="71"/>
        <v>838</v>
      </c>
      <c r="L248" s="6">
        <f t="shared" si="72"/>
        <v>838</v>
      </c>
      <c r="M248" s="6">
        <f t="shared" si="73"/>
        <v>45</v>
      </c>
      <c r="N248" s="6">
        <f t="shared" si="74"/>
        <v>0</v>
      </c>
      <c r="O248" s="5">
        <v>0.03</v>
      </c>
      <c r="P248" s="6">
        <f t="shared" si="75"/>
        <v>0</v>
      </c>
      <c r="Q248" s="6">
        <f t="shared" si="76"/>
        <v>0</v>
      </c>
      <c r="R248" s="6">
        <v>103</v>
      </c>
      <c r="S248" s="6">
        <f t="shared" si="77"/>
        <v>947</v>
      </c>
      <c r="T248" s="5">
        <v>1.0044144819021417</v>
      </c>
      <c r="U248" s="6">
        <f t="shared" si="78"/>
        <v>951</v>
      </c>
      <c r="V248" s="6">
        <f t="shared" si="91"/>
        <v>12</v>
      </c>
      <c r="W248" s="6">
        <f t="shared" si="79"/>
        <v>963</v>
      </c>
      <c r="X248" s="6">
        <f t="shared" si="80"/>
        <v>883</v>
      </c>
      <c r="Y248" s="6">
        <f t="shared" si="81"/>
        <v>0</v>
      </c>
      <c r="Z248" s="6">
        <f t="shared" si="82"/>
        <v>80</v>
      </c>
      <c r="AA248" s="6">
        <f t="shared" si="83"/>
        <v>2</v>
      </c>
      <c r="AB248" s="6">
        <f t="shared" si="84"/>
        <v>78</v>
      </c>
      <c r="AC248" s="5">
        <f t="shared" si="85"/>
        <v>3.0577576443941108E-2</v>
      </c>
      <c r="AD248" s="5">
        <f t="shared" si="86"/>
        <v>0.94903737259343146</v>
      </c>
      <c r="AE248" s="5">
        <f t="shared" si="87"/>
        <v>1</v>
      </c>
      <c r="AF248" s="5">
        <f t="shared" si="88"/>
        <v>0.69833333333333336</v>
      </c>
      <c r="AG248" s="5">
        <f t="shared" si="89"/>
        <v>0.79249999999999998</v>
      </c>
    </row>
    <row r="249" spans="1:33">
      <c r="A249" s="4">
        <v>46211</v>
      </c>
      <c r="B249" s="3" t="s">
        <v>62</v>
      </c>
      <c r="C249" s="3">
        <v>7</v>
      </c>
      <c r="D249" s="6">
        <v>498</v>
      </c>
      <c r="E249" s="6">
        <v>449</v>
      </c>
      <c r="F249" s="6">
        <v>700</v>
      </c>
      <c r="G249" s="6">
        <f t="shared" si="69"/>
        <v>483</v>
      </c>
      <c r="H249" s="5">
        <v>0.98226912478461326</v>
      </c>
      <c r="I249" s="6">
        <f t="shared" si="70"/>
        <v>474</v>
      </c>
      <c r="J249" s="6">
        <f t="shared" si="90"/>
        <v>0</v>
      </c>
      <c r="K249" s="6">
        <f t="shared" si="71"/>
        <v>474</v>
      </c>
      <c r="L249" s="6">
        <f t="shared" si="72"/>
        <v>449</v>
      </c>
      <c r="M249" s="6">
        <f t="shared" si="73"/>
        <v>0</v>
      </c>
      <c r="N249" s="6">
        <f t="shared" si="74"/>
        <v>25</v>
      </c>
      <c r="O249" s="5">
        <v>1.7999999999999999E-2</v>
      </c>
      <c r="P249" s="6">
        <f t="shared" si="75"/>
        <v>0</v>
      </c>
      <c r="Q249" s="6">
        <f t="shared" si="76"/>
        <v>25</v>
      </c>
      <c r="R249" s="6">
        <v>90</v>
      </c>
      <c r="S249" s="6">
        <f t="shared" si="77"/>
        <v>571</v>
      </c>
      <c r="T249" s="5">
        <v>1.0002782195428916</v>
      </c>
      <c r="U249" s="6">
        <f t="shared" si="78"/>
        <v>571</v>
      </c>
      <c r="V249" s="6">
        <f t="shared" si="91"/>
        <v>17</v>
      </c>
      <c r="W249" s="6">
        <f t="shared" si="79"/>
        <v>588</v>
      </c>
      <c r="X249" s="6">
        <f t="shared" si="80"/>
        <v>449</v>
      </c>
      <c r="Y249" s="6">
        <f t="shared" si="81"/>
        <v>0</v>
      </c>
      <c r="Z249" s="6">
        <f t="shared" si="82"/>
        <v>139</v>
      </c>
      <c r="AA249" s="6">
        <f t="shared" si="83"/>
        <v>3</v>
      </c>
      <c r="AB249" s="6">
        <f t="shared" si="84"/>
        <v>136</v>
      </c>
      <c r="AC249" s="5">
        <f t="shared" si="85"/>
        <v>0.10913140311804009</v>
      </c>
      <c r="AD249" s="5">
        <f t="shared" si="86"/>
        <v>1</v>
      </c>
      <c r="AE249" s="5">
        <f t="shared" si="87"/>
        <v>1</v>
      </c>
      <c r="AF249" s="5">
        <f t="shared" si="88"/>
        <v>0.67714285714285716</v>
      </c>
      <c r="AG249" s="5">
        <f t="shared" si="89"/>
        <v>0.81571428571428573</v>
      </c>
    </row>
    <row r="250" spans="1:33">
      <c r="A250" s="4">
        <v>46211</v>
      </c>
      <c r="B250" s="3" t="s">
        <v>63</v>
      </c>
      <c r="C250" s="3">
        <v>7</v>
      </c>
      <c r="D250" s="6">
        <v>399</v>
      </c>
      <c r="E250" s="6">
        <v>453</v>
      </c>
      <c r="F250" s="6">
        <v>560</v>
      </c>
      <c r="G250" s="6">
        <f t="shared" si="69"/>
        <v>387</v>
      </c>
      <c r="H250" s="5">
        <v>0.99333134456663519</v>
      </c>
      <c r="I250" s="6">
        <f t="shared" si="70"/>
        <v>384</v>
      </c>
      <c r="J250" s="6">
        <f t="shared" si="90"/>
        <v>0</v>
      </c>
      <c r="K250" s="6">
        <f t="shared" si="71"/>
        <v>384</v>
      </c>
      <c r="L250" s="6">
        <f t="shared" si="72"/>
        <v>384</v>
      </c>
      <c r="M250" s="6">
        <f t="shared" si="73"/>
        <v>69</v>
      </c>
      <c r="N250" s="6">
        <f t="shared" si="74"/>
        <v>0</v>
      </c>
      <c r="O250" s="5">
        <v>0.02</v>
      </c>
      <c r="P250" s="6">
        <f t="shared" si="75"/>
        <v>0</v>
      </c>
      <c r="Q250" s="6">
        <f t="shared" si="76"/>
        <v>0</v>
      </c>
      <c r="R250" s="6">
        <v>72</v>
      </c>
      <c r="S250" s="6">
        <f t="shared" si="77"/>
        <v>464</v>
      </c>
      <c r="T250" s="5">
        <v>1.0123837665509374</v>
      </c>
      <c r="U250" s="6">
        <f t="shared" si="78"/>
        <v>470</v>
      </c>
      <c r="V250" s="6">
        <f t="shared" si="91"/>
        <v>7</v>
      </c>
      <c r="W250" s="6">
        <f t="shared" si="79"/>
        <v>477</v>
      </c>
      <c r="X250" s="6">
        <f t="shared" si="80"/>
        <v>453</v>
      </c>
      <c r="Y250" s="6">
        <f t="shared" si="81"/>
        <v>0</v>
      </c>
      <c r="Z250" s="6">
        <f t="shared" si="82"/>
        <v>24</v>
      </c>
      <c r="AA250" s="6">
        <f t="shared" si="83"/>
        <v>0</v>
      </c>
      <c r="AB250" s="6">
        <f t="shared" si="84"/>
        <v>24</v>
      </c>
      <c r="AC250" s="5">
        <f t="shared" si="85"/>
        <v>0.11920529801324503</v>
      </c>
      <c r="AD250" s="5">
        <f t="shared" si="86"/>
        <v>0.84768211920529801</v>
      </c>
      <c r="AE250" s="5">
        <f t="shared" si="87"/>
        <v>1</v>
      </c>
      <c r="AF250" s="5">
        <f t="shared" si="88"/>
        <v>0.68571428571428572</v>
      </c>
      <c r="AG250" s="5">
        <f t="shared" si="89"/>
        <v>0.8392857142857143</v>
      </c>
    </row>
    <row r="251" spans="1:33">
      <c r="A251" s="4">
        <v>46211</v>
      </c>
      <c r="B251" s="3" t="s">
        <v>64</v>
      </c>
      <c r="C251" s="3">
        <v>5</v>
      </c>
      <c r="D251" s="6">
        <v>159</v>
      </c>
      <c r="E251" s="6">
        <v>167</v>
      </c>
      <c r="F251" s="6">
        <v>230</v>
      </c>
      <c r="G251" s="6">
        <f t="shared" si="69"/>
        <v>154</v>
      </c>
      <c r="H251" s="5">
        <v>0.98551288332254483</v>
      </c>
      <c r="I251" s="6">
        <f t="shared" si="70"/>
        <v>152</v>
      </c>
      <c r="J251" s="6">
        <f t="shared" si="90"/>
        <v>0</v>
      </c>
      <c r="K251" s="6">
        <f t="shared" si="71"/>
        <v>152</v>
      </c>
      <c r="L251" s="6">
        <f t="shared" si="72"/>
        <v>152</v>
      </c>
      <c r="M251" s="6">
        <f t="shared" si="73"/>
        <v>15</v>
      </c>
      <c r="N251" s="6">
        <f t="shared" si="74"/>
        <v>0</v>
      </c>
      <c r="O251" s="5">
        <v>2.5000000000000001E-2</v>
      </c>
      <c r="P251" s="6">
        <f t="shared" si="75"/>
        <v>0</v>
      </c>
      <c r="Q251" s="6">
        <f t="shared" si="76"/>
        <v>0</v>
      </c>
      <c r="R251" s="6">
        <v>32</v>
      </c>
      <c r="S251" s="6">
        <f t="shared" si="77"/>
        <v>177</v>
      </c>
      <c r="T251" s="5">
        <v>1.016493278356621</v>
      </c>
      <c r="U251" s="6">
        <f t="shared" si="78"/>
        <v>180</v>
      </c>
      <c r="V251" s="6">
        <f t="shared" si="91"/>
        <v>14</v>
      </c>
      <c r="W251" s="6">
        <f t="shared" si="79"/>
        <v>194</v>
      </c>
      <c r="X251" s="6">
        <f t="shared" si="80"/>
        <v>167</v>
      </c>
      <c r="Y251" s="6">
        <f t="shared" si="81"/>
        <v>0</v>
      </c>
      <c r="Z251" s="6">
        <f t="shared" si="82"/>
        <v>27</v>
      </c>
      <c r="AA251" s="6">
        <f t="shared" si="83"/>
        <v>1</v>
      </c>
      <c r="AB251" s="6">
        <f t="shared" si="84"/>
        <v>26</v>
      </c>
      <c r="AC251" s="5">
        <f t="shared" si="85"/>
        <v>4.790419161676647E-2</v>
      </c>
      <c r="AD251" s="5">
        <f t="shared" si="86"/>
        <v>0.91017964071856283</v>
      </c>
      <c r="AE251" s="5">
        <f t="shared" si="87"/>
        <v>1</v>
      </c>
      <c r="AF251" s="5">
        <f t="shared" si="88"/>
        <v>0.66086956521739126</v>
      </c>
      <c r="AG251" s="5">
        <f t="shared" si="89"/>
        <v>0.78260869565217395</v>
      </c>
    </row>
    <row r="252" spans="1:33">
      <c r="A252" s="4">
        <v>46212</v>
      </c>
      <c r="B252" s="3" t="s">
        <v>60</v>
      </c>
      <c r="C252" s="3">
        <v>2</v>
      </c>
      <c r="D252" s="6">
        <v>1730</v>
      </c>
      <c r="E252" s="6">
        <v>2039</v>
      </c>
      <c r="F252" s="6">
        <v>2250</v>
      </c>
      <c r="G252" s="6">
        <f t="shared" si="69"/>
        <v>1678</v>
      </c>
      <c r="H252" s="5">
        <v>1.0180200131310193</v>
      </c>
      <c r="I252" s="6">
        <f t="shared" si="70"/>
        <v>1708</v>
      </c>
      <c r="J252" s="6">
        <f t="shared" si="90"/>
        <v>264</v>
      </c>
      <c r="K252" s="6">
        <f t="shared" si="71"/>
        <v>1972</v>
      </c>
      <c r="L252" s="6">
        <f t="shared" si="72"/>
        <v>1972</v>
      </c>
      <c r="M252" s="6">
        <f t="shared" si="73"/>
        <v>67</v>
      </c>
      <c r="N252" s="6">
        <f t="shared" si="74"/>
        <v>0</v>
      </c>
      <c r="O252" s="5">
        <v>2.5000000000000001E-2</v>
      </c>
      <c r="P252" s="6">
        <f t="shared" si="75"/>
        <v>0</v>
      </c>
      <c r="Q252" s="6">
        <f t="shared" si="76"/>
        <v>0</v>
      </c>
      <c r="R252" s="6">
        <v>208</v>
      </c>
      <c r="S252" s="6">
        <f t="shared" si="77"/>
        <v>1938</v>
      </c>
      <c r="T252" s="5">
        <v>0.99488276846375734</v>
      </c>
      <c r="U252" s="6">
        <f t="shared" si="78"/>
        <v>1928</v>
      </c>
      <c r="V252" s="6">
        <f t="shared" si="91"/>
        <v>0</v>
      </c>
      <c r="W252" s="6">
        <f t="shared" si="79"/>
        <v>1928</v>
      </c>
      <c r="X252" s="6">
        <f t="shared" si="80"/>
        <v>1928</v>
      </c>
      <c r="Y252" s="6">
        <f t="shared" si="81"/>
        <v>111</v>
      </c>
      <c r="Z252" s="6">
        <f t="shared" si="82"/>
        <v>0</v>
      </c>
      <c r="AA252" s="6">
        <f t="shared" si="83"/>
        <v>0</v>
      </c>
      <c r="AB252" s="6">
        <f t="shared" si="84"/>
        <v>0</v>
      </c>
      <c r="AC252" s="5">
        <f t="shared" si="85"/>
        <v>0.15154487493869545</v>
      </c>
      <c r="AD252" s="5">
        <f t="shared" si="86"/>
        <v>0.96714075527219223</v>
      </c>
      <c r="AE252" s="5">
        <f t="shared" si="87"/>
        <v>0.94556154977930362</v>
      </c>
      <c r="AF252" s="5">
        <f t="shared" si="88"/>
        <v>0.75911111111111107</v>
      </c>
      <c r="AG252" s="5">
        <f t="shared" si="89"/>
        <v>0.85688888888888892</v>
      </c>
    </row>
    <row r="253" spans="1:33">
      <c r="A253" s="4">
        <v>46212</v>
      </c>
      <c r="B253" s="3" t="s">
        <v>61</v>
      </c>
      <c r="C253" s="3">
        <v>2</v>
      </c>
      <c r="D253" s="6">
        <v>865</v>
      </c>
      <c r="E253" s="6">
        <v>817</v>
      </c>
      <c r="F253" s="6">
        <v>1200</v>
      </c>
      <c r="G253" s="6">
        <f t="shared" si="69"/>
        <v>839</v>
      </c>
      <c r="H253" s="5">
        <v>0.9857810345614243</v>
      </c>
      <c r="I253" s="6">
        <f t="shared" si="70"/>
        <v>827</v>
      </c>
      <c r="J253" s="6">
        <f t="shared" si="90"/>
        <v>0</v>
      </c>
      <c r="K253" s="6">
        <f t="shared" si="71"/>
        <v>827</v>
      </c>
      <c r="L253" s="6">
        <f t="shared" si="72"/>
        <v>817</v>
      </c>
      <c r="M253" s="6">
        <f t="shared" si="73"/>
        <v>0</v>
      </c>
      <c r="N253" s="6">
        <f t="shared" si="74"/>
        <v>10</v>
      </c>
      <c r="O253" s="5">
        <v>0.03</v>
      </c>
      <c r="P253" s="6">
        <f t="shared" si="75"/>
        <v>0</v>
      </c>
      <c r="Q253" s="6">
        <f t="shared" si="76"/>
        <v>10</v>
      </c>
      <c r="R253" s="6">
        <v>104</v>
      </c>
      <c r="S253" s="6">
        <f t="shared" si="77"/>
        <v>891</v>
      </c>
      <c r="T253" s="5">
        <v>0.98276567095558687</v>
      </c>
      <c r="U253" s="6">
        <f t="shared" si="78"/>
        <v>876</v>
      </c>
      <c r="V253" s="6">
        <f t="shared" si="91"/>
        <v>78</v>
      </c>
      <c r="W253" s="6">
        <f t="shared" si="79"/>
        <v>954</v>
      </c>
      <c r="X253" s="6">
        <f t="shared" si="80"/>
        <v>817</v>
      </c>
      <c r="Y253" s="6">
        <f t="shared" si="81"/>
        <v>0</v>
      </c>
      <c r="Z253" s="6">
        <f t="shared" si="82"/>
        <v>137</v>
      </c>
      <c r="AA253" s="6">
        <f t="shared" si="83"/>
        <v>4</v>
      </c>
      <c r="AB253" s="6">
        <f t="shared" si="84"/>
        <v>133</v>
      </c>
      <c r="AC253" s="5">
        <f t="shared" si="85"/>
        <v>5.87515299877601E-2</v>
      </c>
      <c r="AD253" s="5">
        <f t="shared" si="86"/>
        <v>1</v>
      </c>
      <c r="AE253" s="5">
        <f t="shared" si="87"/>
        <v>1</v>
      </c>
      <c r="AF253" s="5">
        <f t="shared" si="88"/>
        <v>0.68916666666666671</v>
      </c>
      <c r="AG253" s="5">
        <f t="shared" si="89"/>
        <v>0.73</v>
      </c>
    </row>
    <row r="254" spans="1:33">
      <c r="A254" s="4">
        <v>46212</v>
      </c>
      <c r="B254" s="3" t="s">
        <v>62</v>
      </c>
      <c r="C254" s="3">
        <v>7</v>
      </c>
      <c r="D254" s="6">
        <v>509</v>
      </c>
      <c r="E254" s="6">
        <v>589</v>
      </c>
      <c r="F254" s="6">
        <v>700</v>
      </c>
      <c r="G254" s="6">
        <f t="shared" si="69"/>
        <v>494</v>
      </c>
      <c r="H254" s="5">
        <v>1.0100143904657664</v>
      </c>
      <c r="I254" s="6">
        <f t="shared" si="70"/>
        <v>499</v>
      </c>
      <c r="J254" s="6">
        <f t="shared" si="90"/>
        <v>25</v>
      </c>
      <c r="K254" s="6">
        <f t="shared" si="71"/>
        <v>524</v>
      </c>
      <c r="L254" s="6">
        <f t="shared" si="72"/>
        <v>524</v>
      </c>
      <c r="M254" s="6">
        <f t="shared" si="73"/>
        <v>65</v>
      </c>
      <c r="N254" s="6">
        <f t="shared" si="74"/>
        <v>0</v>
      </c>
      <c r="O254" s="5">
        <v>1.7999999999999999E-2</v>
      </c>
      <c r="P254" s="6">
        <f t="shared" si="75"/>
        <v>0</v>
      </c>
      <c r="Q254" s="6">
        <f t="shared" si="76"/>
        <v>0</v>
      </c>
      <c r="R254" s="6">
        <v>92</v>
      </c>
      <c r="S254" s="6">
        <f t="shared" si="77"/>
        <v>465</v>
      </c>
      <c r="T254" s="5">
        <v>1.0105668397047871</v>
      </c>
      <c r="U254" s="6">
        <f t="shared" si="78"/>
        <v>470</v>
      </c>
      <c r="V254" s="6">
        <f t="shared" si="91"/>
        <v>136</v>
      </c>
      <c r="W254" s="6">
        <f t="shared" si="79"/>
        <v>606</v>
      </c>
      <c r="X254" s="6">
        <f t="shared" si="80"/>
        <v>589</v>
      </c>
      <c r="Y254" s="6">
        <f t="shared" si="81"/>
        <v>0</v>
      </c>
      <c r="Z254" s="6">
        <f t="shared" si="82"/>
        <v>17</v>
      </c>
      <c r="AA254" s="6">
        <f t="shared" si="83"/>
        <v>0</v>
      </c>
      <c r="AB254" s="6">
        <f t="shared" si="84"/>
        <v>17</v>
      </c>
      <c r="AC254" s="5">
        <f t="shared" si="85"/>
        <v>0.13582342954159593</v>
      </c>
      <c r="AD254" s="5">
        <f t="shared" si="86"/>
        <v>0.88964346349745327</v>
      </c>
      <c r="AE254" s="5">
        <f t="shared" si="87"/>
        <v>1</v>
      </c>
      <c r="AF254" s="5">
        <f t="shared" si="88"/>
        <v>0.71285714285714286</v>
      </c>
      <c r="AG254" s="5">
        <f t="shared" si="89"/>
        <v>0.67142857142857137</v>
      </c>
    </row>
    <row r="255" spans="1:33">
      <c r="A255" s="4">
        <v>46212</v>
      </c>
      <c r="B255" s="3" t="s">
        <v>63</v>
      </c>
      <c r="C255" s="3">
        <v>7</v>
      </c>
      <c r="D255" s="6">
        <v>407</v>
      </c>
      <c r="E255" s="6">
        <v>334</v>
      </c>
      <c r="F255" s="6">
        <v>560</v>
      </c>
      <c r="G255" s="6">
        <f t="shared" si="69"/>
        <v>395</v>
      </c>
      <c r="H255" s="5">
        <v>0.9892112252237043</v>
      </c>
      <c r="I255" s="6">
        <f t="shared" si="70"/>
        <v>391</v>
      </c>
      <c r="J255" s="6">
        <f t="shared" si="90"/>
        <v>0</v>
      </c>
      <c r="K255" s="6">
        <f t="shared" si="71"/>
        <v>391</v>
      </c>
      <c r="L255" s="6">
        <f t="shared" si="72"/>
        <v>334</v>
      </c>
      <c r="M255" s="6">
        <f t="shared" si="73"/>
        <v>0</v>
      </c>
      <c r="N255" s="6">
        <f t="shared" si="74"/>
        <v>57</v>
      </c>
      <c r="O255" s="5">
        <v>0.02</v>
      </c>
      <c r="P255" s="6">
        <f t="shared" si="75"/>
        <v>1</v>
      </c>
      <c r="Q255" s="6">
        <f t="shared" si="76"/>
        <v>56</v>
      </c>
      <c r="R255" s="6">
        <v>73</v>
      </c>
      <c r="S255" s="6">
        <f t="shared" si="77"/>
        <v>456</v>
      </c>
      <c r="T255" s="5">
        <v>0.99565603728624008</v>
      </c>
      <c r="U255" s="6">
        <f t="shared" si="78"/>
        <v>454</v>
      </c>
      <c r="V255" s="6">
        <f t="shared" si="91"/>
        <v>24</v>
      </c>
      <c r="W255" s="6">
        <f t="shared" si="79"/>
        <v>478</v>
      </c>
      <c r="X255" s="6">
        <f t="shared" si="80"/>
        <v>334</v>
      </c>
      <c r="Y255" s="6">
        <f t="shared" si="81"/>
        <v>0</v>
      </c>
      <c r="Z255" s="6">
        <f t="shared" si="82"/>
        <v>144</v>
      </c>
      <c r="AA255" s="6">
        <f t="shared" si="83"/>
        <v>3</v>
      </c>
      <c r="AB255" s="6">
        <f t="shared" si="84"/>
        <v>141</v>
      </c>
      <c r="AC255" s="5">
        <f t="shared" si="85"/>
        <v>0.21856287425149701</v>
      </c>
      <c r="AD255" s="5">
        <f t="shared" si="86"/>
        <v>1</v>
      </c>
      <c r="AE255" s="5">
        <f t="shared" si="87"/>
        <v>1</v>
      </c>
      <c r="AF255" s="5">
        <f t="shared" si="88"/>
        <v>0.69821428571428568</v>
      </c>
      <c r="AG255" s="5">
        <f t="shared" si="89"/>
        <v>0.81071428571428572</v>
      </c>
    </row>
    <row r="256" spans="1:33">
      <c r="A256" s="4">
        <v>46212</v>
      </c>
      <c r="B256" s="3" t="s">
        <v>64</v>
      </c>
      <c r="C256" s="3">
        <v>5</v>
      </c>
      <c r="D256" s="6">
        <v>163</v>
      </c>
      <c r="E256" s="6">
        <v>191</v>
      </c>
      <c r="F256" s="6">
        <v>230</v>
      </c>
      <c r="G256" s="6">
        <f t="shared" si="69"/>
        <v>158</v>
      </c>
      <c r="H256" s="5">
        <v>1.0010011431355599</v>
      </c>
      <c r="I256" s="6">
        <f t="shared" si="70"/>
        <v>158</v>
      </c>
      <c r="J256" s="6">
        <f t="shared" si="90"/>
        <v>0</v>
      </c>
      <c r="K256" s="6">
        <f t="shared" si="71"/>
        <v>158</v>
      </c>
      <c r="L256" s="6">
        <f t="shared" si="72"/>
        <v>158</v>
      </c>
      <c r="M256" s="6">
        <f t="shared" si="73"/>
        <v>33</v>
      </c>
      <c r="N256" s="6">
        <f t="shared" si="74"/>
        <v>0</v>
      </c>
      <c r="O256" s="5">
        <v>2.5000000000000001E-2</v>
      </c>
      <c r="P256" s="6">
        <f t="shared" si="75"/>
        <v>0</v>
      </c>
      <c r="Q256" s="6">
        <f t="shared" si="76"/>
        <v>0</v>
      </c>
      <c r="R256" s="6">
        <v>33</v>
      </c>
      <c r="S256" s="6">
        <f t="shared" si="77"/>
        <v>170</v>
      </c>
      <c r="T256" s="5">
        <v>1.0059748574884599</v>
      </c>
      <c r="U256" s="6">
        <f t="shared" si="78"/>
        <v>171</v>
      </c>
      <c r="V256" s="6">
        <f t="shared" si="91"/>
        <v>26</v>
      </c>
      <c r="W256" s="6">
        <f t="shared" si="79"/>
        <v>197</v>
      </c>
      <c r="X256" s="6">
        <f t="shared" si="80"/>
        <v>191</v>
      </c>
      <c r="Y256" s="6">
        <f t="shared" si="81"/>
        <v>0</v>
      </c>
      <c r="Z256" s="6">
        <f t="shared" si="82"/>
        <v>6</v>
      </c>
      <c r="AA256" s="6">
        <f t="shared" si="83"/>
        <v>0</v>
      </c>
      <c r="AB256" s="6">
        <f t="shared" si="84"/>
        <v>6</v>
      </c>
      <c r="AC256" s="5">
        <f t="shared" si="85"/>
        <v>0.14659685863874344</v>
      </c>
      <c r="AD256" s="5">
        <f t="shared" si="86"/>
        <v>0.82722513089005234</v>
      </c>
      <c r="AE256" s="5">
        <f t="shared" si="87"/>
        <v>1</v>
      </c>
      <c r="AF256" s="5">
        <f t="shared" si="88"/>
        <v>0.68695652173913047</v>
      </c>
      <c r="AG256" s="5">
        <f t="shared" si="89"/>
        <v>0.74347826086956526</v>
      </c>
    </row>
    <row r="257" spans="1:33">
      <c r="A257" s="4">
        <v>46213</v>
      </c>
      <c r="B257" s="3" t="s">
        <v>60</v>
      </c>
      <c r="C257" s="3">
        <v>2</v>
      </c>
      <c r="D257" s="6">
        <v>1800</v>
      </c>
      <c r="E257" s="6">
        <v>1496</v>
      </c>
      <c r="F257" s="6">
        <v>2250</v>
      </c>
      <c r="G257" s="6">
        <f t="shared" si="69"/>
        <v>1746</v>
      </c>
      <c r="H257" s="5">
        <v>0.98289668189322932</v>
      </c>
      <c r="I257" s="6">
        <f t="shared" si="70"/>
        <v>1716</v>
      </c>
      <c r="J257" s="6">
        <f t="shared" si="90"/>
        <v>0</v>
      </c>
      <c r="K257" s="6">
        <f t="shared" si="71"/>
        <v>1716</v>
      </c>
      <c r="L257" s="6">
        <f t="shared" si="72"/>
        <v>1496</v>
      </c>
      <c r="M257" s="6">
        <f t="shared" si="73"/>
        <v>0</v>
      </c>
      <c r="N257" s="6">
        <f t="shared" si="74"/>
        <v>220</v>
      </c>
      <c r="O257" s="5">
        <v>2.5000000000000001E-2</v>
      </c>
      <c r="P257" s="6">
        <f t="shared" si="75"/>
        <v>6</v>
      </c>
      <c r="Q257" s="6">
        <f t="shared" si="76"/>
        <v>214</v>
      </c>
      <c r="R257" s="6">
        <v>216</v>
      </c>
      <c r="S257" s="6">
        <f t="shared" si="77"/>
        <v>2016</v>
      </c>
      <c r="T257" s="5">
        <v>1.0050236958739598</v>
      </c>
      <c r="U257" s="6">
        <f t="shared" si="78"/>
        <v>2026</v>
      </c>
      <c r="V257" s="6">
        <f t="shared" si="91"/>
        <v>0</v>
      </c>
      <c r="W257" s="6">
        <f t="shared" si="79"/>
        <v>2026</v>
      </c>
      <c r="X257" s="6">
        <f t="shared" si="80"/>
        <v>1496</v>
      </c>
      <c r="Y257" s="6">
        <f t="shared" si="81"/>
        <v>0</v>
      </c>
      <c r="Z257" s="6">
        <f t="shared" si="82"/>
        <v>530</v>
      </c>
      <c r="AA257" s="6">
        <f t="shared" si="83"/>
        <v>13</v>
      </c>
      <c r="AB257" s="6">
        <f t="shared" si="84"/>
        <v>517</v>
      </c>
      <c r="AC257" s="5">
        <f t="shared" si="85"/>
        <v>0.20320855614973263</v>
      </c>
      <c r="AD257" s="5">
        <f t="shared" si="86"/>
        <v>1</v>
      </c>
      <c r="AE257" s="5">
        <f t="shared" si="87"/>
        <v>1</v>
      </c>
      <c r="AF257" s="5">
        <f t="shared" si="88"/>
        <v>0.76266666666666671</v>
      </c>
      <c r="AG257" s="5">
        <f t="shared" si="89"/>
        <v>0.90044444444444449</v>
      </c>
    </row>
    <row r="258" spans="1:33">
      <c r="A258" s="4">
        <v>46213</v>
      </c>
      <c r="B258" s="3" t="s">
        <v>61</v>
      </c>
      <c r="C258" s="3">
        <v>2</v>
      </c>
      <c r="D258" s="6">
        <v>900</v>
      </c>
      <c r="E258" s="6">
        <v>740</v>
      </c>
      <c r="F258" s="6">
        <v>1200</v>
      </c>
      <c r="G258" s="6">
        <f t="shared" ref="G258:G321" si="92">ROUND(D258*0.97,0)</f>
        <v>873</v>
      </c>
      <c r="H258" s="5">
        <v>0.99752041757129317</v>
      </c>
      <c r="I258" s="6">
        <f t="shared" ref="I258:I321" si="93">MIN(F258,ROUND(G258*H258,0))</f>
        <v>871</v>
      </c>
      <c r="J258" s="6">
        <f t="shared" si="90"/>
        <v>10</v>
      </c>
      <c r="K258" s="6">
        <f t="shared" ref="K258:K321" si="94">I258+J258</f>
        <v>881</v>
      </c>
      <c r="L258" s="6">
        <f t="shared" ref="L258:L321" si="95">MIN(E258,K258)</f>
        <v>740</v>
      </c>
      <c r="M258" s="6">
        <f t="shared" ref="M258:M321" si="96">MAX(E258-K258,0)</f>
        <v>0</v>
      </c>
      <c r="N258" s="6">
        <f t="shared" ref="N258:N321" si="97">MAX(K258-L258,0)</f>
        <v>141</v>
      </c>
      <c r="O258" s="5">
        <v>0.03</v>
      </c>
      <c r="P258" s="6">
        <f t="shared" ref="P258:P321" si="98">MIN(N258,ROUND(N258*O258,0))</f>
        <v>4</v>
      </c>
      <c r="Q258" s="6">
        <f t="shared" ref="Q258:Q321" si="99">N258-P258</f>
        <v>137</v>
      </c>
      <c r="R258" s="6">
        <v>108</v>
      </c>
      <c r="S258" s="6">
        <f t="shared" ref="S258:S321" si="100">MIN(F258,MAX(0,ROUND(D258+R258-V258,0)))</f>
        <v>875</v>
      </c>
      <c r="T258" s="5">
        <v>0.99664500502260844</v>
      </c>
      <c r="U258" s="6">
        <f t="shared" ref="U258:U321" si="101">MIN(F258,MAX(0,ROUND(S258*T258,0)))</f>
        <v>872</v>
      </c>
      <c r="V258" s="6">
        <f t="shared" si="91"/>
        <v>133</v>
      </c>
      <c r="W258" s="6">
        <f t="shared" ref="W258:W321" si="102">U258+V258</f>
        <v>1005</v>
      </c>
      <c r="X258" s="6">
        <f t="shared" ref="X258:X321" si="103">MIN(E258,W258)</f>
        <v>740</v>
      </c>
      <c r="Y258" s="6">
        <f t="shared" ref="Y258:Y321" si="104">MAX(E258-W258,0)</f>
        <v>0</v>
      </c>
      <c r="Z258" s="6">
        <f t="shared" ref="Z258:Z321" si="105">MAX(W258-X258,0)</f>
        <v>265</v>
      </c>
      <c r="AA258" s="6">
        <f t="shared" ref="AA258:AA321" si="106">MIN(Z258,ROUND(Z258*O258,0))</f>
        <v>8</v>
      </c>
      <c r="AB258" s="6">
        <f t="shared" ref="AB258:AB321" si="107">Z258-AA258</f>
        <v>257</v>
      </c>
      <c r="AC258" s="5">
        <f t="shared" ref="AC258:AC321" si="108">IFERROR(ABS(E258-D258)/E258,0)</f>
        <v>0.21621621621621623</v>
      </c>
      <c r="AD258" s="5">
        <f t="shared" ref="AD258:AD321" si="109">IFERROR(L258/E258,1)</f>
        <v>1</v>
      </c>
      <c r="AE258" s="5">
        <f t="shared" ref="AE258:AE321" si="110">IFERROR(X258/E258,1)</f>
        <v>1</v>
      </c>
      <c r="AF258" s="5">
        <f t="shared" ref="AF258:AF321" si="111">IFERROR(I258/F258,0)</f>
        <v>0.72583333333333333</v>
      </c>
      <c r="AG258" s="5">
        <f t="shared" ref="AG258:AG321" si="112">IFERROR(U258/F258,0)</f>
        <v>0.72666666666666668</v>
      </c>
    </row>
    <row r="259" spans="1:33">
      <c r="A259" s="4">
        <v>46213</v>
      </c>
      <c r="B259" s="3" t="s">
        <v>62</v>
      </c>
      <c r="C259" s="3">
        <v>7</v>
      </c>
      <c r="D259" s="6">
        <v>529</v>
      </c>
      <c r="E259" s="6">
        <v>466</v>
      </c>
      <c r="F259" s="6">
        <v>700</v>
      </c>
      <c r="G259" s="6">
        <f t="shared" si="92"/>
        <v>513</v>
      </c>
      <c r="H259" s="5">
        <v>0.99734237501839529</v>
      </c>
      <c r="I259" s="6">
        <f t="shared" si="93"/>
        <v>512</v>
      </c>
      <c r="J259" s="6">
        <f t="shared" si="90"/>
        <v>0</v>
      </c>
      <c r="K259" s="6">
        <f t="shared" si="94"/>
        <v>512</v>
      </c>
      <c r="L259" s="6">
        <f t="shared" si="95"/>
        <v>466</v>
      </c>
      <c r="M259" s="6">
        <f t="shared" si="96"/>
        <v>0</v>
      </c>
      <c r="N259" s="6">
        <f t="shared" si="97"/>
        <v>46</v>
      </c>
      <c r="O259" s="5">
        <v>1.7999999999999999E-2</v>
      </c>
      <c r="P259" s="6">
        <f t="shared" si="98"/>
        <v>1</v>
      </c>
      <c r="Q259" s="6">
        <f t="shared" si="99"/>
        <v>45</v>
      </c>
      <c r="R259" s="6">
        <v>95</v>
      </c>
      <c r="S259" s="6">
        <f t="shared" si="100"/>
        <v>607</v>
      </c>
      <c r="T259" s="5">
        <v>1.0060064040333201</v>
      </c>
      <c r="U259" s="6">
        <f t="shared" si="101"/>
        <v>611</v>
      </c>
      <c r="V259" s="6">
        <f t="shared" si="91"/>
        <v>17</v>
      </c>
      <c r="W259" s="6">
        <f t="shared" si="102"/>
        <v>628</v>
      </c>
      <c r="X259" s="6">
        <f t="shared" si="103"/>
        <v>466</v>
      </c>
      <c r="Y259" s="6">
        <f t="shared" si="104"/>
        <v>0</v>
      </c>
      <c r="Z259" s="6">
        <f t="shared" si="105"/>
        <v>162</v>
      </c>
      <c r="AA259" s="6">
        <f t="shared" si="106"/>
        <v>3</v>
      </c>
      <c r="AB259" s="6">
        <f t="shared" si="107"/>
        <v>159</v>
      </c>
      <c r="AC259" s="5">
        <f t="shared" si="108"/>
        <v>0.13519313304721031</v>
      </c>
      <c r="AD259" s="5">
        <f t="shared" si="109"/>
        <v>1</v>
      </c>
      <c r="AE259" s="5">
        <f t="shared" si="110"/>
        <v>1</v>
      </c>
      <c r="AF259" s="5">
        <f t="shared" si="111"/>
        <v>0.73142857142857143</v>
      </c>
      <c r="AG259" s="5">
        <f t="shared" si="112"/>
        <v>0.87285714285714289</v>
      </c>
    </row>
    <row r="260" spans="1:33">
      <c r="A260" s="4">
        <v>46213</v>
      </c>
      <c r="B260" s="3" t="s">
        <v>63</v>
      </c>
      <c r="C260" s="3">
        <v>7</v>
      </c>
      <c r="D260" s="6">
        <v>423</v>
      </c>
      <c r="E260" s="6">
        <v>452</v>
      </c>
      <c r="F260" s="6">
        <v>560</v>
      </c>
      <c r="G260" s="6">
        <f t="shared" si="92"/>
        <v>410</v>
      </c>
      <c r="H260" s="5">
        <v>0.9990511315865912</v>
      </c>
      <c r="I260" s="6">
        <f t="shared" si="93"/>
        <v>410</v>
      </c>
      <c r="J260" s="6">
        <f t="shared" si="90"/>
        <v>56</v>
      </c>
      <c r="K260" s="6">
        <f t="shared" si="94"/>
        <v>466</v>
      </c>
      <c r="L260" s="6">
        <f t="shared" si="95"/>
        <v>452</v>
      </c>
      <c r="M260" s="6">
        <f t="shared" si="96"/>
        <v>0</v>
      </c>
      <c r="N260" s="6">
        <f t="shared" si="97"/>
        <v>14</v>
      </c>
      <c r="O260" s="5">
        <v>0.02</v>
      </c>
      <c r="P260" s="6">
        <f t="shared" si="98"/>
        <v>0</v>
      </c>
      <c r="Q260" s="6">
        <f t="shared" si="99"/>
        <v>14</v>
      </c>
      <c r="R260" s="6">
        <v>76</v>
      </c>
      <c r="S260" s="6">
        <f t="shared" si="100"/>
        <v>358</v>
      </c>
      <c r="T260" s="5">
        <v>0.99771600354195011</v>
      </c>
      <c r="U260" s="6">
        <f t="shared" si="101"/>
        <v>357</v>
      </c>
      <c r="V260" s="6">
        <f t="shared" si="91"/>
        <v>141</v>
      </c>
      <c r="W260" s="6">
        <f t="shared" si="102"/>
        <v>498</v>
      </c>
      <c r="X260" s="6">
        <f t="shared" si="103"/>
        <v>452</v>
      </c>
      <c r="Y260" s="6">
        <f t="shared" si="104"/>
        <v>0</v>
      </c>
      <c r="Z260" s="6">
        <f t="shared" si="105"/>
        <v>46</v>
      </c>
      <c r="AA260" s="6">
        <f t="shared" si="106"/>
        <v>1</v>
      </c>
      <c r="AB260" s="6">
        <f t="shared" si="107"/>
        <v>45</v>
      </c>
      <c r="AC260" s="5">
        <f t="shared" si="108"/>
        <v>6.4159292035398233E-2</v>
      </c>
      <c r="AD260" s="5">
        <f t="shared" si="109"/>
        <v>1</v>
      </c>
      <c r="AE260" s="5">
        <f t="shared" si="110"/>
        <v>1</v>
      </c>
      <c r="AF260" s="5">
        <f t="shared" si="111"/>
        <v>0.7321428571428571</v>
      </c>
      <c r="AG260" s="5">
        <f t="shared" si="112"/>
        <v>0.63749999999999996</v>
      </c>
    </row>
    <row r="261" spans="1:33">
      <c r="A261" s="4">
        <v>46213</v>
      </c>
      <c r="B261" s="3" t="s">
        <v>64</v>
      </c>
      <c r="C261" s="3">
        <v>5</v>
      </c>
      <c r="D261" s="6">
        <v>169</v>
      </c>
      <c r="E261" s="6">
        <v>198</v>
      </c>
      <c r="F261" s="6">
        <v>230</v>
      </c>
      <c r="G261" s="6">
        <f t="shared" si="92"/>
        <v>164</v>
      </c>
      <c r="H261" s="5">
        <v>1.014797011213399</v>
      </c>
      <c r="I261" s="6">
        <f t="shared" si="93"/>
        <v>166</v>
      </c>
      <c r="J261" s="6">
        <f t="shared" si="90"/>
        <v>0</v>
      </c>
      <c r="K261" s="6">
        <f t="shared" si="94"/>
        <v>166</v>
      </c>
      <c r="L261" s="6">
        <f t="shared" si="95"/>
        <v>166</v>
      </c>
      <c r="M261" s="6">
        <f t="shared" si="96"/>
        <v>32</v>
      </c>
      <c r="N261" s="6">
        <f t="shared" si="97"/>
        <v>0</v>
      </c>
      <c r="O261" s="5">
        <v>2.5000000000000001E-2</v>
      </c>
      <c r="P261" s="6">
        <f t="shared" si="98"/>
        <v>0</v>
      </c>
      <c r="Q261" s="6">
        <f t="shared" si="99"/>
        <v>0</v>
      </c>
      <c r="R261" s="6">
        <v>34</v>
      </c>
      <c r="S261" s="6">
        <f t="shared" si="100"/>
        <v>197</v>
      </c>
      <c r="T261" s="5">
        <v>0.9813327172435391</v>
      </c>
      <c r="U261" s="6">
        <f t="shared" si="101"/>
        <v>193</v>
      </c>
      <c r="V261" s="6">
        <f t="shared" si="91"/>
        <v>6</v>
      </c>
      <c r="W261" s="6">
        <f t="shared" si="102"/>
        <v>199</v>
      </c>
      <c r="X261" s="6">
        <f t="shared" si="103"/>
        <v>198</v>
      </c>
      <c r="Y261" s="6">
        <f t="shared" si="104"/>
        <v>0</v>
      </c>
      <c r="Z261" s="6">
        <f t="shared" si="105"/>
        <v>1</v>
      </c>
      <c r="AA261" s="6">
        <f t="shared" si="106"/>
        <v>0</v>
      </c>
      <c r="AB261" s="6">
        <f t="shared" si="107"/>
        <v>1</v>
      </c>
      <c r="AC261" s="5">
        <f t="shared" si="108"/>
        <v>0.14646464646464646</v>
      </c>
      <c r="AD261" s="5">
        <f t="shared" si="109"/>
        <v>0.83838383838383834</v>
      </c>
      <c r="AE261" s="5">
        <f t="shared" si="110"/>
        <v>1</v>
      </c>
      <c r="AF261" s="5">
        <f t="shared" si="111"/>
        <v>0.72173913043478266</v>
      </c>
      <c r="AG261" s="5">
        <f t="shared" si="112"/>
        <v>0.83913043478260874</v>
      </c>
    </row>
    <row r="262" spans="1:33">
      <c r="A262" s="4">
        <v>46214</v>
      </c>
      <c r="B262" s="3" t="s">
        <v>60</v>
      </c>
      <c r="C262" s="3">
        <v>2</v>
      </c>
      <c r="D262" s="6">
        <v>1973</v>
      </c>
      <c r="E262" s="6">
        <v>2162</v>
      </c>
      <c r="F262" s="6">
        <v>2250</v>
      </c>
      <c r="G262" s="6">
        <f t="shared" si="92"/>
        <v>1914</v>
      </c>
      <c r="H262" s="5">
        <v>1.007162484644903</v>
      </c>
      <c r="I262" s="6">
        <f t="shared" si="93"/>
        <v>1928</v>
      </c>
      <c r="J262" s="6">
        <f t="shared" si="90"/>
        <v>214</v>
      </c>
      <c r="K262" s="6">
        <f t="shared" si="94"/>
        <v>2142</v>
      </c>
      <c r="L262" s="6">
        <f t="shared" si="95"/>
        <v>2142</v>
      </c>
      <c r="M262" s="6">
        <f t="shared" si="96"/>
        <v>20</v>
      </c>
      <c r="N262" s="6">
        <f t="shared" si="97"/>
        <v>0</v>
      </c>
      <c r="O262" s="5">
        <v>2.5000000000000001E-2</v>
      </c>
      <c r="P262" s="6">
        <f t="shared" si="98"/>
        <v>0</v>
      </c>
      <c r="Q262" s="6">
        <f t="shared" si="99"/>
        <v>0</v>
      </c>
      <c r="R262" s="6">
        <v>237</v>
      </c>
      <c r="S262" s="6">
        <f t="shared" si="100"/>
        <v>1693</v>
      </c>
      <c r="T262" s="5">
        <v>0.99434742374455443</v>
      </c>
      <c r="U262" s="6">
        <f t="shared" si="101"/>
        <v>1683</v>
      </c>
      <c r="V262" s="6">
        <f t="shared" si="91"/>
        <v>517</v>
      </c>
      <c r="W262" s="6">
        <f t="shared" si="102"/>
        <v>2200</v>
      </c>
      <c r="X262" s="6">
        <f t="shared" si="103"/>
        <v>2162</v>
      </c>
      <c r="Y262" s="6">
        <f t="shared" si="104"/>
        <v>0</v>
      </c>
      <c r="Z262" s="6">
        <f t="shared" si="105"/>
        <v>38</v>
      </c>
      <c r="AA262" s="6">
        <f t="shared" si="106"/>
        <v>1</v>
      </c>
      <c r="AB262" s="6">
        <f t="shared" si="107"/>
        <v>37</v>
      </c>
      <c r="AC262" s="5">
        <f t="shared" si="108"/>
        <v>8.7419056429232186E-2</v>
      </c>
      <c r="AD262" s="5">
        <f t="shared" si="109"/>
        <v>0.99074930619796486</v>
      </c>
      <c r="AE262" s="5">
        <f t="shared" si="110"/>
        <v>1</v>
      </c>
      <c r="AF262" s="5">
        <f t="shared" si="111"/>
        <v>0.85688888888888892</v>
      </c>
      <c r="AG262" s="5">
        <f t="shared" si="112"/>
        <v>0.748</v>
      </c>
    </row>
    <row r="263" spans="1:33">
      <c r="A263" s="4">
        <v>46214</v>
      </c>
      <c r="B263" s="3" t="s">
        <v>61</v>
      </c>
      <c r="C263" s="3">
        <v>2</v>
      </c>
      <c r="D263" s="6">
        <v>987</v>
      </c>
      <c r="E263" s="6">
        <v>945</v>
      </c>
      <c r="F263" s="6">
        <v>1200</v>
      </c>
      <c r="G263" s="6">
        <f t="shared" si="92"/>
        <v>957</v>
      </c>
      <c r="H263" s="5">
        <v>0.98389749473412291</v>
      </c>
      <c r="I263" s="6">
        <f t="shared" si="93"/>
        <v>942</v>
      </c>
      <c r="J263" s="6">
        <f t="shared" ref="J263:J326" si="113">Q258</f>
        <v>137</v>
      </c>
      <c r="K263" s="6">
        <f t="shared" si="94"/>
        <v>1079</v>
      </c>
      <c r="L263" s="6">
        <f t="shared" si="95"/>
        <v>945</v>
      </c>
      <c r="M263" s="6">
        <f t="shared" si="96"/>
        <v>0</v>
      </c>
      <c r="N263" s="6">
        <f t="shared" si="97"/>
        <v>134</v>
      </c>
      <c r="O263" s="5">
        <v>0.03</v>
      </c>
      <c r="P263" s="6">
        <f t="shared" si="98"/>
        <v>4</v>
      </c>
      <c r="Q263" s="6">
        <f t="shared" si="99"/>
        <v>130</v>
      </c>
      <c r="R263" s="6">
        <v>118</v>
      </c>
      <c r="S263" s="6">
        <f t="shared" si="100"/>
        <v>848</v>
      </c>
      <c r="T263" s="5">
        <v>0.99667590630982916</v>
      </c>
      <c r="U263" s="6">
        <f t="shared" si="101"/>
        <v>845</v>
      </c>
      <c r="V263" s="6">
        <f t="shared" ref="V263:V326" si="114">AB258</f>
        <v>257</v>
      </c>
      <c r="W263" s="6">
        <f t="shared" si="102"/>
        <v>1102</v>
      </c>
      <c r="X263" s="6">
        <f t="shared" si="103"/>
        <v>945</v>
      </c>
      <c r="Y263" s="6">
        <f t="shared" si="104"/>
        <v>0</v>
      </c>
      <c r="Z263" s="6">
        <f t="shared" si="105"/>
        <v>157</v>
      </c>
      <c r="AA263" s="6">
        <f t="shared" si="106"/>
        <v>5</v>
      </c>
      <c r="AB263" s="6">
        <f t="shared" si="107"/>
        <v>152</v>
      </c>
      <c r="AC263" s="5">
        <f t="shared" si="108"/>
        <v>4.4444444444444446E-2</v>
      </c>
      <c r="AD263" s="5">
        <f t="shared" si="109"/>
        <v>1</v>
      </c>
      <c r="AE263" s="5">
        <f t="shared" si="110"/>
        <v>1</v>
      </c>
      <c r="AF263" s="5">
        <f t="shared" si="111"/>
        <v>0.78500000000000003</v>
      </c>
      <c r="AG263" s="5">
        <f t="shared" si="112"/>
        <v>0.70416666666666672</v>
      </c>
    </row>
    <row r="264" spans="1:33">
      <c r="A264" s="4">
        <v>46214</v>
      </c>
      <c r="B264" s="3" t="s">
        <v>62</v>
      </c>
      <c r="C264" s="3">
        <v>7</v>
      </c>
      <c r="D264" s="6">
        <v>580</v>
      </c>
      <c r="E264" s="6">
        <v>583</v>
      </c>
      <c r="F264" s="6">
        <v>700</v>
      </c>
      <c r="G264" s="6">
        <f t="shared" si="92"/>
        <v>563</v>
      </c>
      <c r="H264" s="5">
        <v>1.0032093089737621</v>
      </c>
      <c r="I264" s="6">
        <f t="shared" si="93"/>
        <v>565</v>
      </c>
      <c r="J264" s="6">
        <f t="shared" si="113"/>
        <v>45</v>
      </c>
      <c r="K264" s="6">
        <f t="shared" si="94"/>
        <v>610</v>
      </c>
      <c r="L264" s="6">
        <f t="shared" si="95"/>
        <v>583</v>
      </c>
      <c r="M264" s="6">
        <f t="shared" si="96"/>
        <v>0</v>
      </c>
      <c r="N264" s="6">
        <f t="shared" si="97"/>
        <v>27</v>
      </c>
      <c r="O264" s="5">
        <v>1.7999999999999999E-2</v>
      </c>
      <c r="P264" s="6">
        <f t="shared" si="98"/>
        <v>0</v>
      </c>
      <c r="Q264" s="6">
        <f t="shared" si="99"/>
        <v>27</v>
      </c>
      <c r="R264" s="6">
        <v>104</v>
      </c>
      <c r="S264" s="6">
        <f t="shared" si="100"/>
        <v>525</v>
      </c>
      <c r="T264" s="5">
        <v>0.99812101195272063</v>
      </c>
      <c r="U264" s="6">
        <f t="shared" si="101"/>
        <v>524</v>
      </c>
      <c r="V264" s="6">
        <f t="shared" si="114"/>
        <v>159</v>
      </c>
      <c r="W264" s="6">
        <f t="shared" si="102"/>
        <v>683</v>
      </c>
      <c r="X264" s="6">
        <f t="shared" si="103"/>
        <v>583</v>
      </c>
      <c r="Y264" s="6">
        <f t="shared" si="104"/>
        <v>0</v>
      </c>
      <c r="Z264" s="6">
        <f t="shared" si="105"/>
        <v>100</v>
      </c>
      <c r="AA264" s="6">
        <f t="shared" si="106"/>
        <v>2</v>
      </c>
      <c r="AB264" s="6">
        <f t="shared" si="107"/>
        <v>98</v>
      </c>
      <c r="AC264" s="5">
        <f t="shared" si="108"/>
        <v>5.1457975986277877E-3</v>
      </c>
      <c r="AD264" s="5">
        <f t="shared" si="109"/>
        <v>1</v>
      </c>
      <c r="AE264" s="5">
        <f t="shared" si="110"/>
        <v>1</v>
      </c>
      <c r="AF264" s="5">
        <f t="shared" si="111"/>
        <v>0.80714285714285716</v>
      </c>
      <c r="AG264" s="5">
        <f t="shared" si="112"/>
        <v>0.74857142857142855</v>
      </c>
    </row>
    <row r="265" spans="1:33">
      <c r="A265" s="4">
        <v>46214</v>
      </c>
      <c r="B265" s="3" t="s">
        <v>63</v>
      </c>
      <c r="C265" s="3">
        <v>7</v>
      </c>
      <c r="D265" s="6">
        <v>460</v>
      </c>
      <c r="E265" s="6">
        <v>433</v>
      </c>
      <c r="F265" s="6">
        <v>560</v>
      </c>
      <c r="G265" s="6">
        <f t="shared" si="92"/>
        <v>446</v>
      </c>
      <c r="H265" s="5">
        <v>0.99892270148609874</v>
      </c>
      <c r="I265" s="6">
        <f t="shared" si="93"/>
        <v>446</v>
      </c>
      <c r="J265" s="6">
        <f t="shared" si="113"/>
        <v>14</v>
      </c>
      <c r="K265" s="6">
        <f t="shared" si="94"/>
        <v>460</v>
      </c>
      <c r="L265" s="6">
        <f t="shared" si="95"/>
        <v>433</v>
      </c>
      <c r="M265" s="6">
        <f t="shared" si="96"/>
        <v>0</v>
      </c>
      <c r="N265" s="6">
        <f t="shared" si="97"/>
        <v>27</v>
      </c>
      <c r="O265" s="5">
        <v>0.02</v>
      </c>
      <c r="P265" s="6">
        <f t="shared" si="98"/>
        <v>1</v>
      </c>
      <c r="Q265" s="6">
        <f t="shared" si="99"/>
        <v>26</v>
      </c>
      <c r="R265" s="6">
        <v>83</v>
      </c>
      <c r="S265" s="6">
        <f t="shared" si="100"/>
        <v>498</v>
      </c>
      <c r="T265" s="5">
        <v>0.99016823845303537</v>
      </c>
      <c r="U265" s="6">
        <f t="shared" si="101"/>
        <v>493</v>
      </c>
      <c r="V265" s="6">
        <f t="shared" si="114"/>
        <v>45</v>
      </c>
      <c r="W265" s="6">
        <f t="shared" si="102"/>
        <v>538</v>
      </c>
      <c r="X265" s="6">
        <f t="shared" si="103"/>
        <v>433</v>
      </c>
      <c r="Y265" s="6">
        <f t="shared" si="104"/>
        <v>0</v>
      </c>
      <c r="Z265" s="6">
        <f t="shared" si="105"/>
        <v>105</v>
      </c>
      <c r="AA265" s="6">
        <f t="shared" si="106"/>
        <v>2</v>
      </c>
      <c r="AB265" s="6">
        <f t="shared" si="107"/>
        <v>103</v>
      </c>
      <c r="AC265" s="5">
        <f t="shared" si="108"/>
        <v>6.2355658198614321E-2</v>
      </c>
      <c r="AD265" s="5">
        <f t="shared" si="109"/>
        <v>1</v>
      </c>
      <c r="AE265" s="5">
        <f t="shared" si="110"/>
        <v>1</v>
      </c>
      <c r="AF265" s="5">
        <f t="shared" si="111"/>
        <v>0.79642857142857137</v>
      </c>
      <c r="AG265" s="5">
        <f t="shared" si="112"/>
        <v>0.88035714285714284</v>
      </c>
    </row>
    <row r="266" spans="1:33">
      <c r="A266" s="4">
        <v>46214</v>
      </c>
      <c r="B266" s="3" t="s">
        <v>64</v>
      </c>
      <c r="C266" s="3">
        <v>5</v>
      </c>
      <c r="D266" s="6">
        <v>182</v>
      </c>
      <c r="E266" s="6">
        <v>165</v>
      </c>
      <c r="F266" s="6">
        <v>230</v>
      </c>
      <c r="G266" s="6">
        <f t="shared" si="92"/>
        <v>177</v>
      </c>
      <c r="H266" s="5">
        <v>1.003646094556482</v>
      </c>
      <c r="I266" s="6">
        <f t="shared" si="93"/>
        <v>178</v>
      </c>
      <c r="J266" s="6">
        <f t="shared" si="113"/>
        <v>0</v>
      </c>
      <c r="K266" s="6">
        <f t="shared" si="94"/>
        <v>178</v>
      </c>
      <c r="L266" s="6">
        <f t="shared" si="95"/>
        <v>165</v>
      </c>
      <c r="M266" s="6">
        <f t="shared" si="96"/>
        <v>0</v>
      </c>
      <c r="N266" s="6">
        <f t="shared" si="97"/>
        <v>13</v>
      </c>
      <c r="O266" s="5">
        <v>2.5000000000000001E-2</v>
      </c>
      <c r="P266" s="6">
        <f t="shared" si="98"/>
        <v>0</v>
      </c>
      <c r="Q266" s="6">
        <f t="shared" si="99"/>
        <v>13</v>
      </c>
      <c r="R266" s="6">
        <v>36</v>
      </c>
      <c r="S266" s="6">
        <f t="shared" si="100"/>
        <v>217</v>
      </c>
      <c r="T266" s="5">
        <v>0.98979607008149029</v>
      </c>
      <c r="U266" s="6">
        <f t="shared" si="101"/>
        <v>215</v>
      </c>
      <c r="V266" s="6">
        <f t="shared" si="114"/>
        <v>1</v>
      </c>
      <c r="W266" s="6">
        <f t="shared" si="102"/>
        <v>216</v>
      </c>
      <c r="X266" s="6">
        <f t="shared" si="103"/>
        <v>165</v>
      </c>
      <c r="Y266" s="6">
        <f t="shared" si="104"/>
        <v>0</v>
      </c>
      <c r="Z266" s="6">
        <f t="shared" si="105"/>
        <v>51</v>
      </c>
      <c r="AA266" s="6">
        <f t="shared" si="106"/>
        <v>1</v>
      </c>
      <c r="AB266" s="6">
        <f t="shared" si="107"/>
        <v>50</v>
      </c>
      <c r="AC266" s="5">
        <f t="shared" si="108"/>
        <v>0.10303030303030303</v>
      </c>
      <c r="AD266" s="5">
        <f t="shared" si="109"/>
        <v>1</v>
      </c>
      <c r="AE266" s="5">
        <f t="shared" si="110"/>
        <v>1</v>
      </c>
      <c r="AF266" s="5">
        <f t="shared" si="111"/>
        <v>0.77391304347826084</v>
      </c>
      <c r="AG266" s="5">
        <f t="shared" si="112"/>
        <v>0.93478260869565222</v>
      </c>
    </row>
    <row r="267" spans="1:33">
      <c r="A267" s="4">
        <v>46215</v>
      </c>
      <c r="B267" s="3" t="s">
        <v>60</v>
      </c>
      <c r="C267" s="3">
        <v>2</v>
      </c>
      <c r="D267" s="6">
        <v>1939</v>
      </c>
      <c r="E267" s="6">
        <v>2090</v>
      </c>
      <c r="F267" s="6">
        <v>2250</v>
      </c>
      <c r="G267" s="6">
        <f t="shared" si="92"/>
        <v>1881</v>
      </c>
      <c r="H267" s="5">
        <v>1.0045718327415134</v>
      </c>
      <c r="I267" s="6">
        <f t="shared" si="93"/>
        <v>1890</v>
      </c>
      <c r="J267" s="6">
        <f t="shared" si="113"/>
        <v>0</v>
      </c>
      <c r="K267" s="6">
        <f t="shared" si="94"/>
        <v>1890</v>
      </c>
      <c r="L267" s="6">
        <f t="shared" si="95"/>
        <v>1890</v>
      </c>
      <c r="M267" s="6">
        <f t="shared" si="96"/>
        <v>200</v>
      </c>
      <c r="N267" s="6">
        <f t="shared" si="97"/>
        <v>0</v>
      </c>
      <c r="O267" s="5">
        <v>2.5000000000000001E-2</v>
      </c>
      <c r="P267" s="6">
        <f t="shared" si="98"/>
        <v>0</v>
      </c>
      <c r="Q267" s="6">
        <f t="shared" si="99"/>
        <v>0</v>
      </c>
      <c r="R267" s="6">
        <v>233</v>
      </c>
      <c r="S267" s="6">
        <f t="shared" si="100"/>
        <v>2135</v>
      </c>
      <c r="T267" s="5">
        <v>0.98865131500596826</v>
      </c>
      <c r="U267" s="6">
        <f t="shared" si="101"/>
        <v>2111</v>
      </c>
      <c r="V267" s="6">
        <f t="shared" si="114"/>
        <v>37</v>
      </c>
      <c r="W267" s="6">
        <f t="shared" si="102"/>
        <v>2148</v>
      </c>
      <c r="X267" s="6">
        <f t="shared" si="103"/>
        <v>2090</v>
      </c>
      <c r="Y267" s="6">
        <f t="shared" si="104"/>
        <v>0</v>
      </c>
      <c r="Z267" s="6">
        <f t="shared" si="105"/>
        <v>58</v>
      </c>
      <c r="AA267" s="6">
        <f t="shared" si="106"/>
        <v>1</v>
      </c>
      <c r="AB267" s="6">
        <f t="shared" si="107"/>
        <v>57</v>
      </c>
      <c r="AC267" s="5">
        <f t="shared" si="108"/>
        <v>7.2248803827751201E-2</v>
      </c>
      <c r="AD267" s="5">
        <f t="shared" si="109"/>
        <v>0.90430622009569372</v>
      </c>
      <c r="AE267" s="5">
        <f t="shared" si="110"/>
        <v>1</v>
      </c>
      <c r="AF267" s="5">
        <f t="shared" si="111"/>
        <v>0.84</v>
      </c>
      <c r="AG267" s="5">
        <f t="shared" si="112"/>
        <v>0.93822222222222218</v>
      </c>
    </row>
    <row r="268" spans="1:33">
      <c r="A268" s="4">
        <v>46215</v>
      </c>
      <c r="B268" s="3" t="s">
        <v>61</v>
      </c>
      <c r="C268" s="3">
        <v>2</v>
      </c>
      <c r="D268" s="6">
        <v>970</v>
      </c>
      <c r="E268" s="6">
        <v>1045</v>
      </c>
      <c r="F268" s="6">
        <v>1200</v>
      </c>
      <c r="G268" s="6">
        <f t="shared" si="92"/>
        <v>941</v>
      </c>
      <c r="H268" s="5">
        <v>0.98391087551825751</v>
      </c>
      <c r="I268" s="6">
        <f t="shared" si="93"/>
        <v>926</v>
      </c>
      <c r="J268" s="6">
        <f t="shared" si="113"/>
        <v>130</v>
      </c>
      <c r="K268" s="6">
        <f t="shared" si="94"/>
        <v>1056</v>
      </c>
      <c r="L268" s="6">
        <f t="shared" si="95"/>
        <v>1045</v>
      </c>
      <c r="M268" s="6">
        <f t="shared" si="96"/>
        <v>0</v>
      </c>
      <c r="N268" s="6">
        <f t="shared" si="97"/>
        <v>11</v>
      </c>
      <c r="O268" s="5">
        <v>0.03</v>
      </c>
      <c r="P268" s="6">
        <f t="shared" si="98"/>
        <v>0</v>
      </c>
      <c r="Q268" s="6">
        <f t="shared" si="99"/>
        <v>11</v>
      </c>
      <c r="R268" s="6">
        <v>116</v>
      </c>
      <c r="S268" s="6">
        <f t="shared" si="100"/>
        <v>934</v>
      </c>
      <c r="T268" s="5">
        <v>1.0098826167858403</v>
      </c>
      <c r="U268" s="6">
        <f t="shared" si="101"/>
        <v>943</v>
      </c>
      <c r="V268" s="6">
        <f t="shared" si="114"/>
        <v>152</v>
      </c>
      <c r="W268" s="6">
        <f t="shared" si="102"/>
        <v>1095</v>
      </c>
      <c r="X268" s="6">
        <f t="shared" si="103"/>
        <v>1045</v>
      </c>
      <c r="Y268" s="6">
        <f t="shared" si="104"/>
        <v>0</v>
      </c>
      <c r="Z268" s="6">
        <f t="shared" si="105"/>
        <v>50</v>
      </c>
      <c r="AA268" s="6">
        <f t="shared" si="106"/>
        <v>2</v>
      </c>
      <c r="AB268" s="6">
        <f t="shared" si="107"/>
        <v>48</v>
      </c>
      <c r="AC268" s="5">
        <f t="shared" si="108"/>
        <v>7.1770334928229665E-2</v>
      </c>
      <c r="AD268" s="5">
        <f t="shared" si="109"/>
        <v>1</v>
      </c>
      <c r="AE268" s="5">
        <f t="shared" si="110"/>
        <v>1</v>
      </c>
      <c r="AF268" s="5">
        <f t="shared" si="111"/>
        <v>0.77166666666666661</v>
      </c>
      <c r="AG268" s="5">
        <f t="shared" si="112"/>
        <v>0.78583333333333338</v>
      </c>
    </row>
    <row r="269" spans="1:33">
      <c r="A269" s="4">
        <v>46215</v>
      </c>
      <c r="B269" s="3" t="s">
        <v>62</v>
      </c>
      <c r="C269" s="3">
        <v>7</v>
      </c>
      <c r="D269" s="6">
        <v>591</v>
      </c>
      <c r="E269" s="6">
        <v>547</v>
      </c>
      <c r="F269" s="6">
        <v>700</v>
      </c>
      <c r="G269" s="6">
        <f t="shared" si="92"/>
        <v>573</v>
      </c>
      <c r="H269" s="5">
        <v>0.98983545336428569</v>
      </c>
      <c r="I269" s="6">
        <f t="shared" si="93"/>
        <v>567</v>
      </c>
      <c r="J269" s="6">
        <f t="shared" si="113"/>
        <v>27</v>
      </c>
      <c r="K269" s="6">
        <f t="shared" si="94"/>
        <v>594</v>
      </c>
      <c r="L269" s="6">
        <f t="shared" si="95"/>
        <v>547</v>
      </c>
      <c r="M269" s="6">
        <f t="shared" si="96"/>
        <v>0</v>
      </c>
      <c r="N269" s="6">
        <f t="shared" si="97"/>
        <v>47</v>
      </c>
      <c r="O269" s="5">
        <v>1.7999999999999999E-2</v>
      </c>
      <c r="P269" s="6">
        <f t="shared" si="98"/>
        <v>1</v>
      </c>
      <c r="Q269" s="6">
        <f t="shared" si="99"/>
        <v>46</v>
      </c>
      <c r="R269" s="6">
        <v>106</v>
      </c>
      <c r="S269" s="6">
        <f t="shared" si="100"/>
        <v>599</v>
      </c>
      <c r="T269" s="5">
        <v>0.99109745048443887</v>
      </c>
      <c r="U269" s="6">
        <f t="shared" si="101"/>
        <v>594</v>
      </c>
      <c r="V269" s="6">
        <f t="shared" si="114"/>
        <v>98</v>
      </c>
      <c r="W269" s="6">
        <f t="shared" si="102"/>
        <v>692</v>
      </c>
      <c r="X269" s="6">
        <f t="shared" si="103"/>
        <v>547</v>
      </c>
      <c r="Y269" s="6">
        <f t="shared" si="104"/>
        <v>0</v>
      </c>
      <c r="Z269" s="6">
        <f t="shared" si="105"/>
        <v>145</v>
      </c>
      <c r="AA269" s="6">
        <f t="shared" si="106"/>
        <v>3</v>
      </c>
      <c r="AB269" s="6">
        <f t="shared" si="107"/>
        <v>142</v>
      </c>
      <c r="AC269" s="5">
        <f t="shared" si="108"/>
        <v>8.0438756855575874E-2</v>
      </c>
      <c r="AD269" s="5">
        <f t="shared" si="109"/>
        <v>1</v>
      </c>
      <c r="AE269" s="5">
        <f t="shared" si="110"/>
        <v>1</v>
      </c>
      <c r="AF269" s="5">
        <f t="shared" si="111"/>
        <v>0.81</v>
      </c>
      <c r="AG269" s="5">
        <f t="shared" si="112"/>
        <v>0.84857142857142853</v>
      </c>
    </row>
    <row r="270" spans="1:33">
      <c r="A270" s="4">
        <v>46215</v>
      </c>
      <c r="B270" s="3" t="s">
        <v>63</v>
      </c>
      <c r="C270" s="3">
        <v>7</v>
      </c>
      <c r="D270" s="6">
        <v>473</v>
      </c>
      <c r="E270" s="6">
        <v>410</v>
      </c>
      <c r="F270" s="6">
        <v>560</v>
      </c>
      <c r="G270" s="6">
        <f t="shared" si="92"/>
        <v>459</v>
      </c>
      <c r="H270" s="5">
        <v>0.98566435570762756</v>
      </c>
      <c r="I270" s="6">
        <f t="shared" si="93"/>
        <v>452</v>
      </c>
      <c r="J270" s="6">
        <f t="shared" si="113"/>
        <v>26</v>
      </c>
      <c r="K270" s="6">
        <f t="shared" si="94"/>
        <v>478</v>
      </c>
      <c r="L270" s="6">
        <f t="shared" si="95"/>
        <v>410</v>
      </c>
      <c r="M270" s="6">
        <f t="shared" si="96"/>
        <v>0</v>
      </c>
      <c r="N270" s="6">
        <f t="shared" si="97"/>
        <v>68</v>
      </c>
      <c r="O270" s="5">
        <v>0.02</v>
      </c>
      <c r="P270" s="6">
        <f t="shared" si="98"/>
        <v>1</v>
      </c>
      <c r="Q270" s="6">
        <f t="shared" si="99"/>
        <v>67</v>
      </c>
      <c r="R270" s="6">
        <v>85</v>
      </c>
      <c r="S270" s="6">
        <f t="shared" si="100"/>
        <v>455</v>
      </c>
      <c r="T270" s="5">
        <v>1.0023453257801818</v>
      </c>
      <c r="U270" s="6">
        <f t="shared" si="101"/>
        <v>456</v>
      </c>
      <c r="V270" s="6">
        <f t="shared" si="114"/>
        <v>103</v>
      </c>
      <c r="W270" s="6">
        <f t="shared" si="102"/>
        <v>559</v>
      </c>
      <c r="X270" s="6">
        <f t="shared" si="103"/>
        <v>410</v>
      </c>
      <c r="Y270" s="6">
        <f t="shared" si="104"/>
        <v>0</v>
      </c>
      <c r="Z270" s="6">
        <f t="shared" si="105"/>
        <v>149</v>
      </c>
      <c r="AA270" s="6">
        <f t="shared" si="106"/>
        <v>3</v>
      </c>
      <c r="AB270" s="6">
        <f t="shared" si="107"/>
        <v>146</v>
      </c>
      <c r="AC270" s="5">
        <f t="shared" si="108"/>
        <v>0.15365853658536585</v>
      </c>
      <c r="AD270" s="5">
        <f t="shared" si="109"/>
        <v>1</v>
      </c>
      <c r="AE270" s="5">
        <f t="shared" si="110"/>
        <v>1</v>
      </c>
      <c r="AF270" s="5">
        <f t="shared" si="111"/>
        <v>0.80714285714285716</v>
      </c>
      <c r="AG270" s="5">
        <f t="shared" si="112"/>
        <v>0.81428571428571428</v>
      </c>
    </row>
    <row r="271" spans="1:33">
      <c r="A271" s="4">
        <v>46215</v>
      </c>
      <c r="B271" s="3" t="s">
        <v>64</v>
      </c>
      <c r="C271" s="3">
        <v>5</v>
      </c>
      <c r="D271" s="6">
        <v>187</v>
      </c>
      <c r="E271" s="6">
        <v>188</v>
      </c>
      <c r="F271" s="6">
        <v>230</v>
      </c>
      <c r="G271" s="6">
        <f t="shared" si="92"/>
        <v>181</v>
      </c>
      <c r="H271" s="5">
        <v>1.0193619438034029</v>
      </c>
      <c r="I271" s="6">
        <f t="shared" si="93"/>
        <v>185</v>
      </c>
      <c r="J271" s="6">
        <f t="shared" si="113"/>
        <v>13</v>
      </c>
      <c r="K271" s="6">
        <f t="shared" si="94"/>
        <v>198</v>
      </c>
      <c r="L271" s="6">
        <f t="shared" si="95"/>
        <v>188</v>
      </c>
      <c r="M271" s="6">
        <f t="shared" si="96"/>
        <v>0</v>
      </c>
      <c r="N271" s="6">
        <f t="shared" si="97"/>
        <v>10</v>
      </c>
      <c r="O271" s="5">
        <v>2.5000000000000001E-2</v>
      </c>
      <c r="P271" s="6">
        <f t="shared" si="98"/>
        <v>0</v>
      </c>
      <c r="Q271" s="6">
        <f t="shared" si="99"/>
        <v>10</v>
      </c>
      <c r="R271" s="6">
        <v>37</v>
      </c>
      <c r="S271" s="6">
        <f t="shared" si="100"/>
        <v>174</v>
      </c>
      <c r="T271" s="5">
        <v>1.005056026351945</v>
      </c>
      <c r="U271" s="6">
        <f t="shared" si="101"/>
        <v>175</v>
      </c>
      <c r="V271" s="6">
        <f t="shared" si="114"/>
        <v>50</v>
      </c>
      <c r="W271" s="6">
        <f t="shared" si="102"/>
        <v>225</v>
      </c>
      <c r="X271" s="6">
        <f t="shared" si="103"/>
        <v>188</v>
      </c>
      <c r="Y271" s="6">
        <f t="shared" si="104"/>
        <v>0</v>
      </c>
      <c r="Z271" s="6">
        <f t="shared" si="105"/>
        <v>37</v>
      </c>
      <c r="AA271" s="6">
        <f t="shared" si="106"/>
        <v>1</v>
      </c>
      <c r="AB271" s="6">
        <f t="shared" si="107"/>
        <v>36</v>
      </c>
      <c r="AC271" s="5">
        <f t="shared" si="108"/>
        <v>5.3191489361702126E-3</v>
      </c>
      <c r="AD271" s="5">
        <f t="shared" si="109"/>
        <v>1</v>
      </c>
      <c r="AE271" s="5">
        <f t="shared" si="110"/>
        <v>1</v>
      </c>
      <c r="AF271" s="5">
        <f t="shared" si="111"/>
        <v>0.80434782608695654</v>
      </c>
      <c r="AG271" s="5">
        <f t="shared" si="112"/>
        <v>0.76086956521739135</v>
      </c>
    </row>
    <row r="272" spans="1:33">
      <c r="A272" s="4">
        <v>46216</v>
      </c>
      <c r="B272" s="3" t="s">
        <v>60</v>
      </c>
      <c r="C272" s="3">
        <v>2</v>
      </c>
      <c r="D272" s="6">
        <v>1663</v>
      </c>
      <c r="E272" s="6">
        <v>1502</v>
      </c>
      <c r="F272" s="6">
        <v>2250</v>
      </c>
      <c r="G272" s="6">
        <f t="shared" si="92"/>
        <v>1613</v>
      </c>
      <c r="H272" s="5">
        <v>0.98001455166309681</v>
      </c>
      <c r="I272" s="6">
        <f t="shared" si="93"/>
        <v>1581</v>
      </c>
      <c r="J272" s="6">
        <f t="shared" si="113"/>
        <v>0</v>
      </c>
      <c r="K272" s="6">
        <f t="shared" si="94"/>
        <v>1581</v>
      </c>
      <c r="L272" s="6">
        <f t="shared" si="95"/>
        <v>1502</v>
      </c>
      <c r="M272" s="6">
        <f t="shared" si="96"/>
        <v>0</v>
      </c>
      <c r="N272" s="6">
        <f t="shared" si="97"/>
        <v>79</v>
      </c>
      <c r="O272" s="5">
        <v>2.5000000000000001E-2</v>
      </c>
      <c r="P272" s="6">
        <f t="shared" si="98"/>
        <v>2</v>
      </c>
      <c r="Q272" s="6">
        <f t="shared" si="99"/>
        <v>77</v>
      </c>
      <c r="R272" s="6">
        <v>200</v>
      </c>
      <c r="S272" s="6">
        <f t="shared" si="100"/>
        <v>1806</v>
      </c>
      <c r="T272" s="5">
        <v>0.99807071618995802</v>
      </c>
      <c r="U272" s="6">
        <f t="shared" si="101"/>
        <v>1803</v>
      </c>
      <c r="V272" s="6">
        <f t="shared" si="114"/>
        <v>57</v>
      </c>
      <c r="W272" s="6">
        <f t="shared" si="102"/>
        <v>1860</v>
      </c>
      <c r="X272" s="6">
        <f t="shared" si="103"/>
        <v>1502</v>
      </c>
      <c r="Y272" s="6">
        <f t="shared" si="104"/>
        <v>0</v>
      </c>
      <c r="Z272" s="6">
        <f t="shared" si="105"/>
        <v>358</v>
      </c>
      <c r="AA272" s="6">
        <f t="shared" si="106"/>
        <v>9</v>
      </c>
      <c r="AB272" s="6">
        <f t="shared" si="107"/>
        <v>349</v>
      </c>
      <c r="AC272" s="5">
        <f t="shared" si="108"/>
        <v>0.10719041278295606</v>
      </c>
      <c r="AD272" s="5">
        <f t="shared" si="109"/>
        <v>1</v>
      </c>
      <c r="AE272" s="5">
        <f t="shared" si="110"/>
        <v>1</v>
      </c>
      <c r="AF272" s="5">
        <f t="shared" si="111"/>
        <v>0.70266666666666666</v>
      </c>
      <c r="AG272" s="5">
        <f t="shared" si="112"/>
        <v>0.80133333333333334</v>
      </c>
    </row>
    <row r="273" spans="1:33">
      <c r="A273" s="4">
        <v>46216</v>
      </c>
      <c r="B273" s="3" t="s">
        <v>61</v>
      </c>
      <c r="C273" s="3">
        <v>2</v>
      </c>
      <c r="D273" s="6">
        <v>823</v>
      </c>
      <c r="E273" s="6">
        <v>833</v>
      </c>
      <c r="F273" s="6">
        <v>1200</v>
      </c>
      <c r="G273" s="6">
        <f t="shared" si="92"/>
        <v>798</v>
      </c>
      <c r="H273" s="5">
        <v>0.99873714821304482</v>
      </c>
      <c r="I273" s="6">
        <f t="shared" si="93"/>
        <v>797</v>
      </c>
      <c r="J273" s="6">
        <f t="shared" si="113"/>
        <v>11</v>
      </c>
      <c r="K273" s="6">
        <f t="shared" si="94"/>
        <v>808</v>
      </c>
      <c r="L273" s="6">
        <f t="shared" si="95"/>
        <v>808</v>
      </c>
      <c r="M273" s="6">
        <f t="shared" si="96"/>
        <v>25</v>
      </c>
      <c r="N273" s="6">
        <f t="shared" si="97"/>
        <v>0</v>
      </c>
      <c r="O273" s="5">
        <v>0.03</v>
      </c>
      <c r="P273" s="6">
        <f t="shared" si="98"/>
        <v>0</v>
      </c>
      <c r="Q273" s="6">
        <f t="shared" si="99"/>
        <v>0</v>
      </c>
      <c r="R273" s="6">
        <v>99</v>
      </c>
      <c r="S273" s="6">
        <f t="shared" si="100"/>
        <v>874</v>
      </c>
      <c r="T273" s="5">
        <v>0.9921028485975959</v>
      </c>
      <c r="U273" s="6">
        <f t="shared" si="101"/>
        <v>867</v>
      </c>
      <c r="V273" s="6">
        <f t="shared" si="114"/>
        <v>48</v>
      </c>
      <c r="W273" s="6">
        <f t="shared" si="102"/>
        <v>915</v>
      </c>
      <c r="X273" s="6">
        <f t="shared" si="103"/>
        <v>833</v>
      </c>
      <c r="Y273" s="6">
        <f t="shared" si="104"/>
        <v>0</v>
      </c>
      <c r="Z273" s="6">
        <f t="shared" si="105"/>
        <v>82</v>
      </c>
      <c r="AA273" s="6">
        <f t="shared" si="106"/>
        <v>2</v>
      </c>
      <c r="AB273" s="6">
        <f t="shared" si="107"/>
        <v>80</v>
      </c>
      <c r="AC273" s="5">
        <f t="shared" si="108"/>
        <v>1.2004801920768308E-2</v>
      </c>
      <c r="AD273" s="5">
        <f t="shared" si="109"/>
        <v>0.96998799519807921</v>
      </c>
      <c r="AE273" s="5">
        <f t="shared" si="110"/>
        <v>1</v>
      </c>
      <c r="AF273" s="5">
        <f t="shared" si="111"/>
        <v>0.66416666666666668</v>
      </c>
      <c r="AG273" s="5">
        <f t="shared" si="112"/>
        <v>0.72250000000000003</v>
      </c>
    </row>
    <row r="274" spans="1:33">
      <c r="A274" s="4">
        <v>46216</v>
      </c>
      <c r="B274" s="3" t="s">
        <v>62</v>
      </c>
      <c r="C274" s="3">
        <v>7</v>
      </c>
      <c r="D274" s="6">
        <v>474</v>
      </c>
      <c r="E274" s="6">
        <v>423</v>
      </c>
      <c r="F274" s="6">
        <v>700</v>
      </c>
      <c r="G274" s="6">
        <f t="shared" si="92"/>
        <v>460</v>
      </c>
      <c r="H274" s="5">
        <v>0.99265712136071083</v>
      </c>
      <c r="I274" s="6">
        <f t="shared" si="93"/>
        <v>457</v>
      </c>
      <c r="J274" s="6">
        <f t="shared" si="113"/>
        <v>46</v>
      </c>
      <c r="K274" s="6">
        <f t="shared" si="94"/>
        <v>503</v>
      </c>
      <c r="L274" s="6">
        <f t="shared" si="95"/>
        <v>423</v>
      </c>
      <c r="M274" s="6">
        <f t="shared" si="96"/>
        <v>0</v>
      </c>
      <c r="N274" s="6">
        <f t="shared" si="97"/>
        <v>80</v>
      </c>
      <c r="O274" s="5">
        <v>1.7999999999999999E-2</v>
      </c>
      <c r="P274" s="6">
        <f t="shared" si="98"/>
        <v>1</v>
      </c>
      <c r="Q274" s="6">
        <f t="shared" si="99"/>
        <v>79</v>
      </c>
      <c r="R274" s="6">
        <v>85</v>
      </c>
      <c r="S274" s="6">
        <f t="shared" si="100"/>
        <v>417</v>
      </c>
      <c r="T274" s="5">
        <v>0.98976943282459784</v>
      </c>
      <c r="U274" s="6">
        <f t="shared" si="101"/>
        <v>413</v>
      </c>
      <c r="V274" s="6">
        <f t="shared" si="114"/>
        <v>142</v>
      </c>
      <c r="W274" s="6">
        <f t="shared" si="102"/>
        <v>555</v>
      </c>
      <c r="X274" s="6">
        <f t="shared" si="103"/>
        <v>423</v>
      </c>
      <c r="Y274" s="6">
        <f t="shared" si="104"/>
        <v>0</v>
      </c>
      <c r="Z274" s="6">
        <f t="shared" si="105"/>
        <v>132</v>
      </c>
      <c r="AA274" s="6">
        <f t="shared" si="106"/>
        <v>2</v>
      </c>
      <c r="AB274" s="6">
        <f t="shared" si="107"/>
        <v>130</v>
      </c>
      <c r="AC274" s="5">
        <f t="shared" si="108"/>
        <v>0.12056737588652482</v>
      </c>
      <c r="AD274" s="5">
        <f t="shared" si="109"/>
        <v>1</v>
      </c>
      <c r="AE274" s="5">
        <f t="shared" si="110"/>
        <v>1</v>
      </c>
      <c r="AF274" s="5">
        <f t="shared" si="111"/>
        <v>0.6528571428571428</v>
      </c>
      <c r="AG274" s="5">
        <f t="shared" si="112"/>
        <v>0.59</v>
      </c>
    </row>
    <row r="275" spans="1:33">
      <c r="A275" s="4">
        <v>46216</v>
      </c>
      <c r="B275" s="3" t="s">
        <v>63</v>
      </c>
      <c r="C275" s="3">
        <v>7</v>
      </c>
      <c r="D275" s="6">
        <v>367</v>
      </c>
      <c r="E275" s="6">
        <v>404</v>
      </c>
      <c r="F275" s="6">
        <v>560</v>
      </c>
      <c r="G275" s="6">
        <f t="shared" si="92"/>
        <v>356</v>
      </c>
      <c r="H275" s="5">
        <v>1.0067842827086777</v>
      </c>
      <c r="I275" s="6">
        <f t="shared" si="93"/>
        <v>358</v>
      </c>
      <c r="J275" s="6">
        <f t="shared" si="113"/>
        <v>67</v>
      </c>
      <c r="K275" s="6">
        <f t="shared" si="94"/>
        <v>425</v>
      </c>
      <c r="L275" s="6">
        <f t="shared" si="95"/>
        <v>404</v>
      </c>
      <c r="M275" s="6">
        <f t="shared" si="96"/>
        <v>0</v>
      </c>
      <c r="N275" s="6">
        <f t="shared" si="97"/>
        <v>21</v>
      </c>
      <c r="O275" s="5">
        <v>0.02</v>
      </c>
      <c r="P275" s="6">
        <f t="shared" si="98"/>
        <v>0</v>
      </c>
      <c r="Q275" s="6">
        <f t="shared" si="99"/>
        <v>21</v>
      </c>
      <c r="R275" s="6">
        <v>66</v>
      </c>
      <c r="S275" s="6">
        <f t="shared" si="100"/>
        <v>287</v>
      </c>
      <c r="T275" s="5">
        <v>1.017289801964157</v>
      </c>
      <c r="U275" s="6">
        <f t="shared" si="101"/>
        <v>292</v>
      </c>
      <c r="V275" s="6">
        <f t="shared" si="114"/>
        <v>146</v>
      </c>
      <c r="W275" s="6">
        <f t="shared" si="102"/>
        <v>438</v>
      </c>
      <c r="X275" s="6">
        <f t="shared" si="103"/>
        <v>404</v>
      </c>
      <c r="Y275" s="6">
        <f t="shared" si="104"/>
        <v>0</v>
      </c>
      <c r="Z275" s="6">
        <f t="shared" si="105"/>
        <v>34</v>
      </c>
      <c r="AA275" s="6">
        <f t="shared" si="106"/>
        <v>1</v>
      </c>
      <c r="AB275" s="6">
        <f t="shared" si="107"/>
        <v>33</v>
      </c>
      <c r="AC275" s="5">
        <f t="shared" si="108"/>
        <v>9.1584158415841582E-2</v>
      </c>
      <c r="AD275" s="5">
        <f t="shared" si="109"/>
        <v>1</v>
      </c>
      <c r="AE275" s="5">
        <f t="shared" si="110"/>
        <v>1</v>
      </c>
      <c r="AF275" s="5">
        <f t="shared" si="111"/>
        <v>0.63928571428571423</v>
      </c>
      <c r="AG275" s="5">
        <f t="shared" si="112"/>
        <v>0.52142857142857146</v>
      </c>
    </row>
    <row r="276" spans="1:33">
      <c r="A276" s="4">
        <v>46216</v>
      </c>
      <c r="B276" s="3" t="s">
        <v>64</v>
      </c>
      <c r="C276" s="3">
        <v>5</v>
      </c>
      <c r="D276" s="6">
        <v>150</v>
      </c>
      <c r="E276" s="6">
        <v>131</v>
      </c>
      <c r="F276" s="6">
        <v>230</v>
      </c>
      <c r="G276" s="6">
        <f t="shared" si="92"/>
        <v>146</v>
      </c>
      <c r="H276" s="5">
        <v>0.99934435459034032</v>
      </c>
      <c r="I276" s="6">
        <f t="shared" si="93"/>
        <v>146</v>
      </c>
      <c r="J276" s="6">
        <f t="shared" si="113"/>
        <v>10</v>
      </c>
      <c r="K276" s="6">
        <f t="shared" si="94"/>
        <v>156</v>
      </c>
      <c r="L276" s="6">
        <f t="shared" si="95"/>
        <v>131</v>
      </c>
      <c r="M276" s="6">
        <f t="shared" si="96"/>
        <v>0</v>
      </c>
      <c r="N276" s="6">
        <f t="shared" si="97"/>
        <v>25</v>
      </c>
      <c r="O276" s="5">
        <v>2.5000000000000001E-2</v>
      </c>
      <c r="P276" s="6">
        <f t="shared" si="98"/>
        <v>1</v>
      </c>
      <c r="Q276" s="6">
        <f t="shared" si="99"/>
        <v>24</v>
      </c>
      <c r="R276" s="6">
        <v>30</v>
      </c>
      <c r="S276" s="6">
        <f t="shared" si="100"/>
        <v>144</v>
      </c>
      <c r="T276" s="5">
        <v>0.99813366468530129</v>
      </c>
      <c r="U276" s="6">
        <f t="shared" si="101"/>
        <v>144</v>
      </c>
      <c r="V276" s="6">
        <f t="shared" si="114"/>
        <v>36</v>
      </c>
      <c r="W276" s="6">
        <f t="shared" si="102"/>
        <v>180</v>
      </c>
      <c r="X276" s="6">
        <f t="shared" si="103"/>
        <v>131</v>
      </c>
      <c r="Y276" s="6">
        <f t="shared" si="104"/>
        <v>0</v>
      </c>
      <c r="Z276" s="6">
        <f t="shared" si="105"/>
        <v>49</v>
      </c>
      <c r="AA276" s="6">
        <f t="shared" si="106"/>
        <v>1</v>
      </c>
      <c r="AB276" s="6">
        <f t="shared" si="107"/>
        <v>48</v>
      </c>
      <c r="AC276" s="5">
        <f t="shared" si="108"/>
        <v>0.14503816793893129</v>
      </c>
      <c r="AD276" s="5">
        <f t="shared" si="109"/>
        <v>1</v>
      </c>
      <c r="AE276" s="5">
        <f t="shared" si="110"/>
        <v>1</v>
      </c>
      <c r="AF276" s="5">
        <f t="shared" si="111"/>
        <v>0.63478260869565217</v>
      </c>
      <c r="AG276" s="5">
        <f t="shared" si="112"/>
        <v>0.62608695652173918</v>
      </c>
    </row>
    <row r="277" spans="1:33">
      <c r="A277" s="4">
        <v>46217</v>
      </c>
      <c r="B277" s="3" t="s">
        <v>60</v>
      </c>
      <c r="C277" s="3">
        <v>2</v>
      </c>
      <c r="D277" s="6">
        <v>1698</v>
      </c>
      <c r="E277" s="6">
        <v>1819</v>
      </c>
      <c r="F277" s="6">
        <v>2250</v>
      </c>
      <c r="G277" s="6">
        <f t="shared" si="92"/>
        <v>1647</v>
      </c>
      <c r="H277" s="5">
        <v>1.0077113803686957</v>
      </c>
      <c r="I277" s="6">
        <f t="shared" si="93"/>
        <v>1660</v>
      </c>
      <c r="J277" s="6">
        <f t="shared" si="113"/>
        <v>77</v>
      </c>
      <c r="K277" s="6">
        <f t="shared" si="94"/>
        <v>1737</v>
      </c>
      <c r="L277" s="6">
        <f t="shared" si="95"/>
        <v>1737</v>
      </c>
      <c r="M277" s="6">
        <f t="shared" si="96"/>
        <v>82</v>
      </c>
      <c r="N277" s="6">
        <f t="shared" si="97"/>
        <v>0</v>
      </c>
      <c r="O277" s="5">
        <v>2.5000000000000001E-2</v>
      </c>
      <c r="P277" s="6">
        <f t="shared" si="98"/>
        <v>0</v>
      </c>
      <c r="Q277" s="6">
        <f t="shared" si="99"/>
        <v>0</v>
      </c>
      <c r="R277" s="6">
        <v>204</v>
      </c>
      <c r="S277" s="6">
        <f t="shared" si="100"/>
        <v>1553</v>
      </c>
      <c r="T277" s="5">
        <v>1.0164952877885685</v>
      </c>
      <c r="U277" s="6">
        <f t="shared" si="101"/>
        <v>1579</v>
      </c>
      <c r="V277" s="6">
        <f t="shared" si="114"/>
        <v>349</v>
      </c>
      <c r="W277" s="6">
        <f t="shared" si="102"/>
        <v>1928</v>
      </c>
      <c r="X277" s="6">
        <f t="shared" si="103"/>
        <v>1819</v>
      </c>
      <c r="Y277" s="6">
        <f t="shared" si="104"/>
        <v>0</v>
      </c>
      <c r="Z277" s="6">
        <f t="shared" si="105"/>
        <v>109</v>
      </c>
      <c r="AA277" s="6">
        <f t="shared" si="106"/>
        <v>3</v>
      </c>
      <c r="AB277" s="6">
        <f t="shared" si="107"/>
        <v>106</v>
      </c>
      <c r="AC277" s="5">
        <f t="shared" si="108"/>
        <v>6.6520065970313361E-2</v>
      </c>
      <c r="AD277" s="5">
        <f t="shared" si="109"/>
        <v>0.95492028587135791</v>
      </c>
      <c r="AE277" s="5">
        <f t="shared" si="110"/>
        <v>1</v>
      </c>
      <c r="AF277" s="5">
        <f t="shared" si="111"/>
        <v>0.73777777777777775</v>
      </c>
      <c r="AG277" s="5">
        <f t="shared" si="112"/>
        <v>0.70177777777777772</v>
      </c>
    </row>
    <row r="278" spans="1:33">
      <c r="A278" s="4">
        <v>46217</v>
      </c>
      <c r="B278" s="3" t="s">
        <v>61</v>
      </c>
      <c r="C278" s="3">
        <v>2</v>
      </c>
      <c r="D278" s="6">
        <v>849</v>
      </c>
      <c r="E278" s="6">
        <v>988</v>
      </c>
      <c r="F278" s="6">
        <v>1200</v>
      </c>
      <c r="G278" s="6">
        <f t="shared" si="92"/>
        <v>824</v>
      </c>
      <c r="H278" s="5">
        <v>1.002857886551761</v>
      </c>
      <c r="I278" s="6">
        <f t="shared" si="93"/>
        <v>826</v>
      </c>
      <c r="J278" s="6">
        <f t="shared" si="113"/>
        <v>0</v>
      </c>
      <c r="K278" s="6">
        <f t="shared" si="94"/>
        <v>826</v>
      </c>
      <c r="L278" s="6">
        <f t="shared" si="95"/>
        <v>826</v>
      </c>
      <c r="M278" s="6">
        <f t="shared" si="96"/>
        <v>162</v>
      </c>
      <c r="N278" s="6">
        <f t="shared" si="97"/>
        <v>0</v>
      </c>
      <c r="O278" s="5">
        <v>0.03</v>
      </c>
      <c r="P278" s="6">
        <f t="shared" si="98"/>
        <v>0</v>
      </c>
      <c r="Q278" s="6">
        <f t="shared" si="99"/>
        <v>0</v>
      </c>
      <c r="R278" s="6">
        <v>102</v>
      </c>
      <c r="S278" s="6">
        <f t="shared" si="100"/>
        <v>871</v>
      </c>
      <c r="T278" s="5">
        <v>1.0168450321998366</v>
      </c>
      <c r="U278" s="6">
        <f t="shared" si="101"/>
        <v>886</v>
      </c>
      <c r="V278" s="6">
        <f t="shared" si="114"/>
        <v>80</v>
      </c>
      <c r="W278" s="6">
        <f t="shared" si="102"/>
        <v>966</v>
      </c>
      <c r="X278" s="6">
        <f t="shared" si="103"/>
        <v>966</v>
      </c>
      <c r="Y278" s="6">
        <f t="shared" si="104"/>
        <v>22</v>
      </c>
      <c r="Z278" s="6">
        <f t="shared" si="105"/>
        <v>0</v>
      </c>
      <c r="AA278" s="6">
        <f t="shared" si="106"/>
        <v>0</v>
      </c>
      <c r="AB278" s="6">
        <f t="shared" si="107"/>
        <v>0</v>
      </c>
      <c r="AC278" s="5">
        <f t="shared" si="108"/>
        <v>0.14068825910931174</v>
      </c>
      <c r="AD278" s="5">
        <f t="shared" si="109"/>
        <v>0.83603238866396756</v>
      </c>
      <c r="AE278" s="5">
        <f t="shared" si="110"/>
        <v>0.97773279352226716</v>
      </c>
      <c r="AF278" s="5">
        <f t="shared" si="111"/>
        <v>0.68833333333333335</v>
      </c>
      <c r="AG278" s="5">
        <f t="shared" si="112"/>
        <v>0.73833333333333329</v>
      </c>
    </row>
    <row r="279" spans="1:33">
      <c r="A279" s="4">
        <v>46217</v>
      </c>
      <c r="B279" s="3" t="s">
        <v>62</v>
      </c>
      <c r="C279" s="3">
        <v>7</v>
      </c>
      <c r="D279" s="6">
        <v>489</v>
      </c>
      <c r="E279" s="6">
        <v>568</v>
      </c>
      <c r="F279" s="6">
        <v>700</v>
      </c>
      <c r="G279" s="6">
        <f t="shared" si="92"/>
        <v>474</v>
      </c>
      <c r="H279" s="5">
        <v>1.006409391026545</v>
      </c>
      <c r="I279" s="6">
        <f t="shared" si="93"/>
        <v>477</v>
      </c>
      <c r="J279" s="6">
        <f t="shared" si="113"/>
        <v>79</v>
      </c>
      <c r="K279" s="6">
        <f t="shared" si="94"/>
        <v>556</v>
      </c>
      <c r="L279" s="6">
        <f t="shared" si="95"/>
        <v>556</v>
      </c>
      <c r="M279" s="6">
        <f t="shared" si="96"/>
        <v>12</v>
      </c>
      <c r="N279" s="6">
        <f t="shared" si="97"/>
        <v>0</v>
      </c>
      <c r="O279" s="5">
        <v>1.7999999999999999E-2</v>
      </c>
      <c r="P279" s="6">
        <f t="shared" si="98"/>
        <v>0</v>
      </c>
      <c r="Q279" s="6">
        <f t="shared" si="99"/>
        <v>0</v>
      </c>
      <c r="R279" s="6">
        <v>88</v>
      </c>
      <c r="S279" s="6">
        <f t="shared" si="100"/>
        <v>447</v>
      </c>
      <c r="T279" s="5">
        <v>0.99511159387720172</v>
      </c>
      <c r="U279" s="6">
        <f t="shared" si="101"/>
        <v>445</v>
      </c>
      <c r="V279" s="6">
        <f t="shared" si="114"/>
        <v>130</v>
      </c>
      <c r="W279" s="6">
        <f t="shared" si="102"/>
        <v>575</v>
      </c>
      <c r="X279" s="6">
        <f t="shared" si="103"/>
        <v>568</v>
      </c>
      <c r="Y279" s="6">
        <f t="shared" si="104"/>
        <v>0</v>
      </c>
      <c r="Z279" s="6">
        <f t="shared" si="105"/>
        <v>7</v>
      </c>
      <c r="AA279" s="6">
        <f t="shared" si="106"/>
        <v>0</v>
      </c>
      <c r="AB279" s="6">
        <f t="shared" si="107"/>
        <v>7</v>
      </c>
      <c r="AC279" s="5">
        <f t="shared" si="108"/>
        <v>0.13908450704225353</v>
      </c>
      <c r="AD279" s="5">
        <f t="shared" si="109"/>
        <v>0.97887323943661975</v>
      </c>
      <c r="AE279" s="5">
        <f t="shared" si="110"/>
        <v>1</v>
      </c>
      <c r="AF279" s="5">
        <f t="shared" si="111"/>
        <v>0.68142857142857138</v>
      </c>
      <c r="AG279" s="5">
        <f t="shared" si="112"/>
        <v>0.63571428571428568</v>
      </c>
    </row>
    <row r="280" spans="1:33">
      <c r="A280" s="4">
        <v>46217</v>
      </c>
      <c r="B280" s="3" t="s">
        <v>63</v>
      </c>
      <c r="C280" s="3">
        <v>7</v>
      </c>
      <c r="D280" s="6">
        <v>383</v>
      </c>
      <c r="E280" s="6">
        <v>341</v>
      </c>
      <c r="F280" s="6">
        <v>560</v>
      </c>
      <c r="G280" s="6">
        <f t="shared" si="92"/>
        <v>372</v>
      </c>
      <c r="H280" s="5">
        <v>0.99272319340357495</v>
      </c>
      <c r="I280" s="6">
        <f t="shared" si="93"/>
        <v>369</v>
      </c>
      <c r="J280" s="6">
        <f t="shared" si="113"/>
        <v>21</v>
      </c>
      <c r="K280" s="6">
        <f t="shared" si="94"/>
        <v>390</v>
      </c>
      <c r="L280" s="6">
        <f t="shared" si="95"/>
        <v>341</v>
      </c>
      <c r="M280" s="6">
        <f t="shared" si="96"/>
        <v>0</v>
      </c>
      <c r="N280" s="6">
        <f t="shared" si="97"/>
        <v>49</v>
      </c>
      <c r="O280" s="5">
        <v>0.02</v>
      </c>
      <c r="P280" s="6">
        <f t="shared" si="98"/>
        <v>1</v>
      </c>
      <c r="Q280" s="6">
        <f t="shared" si="99"/>
        <v>48</v>
      </c>
      <c r="R280" s="6">
        <v>69</v>
      </c>
      <c r="S280" s="6">
        <f t="shared" si="100"/>
        <v>419</v>
      </c>
      <c r="T280" s="5">
        <v>1.0052797551820232</v>
      </c>
      <c r="U280" s="6">
        <f t="shared" si="101"/>
        <v>421</v>
      </c>
      <c r="V280" s="6">
        <f t="shared" si="114"/>
        <v>33</v>
      </c>
      <c r="W280" s="6">
        <f t="shared" si="102"/>
        <v>454</v>
      </c>
      <c r="X280" s="6">
        <f t="shared" si="103"/>
        <v>341</v>
      </c>
      <c r="Y280" s="6">
        <f t="shared" si="104"/>
        <v>0</v>
      </c>
      <c r="Z280" s="6">
        <f t="shared" si="105"/>
        <v>113</v>
      </c>
      <c r="AA280" s="6">
        <f t="shared" si="106"/>
        <v>2</v>
      </c>
      <c r="AB280" s="6">
        <f t="shared" si="107"/>
        <v>111</v>
      </c>
      <c r="AC280" s="5">
        <f t="shared" si="108"/>
        <v>0.12316715542521994</v>
      </c>
      <c r="AD280" s="5">
        <f t="shared" si="109"/>
        <v>1</v>
      </c>
      <c r="AE280" s="5">
        <f t="shared" si="110"/>
        <v>1</v>
      </c>
      <c r="AF280" s="5">
        <f t="shared" si="111"/>
        <v>0.65892857142857142</v>
      </c>
      <c r="AG280" s="5">
        <f t="shared" si="112"/>
        <v>0.75178571428571428</v>
      </c>
    </row>
    <row r="281" spans="1:33">
      <c r="A281" s="4">
        <v>46217</v>
      </c>
      <c r="B281" s="3" t="s">
        <v>64</v>
      </c>
      <c r="C281" s="3">
        <v>5</v>
      </c>
      <c r="D281" s="6">
        <v>155</v>
      </c>
      <c r="E281" s="6">
        <v>163</v>
      </c>
      <c r="F281" s="6">
        <v>230</v>
      </c>
      <c r="G281" s="6">
        <f t="shared" si="92"/>
        <v>150</v>
      </c>
      <c r="H281" s="5">
        <v>1.0074700092180857</v>
      </c>
      <c r="I281" s="6">
        <f t="shared" si="93"/>
        <v>151</v>
      </c>
      <c r="J281" s="6">
        <f t="shared" si="113"/>
        <v>24</v>
      </c>
      <c r="K281" s="6">
        <f t="shared" si="94"/>
        <v>175</v>
      </c>
      <c r="L281" s="6">
        <f t="shared" si="95"/>
        <v>163</v>
      </c>
      <c r="M281" s="6">
        <f t="shared" si="96"/>
        <v>0</v>
      </c>
      <c r="N281" s="6">
        <f t="shared" si="97"/>
        <v>12</v>
      </c>
      <c r="O281" s="5">
        <v>2.5000000000000001E-2</v>
      </c>
      <c r="P281" s="6">
        <f t="shared" si="98"/>
        <v>0</v>
      </c>
      <c r="Q281" s="6">
        <f t="shared" si="99"/>
        <v>12</v>
      </c>
      <c r="R281" s="6">
        <v>31</v>
      </c>
      <c r="S281" s="6">
        <f t="shared" si="100"/>
        <v>138</v>
      </c>
      <c r="T281" s="5">
        <v>0.99820780705674617</v>
      </c>
      <c r="U281" s="6">
        <f t="shared" si="101"/>
        <v>138</v>
      </c>
      <c r="V281" s="6">
        <f t="shared" si="114"/>
        <v>48</v>
      </c>
      <c r="W281" s="6">
        <f t="shared" si="102"/>
        <v>186</v>
      </c>
      <c r="X281" s="6">
        <f t="shared" si="103"/>
        <v>163</v>
      </c>
      <c r="Y281" s="6">
        <f t="shared" si="104"/>
        <v>0</v>
      </c>
      <c r="Z281" s="6">
        <f t="shared" si="105"/>
        <v>23</v>
      </c>
      <c r="AA281" s="6">
        <f t="shared" si="106"/>
        <v>1</v>
      </c>
      <c r="AB281" s="6">
        <f t="shared" si="107"/>
        <v>22</v>
      </c>
      <c r="AC281" s="5">
        <f t="shared" si="108"/>
        <v>4.9079754601226995E-2</v>
      </c>
      <c r="AD281" s="5">
        <f t="shared" si="109"/>
        <v>1</v>
      </c>
      <c r="AE281" s="5">
        <f t="shared" si="110"/>
        <v>1</v>
      </c>
      <c r="AF281" s="5">
        <f t="shared" si="111"/>
        <v>0.65652173913043477</v>
      </c>
      <c r="AG281" s="5">
        <f t="shared" si="112"/>
        <v>0.6</v>
      </c>
    </row>
    <row r="282" spans="1:33">
      <c r="A282" s="4">
        <v>46218</v>
      </c>
      <c r="B282" s="3" t="s">
        <v>60</v>
      </c>
      <c r="C282" s="3">
        <v>2</v>
      </c>
      <c r="D282" s="6">
        <v>1716</v>
      </c>
      <c r="E282" s="6">
        <v>1867</v>
      </c>
      <c r="F282" s="6">
        <v>2250</v>
      </c>
      <c r="G282" s="6">
        <f t="shared" si="92"/>
        <v>1665</v>
      </c>
      <c r="H282" s="5">
        <v>1.0118134222599384</v>
      </c>
      <c r="I282" s="6">
        <f t="shared" si="93"/>
        <v>1685</v>
      </c>
      <c r="J282" s="6">
        <f t="shared" si="113"/>
        <v>0</v>
      </c>
      <c r="K282" s="6">
        <f t="shared" si="94"/>
        <v>1685</v>
      </c>
      <c r="L282" s="6">
        <f t="shared" si="95"/>
        <v>1685</v>
      </c>
      <c r="M282" s="6">
        <f t="shared" si="96"/>
        <v>182</v>
      </c>
      <c r="N282" s="6">
        <f t="shared" si="97"/>
        <v>0</v>
      </c>
      <c r="O282" s="5">
        <v>2.5000000000000001E-2</v>
      </c>
      <c r="P282" s="6">
        <f t="shared" si="98"/>
        <v>0</v>
      </c>
      <c r="Q282" s="6">
        <f t="shared" si="99"/>
        <v>0</v>
      </c>
      <c r="R282" s="6">
        <v>206</v>
      </c>
      <c r="S282" s="6">
        <f t="shared" si="100"/>
        <v>1816</v>
      </c>
      <c r="T282" s="5">
        <v>1.0163821594413662</v>
      </c>
      <c r="U282" s="6">
        <f t="shared" si="101"/>
        <v>1846</v>
      </c>
      <c r="V282" s="6">
        <f t="shared" si="114"/>
        <v>106</v>
      </c>
      <c r="W282" s="6">
        <f t="shared" si="102"/>
        <v>1952</v>
      </c>
      <c r="X282" s="6">
        <f t="shared" si="103"/>
        <v>1867</v>
      </c>
      <c r="Y282" s="6">
        <f t="shared" si="104"/>
        <v>0</v>
      </c>
      <c r="Z282" s="6">
        <f t="shared" si="105"/>
        <v>85</v>
      </c>
      <c r="AA282" s="6">
        <f t="shared" si="106"/>
        <v>2</v>
      </c>
      <c r="AB282" s="6">
        <f t="shared" si="107"/>
        <v>83</v>
      </c>
      <c r="AC282" s="5">
        <f t="shared" si="108"/>
        <v>8.0878414568826995E-2</v>
      </c>
      <c r="AD282" s="5">
        <f t="shared" si="109"/>
        <v>0.90251740760578469</v>
      </c>
      <c r="AE282" s="5">
        <f t="shared" si="110"/>
        <v>1</v>
      </c>
      <c r="AF282" s="5">
        <f t="shared" si="111"/>
        <v>0.74888888888888894</v>
      </c>
      <c r="AG282" s="5">
        <f t="shared" si="112"/>
        <v>0.82044444444444442</v>
      </c>
    </row>
    <row r="283" spans="1:33">
      <c r="A283" s="4">
        <v>46218</v>
      </c>
      <c r="B283" s="3" t="s">
        <v>61</v>
      </c>
      <c r="C283" s="3">
        <v>2</v>
      </c>
      <c r="D283" s="6">
        <v>858</v>
      </c>
      <c r="E283" s="6">
        <v>898</v>
      </c>
      <c r="F283" s="6">
        <v>1200</v>
      </c>
      <c r="G283" s="6">
        <f t="shared" si="92"/>
        <v>832</v>
      </c>
      <c r="H283" s="5">
        <v>1.0060978844211026</v>
      </c>
      <c r="I283" s="6">
        <f t="shared" si="93"/>
        <v>837</v>
      </c>
      <c r="J283" s="6">
        <f t="shared" si="113"/>
        <v>0</v>
      </c>
      <c r="K283" s="6">
        <f t="shared" si="94"/>
        <v>837</v>
      </c>
      <c r="L283" s="6">
        <f t="shared" si="95"/>
        <v>837</v>
      </c>
      <c r="M283" s="6">
        <f t="shared" si="96"/>
        <v>61</v>
      </c>
      <c r="N283" s="6">
        <f t="shared" si="97"/>
        <v>0</v>
      </c>
      <c r="O283" s="5">
        <v>0.03</v>
      </c>
      <c r="P283" s="6">
        <f t="shared" si="98"/>
        <v>0</v>
      </c>
      <c r="Q283" s="6">
        <f t="shared" si="99"/>
        <v>0</v>
      </c>
      <c r="R283" s="6">
        <v>103</v>
      </c>
      <c r="S283" s="6">
        <f t="shared" si="100"/>
        <v>961</v>
      </c>
      <c r="T283" s="5">
        <v>0.98984402718448772</v>
      </c>
      <c r="U283" s="6">
        <f t="shared" si="101"/>
        <v>951</v>
      </c>
      <c r="V283" s="6">
        <f t="shared" si="114"/>
        <v>0</v>
      </c>
      <c r="W283" s="6">
        <f t="shared" si="102"/>
        <v>951</v>
      </c>
      <c r="X283" s="6">
        <f t="shared" si="103"/>
        <v>898</v>
      </c>
      <c r="Y283" s="6">
        <f t="shared" si="104"/>
        <v>0</v>
      </c>
      <c r="Z283" s="6">
        <f t="shared" si="105"/>
        <v>53</v>
      </c>
      <c r="AA283" s="6">
        <f t="shared" si="106"/>
        <v>2</v>
      </c>
      <c r="AB283" s="6">
        <f t="shared" si="107"/>
        <v>51</v>
      </c>
      <c r="AC283" s="5">
        <f t="shared" si="108"/>
        <v>4.4543429844097995E-2</v>
      </c>
      <c r="AD283" s="5">
        <f t="shared" si="109"/>
        <v>0.93207126948775054</v>
      </c>
      <c r="AE283" s="5">
        <f t="shared" si="110"/>
        <v>1</v>
      </c>
      <c r="AF283" s="5">
        <f t="shared" si="111"/>
        <v>0.69750000000000001</v>
      </c>
      <c r="AG283" s="5">
        <f t="shared" si="112"/>
        <v>0.79249999999999998</v>
      </c>
    </row>
    <row r="284" spans="1:33">
      <c r="A284" s="4">
        <v>46218</v>
      </c>
      <c r="B284" s="3" t="s">
        <v>62</v>
      </c>
      <c r="C284" s="3">
        <v>7</v>
      </c>
      <c r="D284" s="6">
        <v>500</v>
      </c>
      <c r="E284" s="6">
        <v>502</v>
      </c>
      <c r="F284" s="6">
        <v>700</v>
      </c>
      <c r="G284" s="6">
        <f t="shared" si="92"/>
        <v>485</v>
      </c>
      <c r="H284" s="5">
        <v>0.99696995255768472</v>
      </c>
      <c r="I284" s="6">
        <f t="shared" si="93"/>
        <v>484</v>
      </c>
      <c r="J284" s="6">
        <f t="shared" si="113"/>
        <v>0</v>
      </c>
      <c r="K284" s="6">
        <f t="shared" si="94"/>
        <v>484</v>
      </c>
      <c r="L284" s="6">
        <f t="shared" si="95"/>
        <v>484</v>
      </c>
      <c r="M284" s="6">
        <f t="shared" si="96"/>
        <v>18</v>
      </c>
      <c r="N284" s="6">
        <f t="shared" si="97"/>
        <v>0</v>
      </c>
      <c r="O284" s="5">
        <v>1.7999999999999999E-2</v>
      </c>
      <c r="P284" s="6">
        <f t="shared" si="98"/>
        <v>0</v>
      </c>
      <c r="Q284" s="6">
        <f t="shared" si="99"/>
        <v>0</v>
      </c>
      <c r="R284" s="6">
        <v>90</v>
      </c>
      <c r="S284" s="6">
        <f t="shared" si="100"/>
        <v>583</v>
      </c>
      <c r="T284" s="5">
        <v>1.0034696483973162</v>
      </c>
      <c r="U284" s="6">
        <f t="shared" si="101"/>
        <v>585</v>
      </c>
      <c r="V284" s="6">
        <f t="shared" si="114"/>
        <v>7</v>
      </c>
      <c r="W284" s="6">
        <f t="shared" si="102"/>
        <v>592</v>
      </c>
      <c r="X284" s="6">
        <f t="shared" si="103"/>
        <v>502</v>
      </c>
      <c r="Y284" s="6">
        <f t="shared" si="104"/>
        <v>0</v>
      </c>
      <c r="Z284" s="6">
        <f t="shared" si="105"/>
        <v>90</v>
      </c>
      <c r="AA284" s="6">
        <f t="shared" si="106"/>
        <v>2</v>
      </c>
      <c r="AB284" s="6">
        <f t="shared" si="107"/>
        <v>88</v>
      </c>
      <c r="AC284" s="5">
        <f t="shared" si="108"/>
        <v>3.9840637450199202E-3</v>
      </c>
      <c r="AD284" s="5">
        <f t="shared" si="109"/>
        <v>0.96414342629482075</v>
      </c>
      <c r="AE284" s="5">
        <f t="shared" si="110"/>
        <v>1</v>
      </c>
      <c r="AF284" s="5">
        <f t="shared" si="111"/>
        <v>0.69142857142857139</v>
      </c>
      <c r="AG284" s="5">
        <f t="shared" si="112"/>
        <v>0.83571428571428574</v>
      </c>
    </row>
    <row r="285" spans="1:33">
      <c r="A285" s="4">
        <v>46218</v>
      </c>
      <c r="B285" s="3" t="s">
        <v>63</v>
      </c>
      <c r="C285" s="3">
        <v>7</v>
      </c>
      <c r="D285" s="6">
        <v>400</v>
      </c>
      <c r="E285" s="6">
        <v>462</v>
      </c>
      <c r="F285" s="6">
        <v>560</v>
      </c>
      <c r="G285" s="6">
        <f t="shared" si="92"/>
        <v>388</v>
      </c>
      <c r="H285" s="5">
        <v>0.99986543028427544</v>
      </c>
      <c r="I285" s="6">
        <f t="shared" si="93"/>
        <v>388</v>
      </c>
      <c r="J285" s="6">
        <f t="shared" si="113"/>
        <v>48</v>
      </c>
      <c r="K285" s="6">
        <f t="shared" si="94"/>
        <v>436</v>
      </c>
      <c r="L285" s="6">
        <f t="shared" si="95"/>
        <v>436</v>
      </c>
      <c r="M285" s="6">
        <f t="shared" si="96"/>
        <v>26</v>
      </c>
      <c r="N285" s="6">
        <f t="shared" si="97"/>
        <v>0</v>
      </c>
      <c r="O285" s="5">
        <v>0.02</v>
      </c>
      <c r="P285" s="6">
        <f t="shared" si="98"/>
        <v>0</v>
      </c>
      <c r="Q285" s="6">
        <f t="shared" si="99"/>
        <v>0</v>
      </c>
      <c r="R285" s="6">
        <v>72</v>
      </c>
      <c r="S285" s="6">
        <f t="shared" si="100"/>
        <v>361</v>
      </c>
      <c r="T285" s="5">
        <v>0.99624256725217697</v>
      </c>
      <c r="U285" s="6">
        <f t="shared" si="101"/>
        <v>360</v>
      </c>
      <c r="V285" s="6">
        <f t="shared" si="114"/>
        <v>111</v>
      </c>
      <c r="W285" s="6">
        <f t="shared" si="102"/>
        <v>471</v>
      </c>
      <c r="X285" s="6">
        <f t="shared" si="103"/>
        <v>462</v>
      </c>
      <c r="Y285" s="6">
        <f t="shared" si="104"/>
        <v>0</v>
      </c>
      <c r="Z285" s="6">
        <f t="shared" si="105"/>
        <v>9</v>
      </c>
      <c r="AA285" s="6">
        <f t="shared" si="106"/>
        <v>0</v>
      </c>
      <c r="AB285" s="6">
        <f t="shared" si="107"/>
        <v>9</v>
      </c>
      <c r="AC285" s="5">
        <f t="shared" si="108"/>
        <v>0.13419913419913421</v>
      </c>
      <c r="AD285" s="5">
        <f t="shared" si="109"/>
        <v>0.94372294372294374</v>
      </c>
      <c r="AE285" s="5">
        <f t="shared" si="110"/>
        <v>1</v>
      </c>
      <c r="AF285" s="5">
        <f t="shared" si="111"/>
        <v>0.69285714285714284</v>
      </c>
      <c r="AG285" s="5">
        <f t="shared" si="112"/>
        <v>0.6428571428571429</v>
      </c>
    </row>
    <row r="286" spans="1:33">
      <c r="A286" s="4">
        <v>46218</v>
      </c>
      <c r="B286" s="3" t="s">
        <v>64</v>
      </c>
      <c r="C286" s="3">
        <v>5</v>
      </c>
      <c r="D286" s="6">
        <v>160</v>
      </c>
      <c r="E286" s="6">
        <v>175</v>
      </c>
      <c r="F286" s="6">
        <v>230</v>
      </c>
      <c r="G286" s="6">
        <f t="shared" si="92"/>
        <v>155</v>
      </c>
      <c r="H286" s="5">
        <v>0.99778544542176839</v>
      </c>
      <c r="I286" s="6">
        <f t="shared" si="93"/>
        <v>155</v>
      </c>
      <c r="J286" s="6">
        <f t="shared" si="113"/>
        <v>12</v>
      </c>
      <c r="K286" s="6">
        <f t="shared" si="94"/>
        <v>167</v>
      </c>
      <c r="L286" s="6">
        <f t="shared" si="95"/>
        <v>167</v>
      </c>
      <c r="M286" s="6">
        <f t="shared" si="96"/>
        <v>8</v>
      </c>
      <c r="N286" s="6">
        <f t="shared" si="97"/>
        <v>0</v>
      </c>
      <c r="O286" s="5">
        <v>2.5000000000000001E-2</v>
      </c>
      <c r="P286" s="6">
        <f t="shared" si="98"/>
        <v>0</v>
      </c>
      <c r="Q286" s="6">
        <f t="shared" si="99"/>
        <v>0</v>
      </c>
      <c r="R286" s="6">
        <v>32</v>
      </c>
      <c r="S286" s="6">
        <f t="shared" si="100"/>
        <v>170</v>
      </c>
      <c r="T286" s="5">
        <v>0.98036419591223289</v>
      </c>
      <c r="U286" s="6">
        <f t="shared" si="101"/>
        <v>167</v>
      </c>
      <c r="V286" s="6">
        <f t="shared" si="114"/>
        <v>22</v>
      </c>
      <c r="W286" s="6">
        <f t="shared" si="102"/>
        <v>189</v>
      </c>
      <c r="X286" s="6">
        <f t="shared" si="103"/>
        <v>175</v>
      </c>
      <c r="Y286" s="6">
        <f t="shared" si="104"/>
        <v>0</v>
      </c>
      <c r="Z286" s="6">
        <f t="shared" si="105"/>
        <v>14</v>
      </c>
      <c r="AA286" s="6">
        <f t="shared" si="106"/>
        <v>0</v>
      </c>
      <c r="AB286" s="6">
        <f t="shared" si="107"/>
        <v>14</v>
      </c>
      <c r="AC286" s="5">
        <f t="shared" si="108"/>
        <v>8.5714285714285715E-2</v>
      </c>
      <c r="AD286" s="5">
        <f t="shared" si="109"/>
        <v>0.95428571428571429</v>
      </c>
      <c r="AE286" s="5">
        <f t="shared" si="110"/>
        <v>1</v>
      </c>
      <c r="AF286" s="5">
        <f t="shared" si="111"/>
        <v>0.67391304347826086</v>
      </c>
      <c r="AG286" s="5">
        <f t="shared" si="112"/>
        <v>0.72608695652173916</v>
      </c>
    </row>
    <row r="287" spans="1:33">
      <c r="A287" s="4">
        <v>46219</v>
      </c>
      <c r="B287" s="3" t="s">
        <v>60</v>
      </c>
      <c r="C287" s="3">
        <v>2</v>
      </c>
      <c r="D287" s="6">
        <v>1734</v>
      </c>
      <c r="E287" s="6">
        <v>1979</v>
      </c>
      <c r="F287" s="6">
        <v>2250</v>
      </c>
      <c r="G287" s="6">
        <f t="shared" si="92"/>
        <v>1682</v>
      </c>
      <c r="H287" s="5">
        <v>1.0060213954617943</v>
      </c>
      <c r="I287" s="6">
        <f t="shared" si="93"/>
        <v>1692</v>
      </c>
      <c r="J287" s="6">
        <f t="shared" si="113"/>
        <v>0</v>
      </c>
      <c r="K287" s="6">
        <f t="shared" si="94"/>
        <v>1692</v>
      </c>
      <c r="L287" s="6">
        <f t="shared" si="95"/>
        <v>1692</v>
      </c>
      <c r="M287" s="6">
        <f t="shared" si="96"/>
        <v>287</v>
      </c>
      <c r="N287" s="6">
        <f t="shared" si="97"/>
        <v>0</v>
      </c>
      <c r="O287" s="5">
        <v>2.5000000000000001E-2</v>
      </c>
      <c r="P287" s="6">
        <f t="shared" si="98"/>
        <v>0</v>
      </c>
      <c r="Q287" s="6">
        <f t="shared" si="99"/>
        <v>0</v>
      </c>
      <c r="R287" s="6">
        <v>208</v>
      </c>
      <c r="S287" s="6">
        <f t="shared" si="100"/>
        <v>1859</v>
      </c>
      <c r="T287" s="5">
        <v>0.9940126476197555</v>
      </c>
      <c r="U287" s="6">
        <f t="shared" si="101"/>
        <v>1848</v>
      </c>
      <c r="V287" s="6">
        <f t="shared" si="114"/>
        <v>83</v>
      </c>
      <c r="W287" s="6">
        <f t="shared" si="102"/>
        <v>1931</v>
      </c>
      <c r="X287" s="6">
        <f t="shared" si="103"/>
        <v>1931</v>
      </c>
      <c r="Y287" s="6">
        <f t="shared" si="104"/>
        <v>48</v>
      </c>
      <c r="Z287" s="6">
        <f t="shared" si="105"/>
        <v>0</v>
      </c>
      <c r="AA287" s="6">
        <f t="shared" si="106"/>
        <v>0</v>
      </c>
      <c r="AB287" s="6">
        <f t="shared" si="107"/>
        <v>0</v>
      </c>
      <c r="AC287" s="5">
        <f t="shared" si="108"/>
        <v>0.12379989893885801</v>
      </c>
      <c r="AD287" s="5">
        <f t="shared" si="109"/>
        <v>0.85497726124305207</v>
      </c>
      <c r="AE287" s="5">
        <f t="shared" si="110"/>
        <v>0.97574532592218288</v>
      </c>
      <c r="AF287" s="5">
        <f t="shared" si="111"/>
        <v>0.752</v>
      </c>
      <c r="AG287" s="5">
        <f t="shared" si="112"/>
        <v>0.82133333333333336</v>
      </c>
    </row>
    <row r="288" spans="1:33">
      <c r="A288" s="4">
        <v>46219</v>
      </c>
      <c r="B288" s="3" t="s">
        <v>61</v>
      </c>
      <c r="C288" s="3">
        <v>2</v>
      </c>
      <c r="D288" s="6">
        <v>867</v>
      </c>
      <c r="E288" s="6">
        <v>906</v>
      </c>
      <c r="F288" s="6">
        <v>1200</v>
      </c>
      <c r="G288" s="6">
        <f t="shared" si="92"/>
        <v>841</v>
      </c>
      <c r="H288" s="5">
        <v>0.99172552879323372</v>
      </c>
      <c r="I288" s="6">
        <f t="shared" si="93"/>
        <v>834</v>
      </c>
      <c r="J288" s="6">
        <f t="shared" si="113"/>
        <v>0</v>
      </c>
      <c r="K288" s="6">
        <f t="shared" si="94"/>
        <v>834</v>
      </c>
      <c r="L288" s="6">
        <f t="shared" si="95"/>
        <v>834</v>
      </c>
      <c r="M288" s="6">
        <f t="shared" si="96"/>
        <v>72</v>
      </c>
      <c r="N288" s="6">
        <f t="shared" si="97"/>
        <v>0</v>
      </c>
      <c r="O288" s="5">
        <v>0.03</v>
      </c>
      <c r="P288" s="6">
        <f t="shared" si="98"/>
        <v>0</v>
      </c>
      <c r="Q288" s="6">
        <f t="shared" si="99"/>
        <v>0</v>
      </c>
      <c r="R288" s="6">
        <v>104</v>
      </c>
      <c r="S288" s="6">
        <f t="shared" si="100"/>
        <v>920</v>
      </c>
      <c r="T288" s="5">
        <v>1.0031315524859254</v>
      </c>
      <c r="U288" s="6">
        <f t="shared" si="101"/>
        <v>923</v>
      </c>
      <c r="V288" s="6">
        <f t="shared" si="114"/>
        <v>51</v>
      </c>
      <c r="W288" s="6">
        <f t="shared" si="102"/>
        <v>974</v>
      </c>
      <c r="X288" s="6">
        <f t="shared" si="103"/>
        <v>906</v>
      </c>
      <c r="Y288" s="6">
        <f t="shared" si="104"/>
        <v>0</v>
      </c>
      <c r="Z288" s="6">
        <f t="shared" si="105"/>
        <v>68</v>
      </c>
      <c r="AA288" s="6">
        <f t="shared" si="106"/>
        <v>2</v>
      </c>
      <c r="AB288" s="6">
        <f t="shared" si="107"/>
        <v>66</v>
      </c>
      <c r="AC288" s="5">
        <f t="shared" si="108"/>
        <v>4.3046357615894038E-2</v>
      </c>
      <c r="AD288" s="5">
        <f t="shared" si="109"/>
        <v>0.92052980132450335</v>
      </c>
      <c r="AE288" s="5">
        <f t="shared" si="110"/>
        <v>1</v>
      </c>
      <c r="AF288" s="5">
        <f t="shared" si="111"/>
        <v>0.69499999999999995</v>
      </c>
      <c r="AG288" s="5">
        <f t="shared" si="112"/>
        <v>0.76916666666666667</v>
      </c>
    </row>
    <row r="289" spans="1:33">
      <c r="A289" s="4">
        <v>46219</v>
      </c>
      <c r="B289" s="3" t="s">
        <v>62</v>
      </c>
      <c r="C289" s="3">
        <v>7</v>
      </c>
      <c r="D289" s="6">
        <v>510</v>
      </c>
      <c r="E289" s="6">
        <v>574</v>
      </c>
      <c r="F289" s="6">
        <v>700</v>
      </c>
      <c r="G289" s="6">
        <f t="shared" si="92"/>
        <v>495</v>
      </c>
      <c r="H289" s="5">
        <v>1.0195037510121676</v>
      </c>
      <c r="I289" s="6">
        <f t="shared" si="93"/>
        <v>505</v>
      </c>
      <c r="J289" s="6">
        <f t="shared" si="113"/>
        <v>0</v>
      </c>
      <c r="K289" s="6">
        <f t="shared" si="94"/>
        <v>505</v>
      </c>
      <c r="L289" s="6">
        <f t="shared" si="95"/>
        <v>505</v>
      </c>
      <c r="M289" s="6">
        <f t="shared" si="96"/>
        <v>69</v>
      </c>
      <c r="N289" s="6">
        <f t="shared" si="97"/>
        <v>0</v>
      </c>
      <c r="O289" s="5">
        <v>1.7999999999999999E-2</v>
      </c>
      <c r="P289" s="6">
        <f t="shared" si="98"/>
        <v>0</v>
      </c>
      <c r="Q289" s="6">
        <f t="shared" si="99"/>
        <v>0</v>
      </c>
      <c r="R289" s="6">
        <v>92</v>
      </c>
      <c r="S289" s="6">
        <f t="shared" si="100"/>
        <v>514</v>
      </c>
      <c r="T289" s="5">
        <v>1.0129013812420395</v>
      </c>
      <c r="U289" s="6">
        <f t="shared" si="101"/>
        <v>521</v>
      </c>
      <c r="V289" s="6">
        <f t="shared" si="114"/>
        <v>88</v>
      </c>
      <c r="W289" s="6">
        <f t="shared" si="102"/>
        <v>609</v>
      </c>
      <c r="X289" s="6">
        <f t="shared" si="103"/>
        <v>574</v>
      </c>
      <c r="Y289" s="6">
        <f t="shared" si="104"/>
        <v>0</v>
      </c>
      <c r="Z289" s="6">
        <f t="shared" si="105"/>
        <v>35</v>
      </c>
      <c r="AA289" s="6">
        <f t="shared" si="106"/>
        <v>1</v>
      </c>
      <c r="AB289" s="6">
        <f t="shared" si="107"/>
        <v>34</v>
      </c>
      <c r="AC289" s="5">
        <f t="shared" si="108"/>
        <v>0.11149825783972125</v>
      </c>
      <c r="AD289" s="5">
        <f t="shared" si="109"/>
        <v>0.87979094076655051</v>
      </c>
      <c r="AE289" s="5">
        <f t="shared" si="110"/>
        <v>1</v>
      </c>
      <c r="AF289" s="5">
        <f t="shared" si="111"/>
        <v>0.72142857142857142</v>
      </c>
      <c r="AG289" s="5">
        <f t="shared" si="112"/>
        <v>0.74428571428571433</v>
      </c>
    </row>
    <row r="290" spans="1:33">
      <c r="A290" s="4">
        <v>46219</v>
      </c>
      <c r="B290" s="3" t="s">
        <v>63</v>
      </c>
      <c r="C290" s="3">
        <v>7</v>
      </c>
      <c r="D290" s="6">
        <v>408</v>
      </c>
      <c r="E290" s="6">
        <v>426</v>
      </c>
      <c r="F290" s="6">
        <v>560</v>
      </c>
      <c r="G290" s="6">
        <f t="shared" si="92"/>
        <v>396</v>
      </c>
      <c r="H290" s="5">
        <v>0.99163742848052849</v>
      </c>
      <c r="I290" s="6">
        <f t="shared" si="93"/>
        <v>393</v>
      </c>
      <c r="J290" s="6">
        <f t="shared" si="113"/>
        <v>0</v>
      </c>
      <c r="K290" s="6">
        <f t="shared" si="94"/>
        <v>393</v>
      </c>
      <c r="L290" s="6">
        <f t="shared" si="95"/>
        <v>393</v>
      </c>
      <c r="M290" s="6">
        <f t="shared" si="96"/>
        <v>33</v>
      </c>
      <c r="N290" s="6">
        <f t="shared" si="97"/>
        <v>0</v>
      </c>
      <c r="O290" s="5">
        <v>0.02</v>
      </c>
      <c r="P290" s="6">
        <f t="shared" si="98"/>
        <v>0</v>
      </c>
      <c r="Q290" s="6">
        <f t="shared" si="99"/>
        <v>0</v>
      </c>
      <c r="R290" s="6">
        <v>73</v>
      </c>
      <c r="S290" s="6">
        <f t="shared" si="100"/>
        <v>472</v>
      </c>
      <c r="T290" s="5">
        <v>0.98521021450064539</v>
      </c>
      <c r="U290" s="6">
        <f t="shared" si="101"/>
        <v>465</v>
      </c>
      <c r="V290" s="6">
        <f t="shared" si="114"/>
        <v>9</v>
      </c>
      <c r="W290" s="6">
        <f t="shared" si="102"/>
        <v>474</v>
      </c>
      <c r="X290" s="6">
        <f t="shared" si="103"/>
        <v>426</v>
      </c>
      <c r="Y290" s="6">
        <f t="shared" si="104"/>
        <v>0</v>
      </c>
      <c r="Z290" s="6">
        <f t="shared" si="105"/>
        <v>48</v>
      </c>
      <c r="AA290" s="6">
        <f t="shared" si="106"/>
        <v>1</v>
      </c>
      <c r="AB290" s="6">
        <f t="shared" si="107"/>
        <v>47</v>
      </c>
      <c r="AC290" s="5">
        <f t="shared" si="108"/>
        <v>4.2253521126760563E-2</v>
      </c>
      <c r="AD290" s="5">
        <f t="shared" si="109"/>
        <v>0.92253521126760563</v>
      </c>
      <c r="AE290" s="5">
        <f t="shared" si="110"/>
        <v>1</v>
      </c>
      <c r="AF290" s="5">
        <f t="shared" si="111"/>
        <v>0.70178571428571423</v>
      </c>
      <c r="AG290" s="5">
        <f t="shared" si="112"/>
        <v>0.8303571428571429</v>
      </c>
    </row>
    <row r="291" spans="1:33">
      <c r="A291" s="4">
        <v>46219</v>
      </c>
      <c r="B291" s="3" t="s">
        <v>64</v>
      </c>
      <c r="C291" s="3">
        <v>5</v>
      </c>
      <c r="D291" s="6">
        <v>163</v>
      </c>
      <c r="E291" s="6">
        <v>144</v>
      </c>
      <c r="F291" s="6">
        <v>230</v>
      </c>
      <c r="G291" s="6">
        <f t="shared" si="92"/>
        <v>158</v>
      </c>
      <c r="H291" s="5">
        <v>1.0167530397913165</v>
      </c>
      <c r="I291" s="6">
        <f t="shared" si="93"/>
        <v>161</v>
      </c>
      <c r="J291" s="6">
        <f t="shared" si="113"/>
        <v>0</v>
      </c>
      <c r="K291" s="6">
        <f t="shared" si="94"/>
        <v>161</v>
      </c>
      <c r="L291" s="6">
        <f t="shared" si="95"/>
        <v>144</v>
      </c>
      <c r="M291" s="6">
        <f t="shared" si="96"/>
        <v>0</v>
      </c>
      <c r="N291" s="6">
        <f t="shared" si="97"/>
        <v>17</v>
      </c>
      <c r="O291" s="5">
        <v>2.5000000000000001E-2</v>
      </c>
      <c r="P291" s="6">
        <f t="shared" si="98"/>
        <v>0</v>
      </c>
      <c r="Q291" s="6">
        <f t="shared" si="99"/>
        <v>17</v>
      </c>
      <c r="R291" s="6">
        <v>33</v>
      </c>
      <c r="S291" s="6">
        <f t="shared" si="100"/>
        <v>182</v>
      </c>
      <c r="T291" s="5">
        <v>1.0015606118014178</v>
      </c>
      <c r="U291" s="6">
        <f t="shared" si="101"/>
        <v>182</v>
      </c>
      <c r="V291" s="6">
        <f t="shared" si="114"/>
        <v>14</v>
      </c>
      <c r="W291" s="6">
        <f t="shared" si="102"/>
        <v>196</v>
      </c>
      <c r="X291" s="6">
        <f t="shared" si="103"/>
        <v>144</v>
      </c>
      <c r="Y291" s="6">
        <f t="shared" si="104"/>
        <v>0</v>
      </c>
      <c r="Z291" s="6">
        <f t="shared" si="105"/>
        <v>52</v>
      </c>
      <c r="AA291" s="6">
        <f t="shared" si="106"/>
        <v>1</v>
      </c>
      <c r="AB291" s="6">
        <f t="shared" si="107"/>
        <v>51</v>
      </c>
      <c r="AC291" s="5">
        <f t="shared" si="108"/>
        <v>0.13194444444444445</v>
      </c>
      <c r="AD291" s="5">
        <f t="shared" si="109"/>
        <v>1</v>
      </c>
      <c r="AE291" s="5">
        <f t="shared" si="110"/>
        <v>1</v>
      </c>
      <c r="AF291" s="5">
        <f t="shared" si="111"/>
        <v>0.7</v>
      </c>
      <c r="AG291" s="5">
        <f t="shared" si="112"/>
        <v>0.79130434782608694</v>
      </c>
    </row>
    <row r="292" spans="1:33">
      <c r="A292" s="4">
        <v>46220</v>
      </c>
      <c r="B292" s="3" t="s">
        <v>60</v>
      </c>
      <c r="C292" s="3">
        <v>2</v>
      </c>
      <c r="D292" s="6">
        <v>1804</v>
      </c>
      <c r="E292" s="6">
        <v>1751</v>
      </c>
      <c r="F292" s="6">
        <v>2250</v>
      </c>
      <c r="G292" s="6">
        <f t="shared" si="92"/>
        <v>1750</v>
      </c>
      <c r="H292" s="5">
        <v>1.0057747836001956</v>
      </c>
      <c r="I292" s="6">
        <f t="shared" si="93"/>
        <v>1760</v>
      </c>
      <c r="J292" s="6">
        <f t="shared" si="113"/>
        <v>0</v>
      </c>
      <c r="K292" s="6">
        <f t="shared" si="94"/>
        <v>1760</v>
      </c>
      <c r="L292" s="6">
        <f t="shared" si="95"/>
        <v>1751</v>
      </c>
      <c r="M292" s="6">
        <f t="shared" si="96"/>
        <v>0</v>
      </c>
      <c r="N292" s="6">
        <f t="shared" si="97"/>
        <v>9</v>
      </c>
      <c r="O292" s="5">
        <v>2.5000000000000001E-2</v>
      </c>
      <c r="P292" s="6">
        <f t="shared" si="98"/>
        <v>0</v>
      </c>
      <c r="Q292" s="6">
        <f t="shared" si="99"/>
        <v>9</v>
      </c>
      <c r="R292" s="6">
        <v>216</v>
      </c>
      <c r="S292" s="6">
        <f t="shared" si="100"/>
        <v>2020</v>
      </c>
      <c r="T292" s="5">
        <v>0.9943258346067686</v>
      </c>
      <c r="U292" s="6">
        <f t="shared" si="101"/>
        <v>2009</v>
      </c>
      <c r="V292" s="6">
        <f t="shared" si="114"/>
        <v>0</v>
      </c>
      <c r="W292" s="6">
        <f t="shared" si="102"/>
        <v>2009</v>
      </c>
      <c r="X292" s="6">
        <f t="shared" si="103"/>
        <v>1751</v>
      </c>
      <c r="Y292" s="6">
        <f t="shared" si="104"/>
        <v>0</v>
      </c>
      <c r="Z292" s="6">
        <f t="shared" si="105"/>
        <v>258</v>
      </c>
      <c r="AA292" s="6">
        <f t="shared" si="106"/>
        <v>6</v>
      </c>
      <c r="AB292" s="6">
        <f t="shared" si="107"/>
        <v>252</v>
      </c>
      <c r="AC292" s="5">
        <f t="shared" si="108"/>
        <v>3.0268418046830382E-2</v>
      </c>
      <c r="AD292" s="5">
        <f t="shared" si="109"/>
        <v>1</v>
      </c>
      <c r="AE292" s="5">
        <f t="shared" si="110"/>
        <v>1</v>
      </c>
      <c r="AF292" s="5">
        <f t="shared" si="111"/>
        <v>0.78222222222222226</v>
      </c>
      <c r="AG292" s="5">
        <f t="shared" si="112"/>
        <v>0.89288888888888884</v>
      </c>
    </row>
    <row r="293" spans="1:33">
      <c r="A293" s="4">
        <v>46220</v>
      </c>
      <c r="B293" s="3" t="s">
        <v>61</v>
      </c>
      <c r="C293" s="3">
        <v>2</v>
      </c>
      <c r="D293" s="6">
        <v>902</v>
      </c>
      <c r="E293" s="6">
        <v>911</v>
      </c>
      <c r="F293" s="6">
        <v>1200</v>
      </c>
      <c r="G293" s="6">
        <f t="shared" si="92"/>
        <v>875</v>
      </c>
      <c r="H293" s="5">
        <v>0.98486433926945605</v>
      </c>
      <c r="I293" s="6">
        <f t="shared" si="93"/>
        <v>862</v>
      </c>
      <c r="J293" s="6">
        <f t="shared" si="113"/>
        <v>0</v>
      </c>
      <c r="K293" s="6">
        <f t="shared" si="94"/>
        <v>862</v>
      </c>
      <c r="L293" s="6">
        <f t="shared" si="95"/>
        <v>862</v>
      </c>
      <c r="M293" s="6">
        <f t="shared" si="96"/>
        <v>49</v>
      </c>
      <c r="N293" s="6">
        <f t="shared" si="97"/>
        <v>0</v>
      </c>
      <c r="O293" s="5">
        <v>0.03</v>
      </c>
      <c r="P293" s="6">
        <f t="shared" si="98"/>
        <v>0</v>
      </c>
      <c r="Q293" s="6">
        <f t="shared" si="99"/>
        <v>0</v>
      </c>
      <c r="R293" s="6">
        <v>108</v>
      </c>
      <c r="S293" s="6">
        <f t="shared" si="100"/>
        <v>944</v>
      </c>
      <c r="T293" s="5">
        <v>0.98538854343331228</v>
      </c>
      <c r="U293" s="6">
        <f t="shared" si="101"/>
        <v>930</v>
      </c>
      <c r="V293" s="6">
        <f t="shared" si="114"/>
        <v>66</v>
      </c>
      <c r="W293" s="6">
        <f t="shared" si="102"/>
        <v>996</v>
      </c>
      <c r="X293" s="6">
        <f t="shared" si="103"/>
        <v>911</v>
      </c>
      <c r="Y293" s="6">
        <f t="shared" si="104"/>
        <v>0</v>
      </c>
      <c r="Z293" s="6">
        <f t="shared" si="105"/>
        <v>85</v>
      </c>
      <c r="AA293" s="6">
        <f t="shared" si="106"/>
        <v>3</v>
      </c>
      <c r="AB293" s="6">
        <f t="shared" si="107"/>
        <v>82</v>
      </c>
      <c r="AC293" s="5">
        <f t="shared" si="108"/>
        <v>9.8792535675082324E-3</v>
      </c>
      <c r="AD293" s="5">
        <f t="shared" si="109"/>
        <v>0.94621295279912188</v>
      </c>
      <c r="AE293" s="5">
        <f t="shared" si="110"/>
        <v>1</v>
      </c>
      <c r="AF293" s="5">
        <f t="shared" si="111"/>
        <v>0.71833333333333338</v>
      </c>
      <c r="AG293" s="5">
        <f t="shared" si="112"/>
        <v>0.77500000000000002</v>
      </c>
    </row>
    <row r="294" spans="1:33">
      <c r="A294" s="4">
        <v>46220</v>
      </c>
      <c r="B294" s="3" t="s">
        <v>62</v>
      </c>
      <c r="C294" s="3">
        <v>7</v>
      </c>
      <c r="D294" s="6">
        <v>531</v>
      </c>
      <c r="E294" s="6">
        <v>477</v>
      </c>
      <c r="F294" s="6">
        <v>700</v>
      </c>
      <c r="G294" s="6">
        <f t="shared" si="92"/>
        <v>515</v>
      </c>
      <c r="H294" s="5">
        <v>0.98746472784051709</v>
      </c>
      <c r="I294" s="6">
        <f t="shared" si="93"/>
        <v>509</v>
      </c>
      <c r="J294" s="6">
        <f t="shared" si="113"/>
        <v>0</v>
      </c>
      <c r="K294" s="6">
        <f t="shared" si="94"/>
        <v>509</v>
      </c>
      <c r="L294" s="6">
        <f t="shared" si="95"/>
        <v>477</v>
      </c>
      <c r="M294" s="6">
        <f t="shared" si="96"/>
        <v>0</v>
      </c>
      <c r="N294" s="6">
        <f t="shared" si="97"/>
        <v>32</v>
      </c>
      <c r="O294" s="5">
        <v>1.7999999999999999E-2</v>
      </c>
      <c r="P294" s="6">
        <f t="shared" si="98"/>
        <v>1</v>
      </c>
      <c r="Q294" s="6">
        <f t="shared" si="99"/>
        <v>31</v>
      </c>
      <c r="R294" s="6">
        <v>96</v>
      </c>
      <c r="S294" s="6">
        <f t="shared" si="100"/>
        <v>593</v>
      </c>
      <c r="T294" s="5">
        <v>1.0187844264724364</v>
      </c>
      <c r="U294" s="6">
        <f t="shared" si="101"/>
        <v>604</v>
      </c>
      <c r="V294" s="6">
        <f t="shared" si="114"/>
        <v>34</v>
      </c>
      <c r="W294" s="6">
        <f t="shared" si="102"/>
        <v>638</v>
      </c>
      <c r="X294" s="6">
        <f t="shared" si="103"/>
        <v>477</v>
      </c>
      <c r="Y294" s="6">
        <f t="shared" si="104"/>
        <v>0</v>
      </c>
      <c r="Z294" s="6">
        <f t="shared" si="105"/>
        <v>161</v>
      </c>
      <c r="AA294" s="6">
        <f t="shared" si="106"/>
        <v>3</v>
      </c>
      <c r="AB294" s="6">
        <f t="shared" si="107"/>
        <v>158</v>
      </c>
      <c r="AC294" s="5">
        <f t="shared" si="108"/>
        <v>0.11320754716981132</v>
      </c>
      <c r="AD294" s="5">
        <f t="shared" si="109"/>
        <v>1</v>
      </c>
      <c r="AE294" s="5">
        <f t="shared" si="110"/>
        <v>1</v>
      </c>
      <c r="AF294" s="5">
        <f t="shared" si="111"/>
        <v>0.72714285714285709</v>
      </c>
      <c r="AG294" s="5">
        <f t="shared" si="112"/>
        <v>0.86285714285714288</v>
      </c>
    </row>
    <row r="295" spans="1:33">
      <c r="A295" s="4">
        <v>46220</v>
      </c>
      <c r="B295" s="3" t="s">
        <v>63</v>
      </c>
      <c r="C295" s="3">
        <v>7</v>
      </c>
      <c r="D295" s="6">
        <v>424</v>
      </c>
      <c r="E295" s="6">
        <v>476</v>
      </c>
      <c r="F295" s="6">
        <v>560</v>
      </c>
      <c r="G295" s="6">
        <f t="shared" si="92"/>
        <v>411</v>
      </c>
      <c r="H295" s="5">
        <v>0.98331599896209354</v>
      </c>
      <c r="I295" s="6">
        <f t="shared" si="93"/>
        <v>404</v>
      </c>
      <c r="J295" s="6">
        <f t="shared" si="113"/>
        <v>0</v>
      </c>
      <c r="K295" s="6">
        <f t="shared" si="94"/>
        <v>404</v>
      </c>
      <c r="L295" s="6">
        <f t="shared" si="95"/>
        <v>404</v>
      </c>
      <c r="M295" s="6">
        <f t="shared" si="96"/>
        <v>72</v>
      </c>
      <c r="N295" s="6">
        <f t="shared" si="97"/>
        <v>0</v>
      </c>
      <c r="O295" s="5">
        <v>0.02</v>
      </c>
      <c r="P295" s="6">
        <f t="shared" si="98"/>
        <v>0</v>
      </c>
      <c r="Q295" s="6">
        <f t="shared" si="99"/>
        <v>0</v>
      </c>
      <c r="R295" s="6">
        <v>76</v>
      </c>
      <c r="S295" s="6">
        <f t="shared" si="100"/>
        <v>453</v>
      </c>
      <c r="T295" s="5">
        <v>0.99721969388067144</v>
      </c>
      <c r="U295" s="6">
        <f t="shared" si="101"/>
        <v>452</v>
      </c>
      <c r="V295" s="6">
        <f t="shared" si="114"/>
        <v>47</v>
      </c>
      <c r="W295" s="6">
        <f t="shared" si="102"/>
        <v>499</v>
      </c>
      <c r="X295" s="6">
        <f t="shared" si="103"/>
        <v>476</v>
      </c>
      <c r="Y295" s="6">
        <f t="shared" si="104"/>
        <v>0</v>
      </c>
      <c r="Z295" s="6">
        <f t="shared" si="105"/>
        <v>23</v>
      </c>
      <c r="AA295" s="6">
        <f t="shared" si="106"/>
        <v>0</v>
      </c>
      <c r="AB295" s="6">
        <f t="shared" si="107"/>
        <v>23</v>
      </c>
      <c r="AC295" s="5">
        <f t="shared" si="108"/>
        <v>0.1092436974789916</v>
      </c>
      <c r="AD295" s="5">
        <f t="shared" si="109"/>
        <v>0.84873949579831931</v>
      </c>
      <c r="AE295" s="5">
        <f t="shared" si="110"/>
        <v>1</v>
      </c>
      <c r="AF295" s="5">
        <f t="shared" si="111"/>
        <v>0.72142857142857142</v>
      </c>
      <c r="AG295" s="5">
        <f t="shared" si="112"/>
        <v>0.80714285714285716</v>
      </c>
    </row>
    <row r="296" spans="1:33">
      <c r="A296" s="4">
        <v>46220</v>
      </c>
      <c r="B296" s="3" t="s">
        <v>64</v>
      </c>
      <c r="C296" s="3">
        <v>5</v>
      </c>
      <c r="D296" s="6">
        <v>170</v>
      </c>
      <c r="E296" s="6">
        <v>180</v>
      </c>
      <c r="F296" s="6">
        <v>230</v>
      </c>
      <c r="G296" s="6">
        <f t="shared" si="92"/>
        <v>165</v>
      </c>
      <c r="H296" s="5">
        <v>1.014228104150003</v>
      </c>
      <c r="I296" s="6">
        <f t="shared" si="93"/>
        <v>167</v>
      </c>
      <c r="J296" s="6">
        <f t="shared" si="113"/>
        <v>17</v>
      </c>
      <c r="K296" s="6">
        <f t="shared" si="94"/>
        <v>184</v>
      </c>
      <c r="L296" s="6">
        <f t="shared" si="95"/>
        <v>180</v>
      </c>
      <c r="M296" s="6">
        <f t="shared" si="96"/>
        <v>0</v>
      </c>
      <c r="N296" s="6">
        <f t="shared" si="97"/>
        <v>4</v>
      </c>
      <c r="O296" s="5">
        <v>2.5000000000000001E-2</v>
      </c>
      <c r="P296" s="6">
        <f t="shared" si="98"/>
        <v>0</v>
      </c>
      <c r="Q296" s="6">
        <f t="shared" si="99"/>
        <v>4</v>
      </c>
      <c r="R296" s="6">
        <v>34</v>
      </c>
      <c r="S296" s="6">
        <f t="shared" si="100"/>
        <v>153</v>
      </c>
      <c r="T296" s="5">
        <v>1.0196204666884532</v>
      </c>
      <c r="U296" s="6">
        <f t="shared" si="101"/>
        <v>156</v>
      </c>
      <c r="V296" s="6">
        <f t="shared" si="114"/>
        <v>51</v>
      </c>
      <c r="W296" s="6">
        <f t="shared" si="102"/>
        <v>207</v>
      </c>
      <c r="X296" s="6">
        <f t="shared" si="103"/>
        <v>180</v>
      </c>
      <c r="Y296" s="6">
        <f t="shared" si="104"/>
        <v>0</v>
      </c>
      <c r="Z296" s="6">
        <f t="shared" si="105"/>
        <v>27</v>
      </c>
      <c r="AA296" s="6">
        <f t="shared" si="106"/>
        <v>1</v>
      </c>
      <c r="AB296" s="6">
        <f t="shared" si="107"/>
        <v>26</v>
      </c>
      <c r="AC296" s="5">
        <f t="shared" si="108"/>
        <v>5.5555555555555552E-2</v>
      </c>
      <c r="AD296" s="5">
        <f t="shared" si="109"/>
        <v>1</v>
      </c>
      <c r="AE296" s="5">
        <f t="shared" si="110"/>
        <v>1</v>
      </c>
      <c r="AF296" s="5">
        <f t="shared" si="111"/>
        <v>0.72608695652173916</v>
      </c>
      <c r="AG296" s="5">
        <f t="shared" si="112"/>
        <v>0.67826086956521736</v>
      </c>
    </row>
    <row r="297" spans="1:33">
      <c r="A297" s="4">
        <v>46221</v>
      </c>
      <c r="B297" s="3" t="s">
        <v>60</v>
      </c>
      <c r="C297" s="3">
        <v>2</v>
      </c>
      <c r="D297" s="6">
        <v>1978</v>
      </c>
      <c r="E297" s="6">
        <v>1821</v>
      </c>
      <c r="F297" s="6">
        <v>2250</v>
      </c>
      <c r="G297" s="6">
        <f t="shared" si="92"/>
        <v>1919</v>
      </c>
      <c r="H297" s="5">
        <v>1.0076232918780046</v>
      </c>
      <c r="I297" s="6">
        <f t="shared" si="93"/>
        <v>1934</v>
      </c>
      <c r="J297" s="6">
        <f t="shared" si="113"/>
        <v>9</v>
      </c>
      <c r="K297" s="6">
        <f t="shared" si="94"/>
        <v>1943</v>
      </c>
      <c r="L297" s="6">
        <f t="shared" si="95"/>
        <v>1821</v>
      </c>
      <c r="M297" s="6">
        <f t="shared" si="96"/>
        <v>0</v>
      </c>
      <c r="N297" s="6">
        <f t="shared" si="97"/>
        <v>122</v>
      </c>
      <c r="O297" s="5">
        <v>2.5000000000000001E-2</v>
      </c>
      <c r="P297" s="6">
        <f t="shared" si="98"/>
        <v>3</v>
      </c>
      <c r="Q297" s="6">
        <f t="shared" si="99"/>
        <v>119</v>
      </c>
      <c r="R297" s="6">
        <v>237</v>
      </c>
      <c r="S297" s="6">
        <f t="shared" si="100"/>
        <v>1963</v>
      </c>
      <c r="T297" s="5">
        <v>1.0019113829893735</v>
      </c>
      <c r="U297" s="6">
        <f t="shared" si="101"/>
        <v>1967</v>
      </c>
      <c r="V297" s="6">
        <f t="shared" si="114"/>
        <v>252</v>
      </c>
      <c r="W297" s="6">
        <f t="shared" si="102"/>
        <v>2219</v>
      </c>
      <c r="X297" s="6">
        <f t="shared" si="103"/>
        <v>1821</v>
      </c>
      <c r="Y297" s="6">
        <f t="shared" si="104"/>
        <v>0</v>
      </c>
      <c r="Z297" s="6">
        <f t="shared" si="105"/>
        <v>398</v>
      </c>
      <c r="AA297" s="6">
        <f t="shared" si="106"/>
        <v>10</v>
      </c>
      <c r="AB297" s="6">
        <f t="shared" si="107"/>
        <v>388</v>
      </c>
      <c r="AC297" s="5">
        <f t="shared" si="108"/>
        <v>8.6216364634816037E-2</v>
      </c>
      <c r="AD297" s="5">
        <f t="shared" si="109"/>
        <v>1</v>
      </c>
      <c r="AE297" s="5">
        <f t="shared" si="110"/>
        <v>1</v>
      </c>
      <c r="AF297" s="5">
        <f t="shared" si="111"/>
        <v>0.85955555555555552</v>
      </c>
      <c r="AG297" s="5">
        <f t="shared" si="112"/>
        <v>0.87422222222222223</v>
      </c>
    </row>
    <row r="298" spans="1:33">
      <c r="A298" s="4">
        <v>46221</v>
      </c>
      <c r="B298" s="3" t="s">
        <v>61</v>
      </c>
      <c r="C298" s="3">
        <v>2</v>
      </c>
      <c r="D298" s="6">
        <v>989</v>
      </c>
      <c r="E298" s="6">
        <v>1126</v>
      </c>
      <c r="F298" s="6">
        <v>1200</v>
      </c>
      <c r="G298" s="6">
        <f t="shared" si="92"/>
        <v>959</v>
      </c>
      <c r="H298" s="5">
        <v>0.98028088419419113</v>
      </c>
      <c r="I298" s="6">
        <f t="shared" si="93"/>
        <v>940</v>
      </c>
      <c r="J298" s="6">
        <f t="shared" si="113"/>
        <v>0</v>
      </c>
      <c r="K298" s="6">
        <f t="shared" si="94"/>
        <v>940</v>
      </c>
      <c r="L298" s="6">
        <f t="shared" si="95"/>
        <v>940</v>
      </c>
      <c r="M298" s="6">
        <f t="shared" si="96"/>
        <v>186</v>
      </c>
      <c r="N298" s="6">
        <f t="shared" si="97"/>
        <v>0</v>
      </c>
      <c r="O298" s="5">
        <v>0.03</v>
      </c>
      <c r="P298" s="6">
        <f t="shared" si="98"/>
        <v>0</v>
      </c>
      <c r="Q298" s="6">
        <f t="shared" si="99"/>
        <v>0</v>
      </c>
      <c r="R298" s="6">
        <v>119</v>
      </c>
      <c r="S298" s="6">
        <f t="shared" si="100"/>
        <v>1026</v>
      </c>
      <c r="T298" s="5">
        <v>0.98210988740235572</v>
      </c>
      <c r="U298" s="6">
        <f t="shared" si="101"/>
        <v>1008</v>
      </c>
      <c r="V298" s="6">
        <f t="shared" si="114"/>
        <v>82</v>
      </c>
      <c r="W298" s="6">
        <f t="shared" si="102"/>
        <v>1090</v>
      </c>
      <c r="X298" s="6">
        <f t="shared" si="103"/>
        <v>1090</v>
      </c>
      <c r="Y298" s="6">
        <f t="shared" si="104"/>
        <v>36</v>
      </c>
      <c r="Z298" s="6">
        <f t="shared" si="105"/>
        <v>0</v>
      </c>
      <c r="AA298" s="6">
        <f t="shared" si="106"/>
        <v>0</v>
      </c>
      <c r="AB298" s="6">
        <f t="shared" si="107"/>
        <v>0</v>
      </c>
      <c r="AC298" s="5">
        <f t="shared" si="108"/>
        <v>0.1216696269982238</v>
      </c>
      <c r="AD298" s="5">
        <f t="shared" si="109"/>
        <v>0.8348134991119005</v>
      </c>
      <c r="AE298" s="5">
        <f t="shared" si="110"/>
        <v>0.96802841918294846</v>
      </c>
      <c r="AF298" s="5">
        <f t="shared" si="111"/>
        <v>0.78333333333333333</v>
      </c>
      <c r="AG298" s="5">
        <f t="shared" si="112"/>
        <v>0.84</v>
      </c>
    </row>
    <row r="299" spans="1:33">
      <c r="A299" s="4">
        <v>46221</v>
      </c>
      <c r="B299" s="3" t="s">
        <v>62</v>
      </c>
      <c r="C299" s="3">
        <v>7</v>
      </c>
      <c r="D299" s="6">
        <v>582</v>
      </c>
      <c r="E299" s="6">
        <v>673</v>
      </c>
      <c r="F299" s="6">
        <v>700</v>
      </c>
      <c r="G299" s="6">
        <f t="shared" si="92"/>
        <v>565</v>
      </c>
      <c r="H299" s="5">
        <v>1.0012400583718655</v>
      </c>
      <c r="I299" s="6">
        <f t="shared" si="93"/>
        <v>566</v>
      </c>
      <c r="J299" s="6">
        <f t="shared" si="113"/>
        <v>31</v>
      </c>
      <c r="K299" s="6">
        <f t="shared" si="94"/>
        <v>597</v>
      </c>
      <c r="L299" s="6">
        <f t="shared" si="95"/>
        <v>597</v>
      </c>
      <c r="M299" s="6">
        <f t="shared" si="96"/>
        <v>76</v>
      </c>
      <c r="N299" s="6">
        <f t="shared" si="97"/>
        <v>0</v>
      </c>
      <c r="O299" s="5">
        <v>1.7999999999999999E-2</v>
      </c>
      <c r="P299" s="6">
        <f t="shared" si="98"/>
        <v>0</v>
      </c>
      <c r="Q299" s="6">
        <f t="shared" si="99"/>
        <v>0</v>
      </c>
      <c r="R299" s="6">
        <v>105</v>
      </c>
      <c r="S299" s="6">
        <f t="shared" si="100"/>
        <v>529</v>
      </c>
      <c r="T299" s="5">
        <v>0.99992317063672875</v>
      </c>
      <c r="U299" s="6">
        <f t="shared" si="101"/>
        <v>529</v>
      </c>
      <c r="V299" s="6">
        <f t="shared" si="114"/>
        <v>158</v>
      </c>
      <c r="W299" s="6">
        <f t="shared" si="102"/>
        <v>687</v>
      </c>
      <c r="X299" s="6">
        <f t="shared" si="103"/>
        <v>673</v>
      </c>
      <c r="Y299" s="6">
        <f t="shared" si="104"/>
        <v>0</v>
      </c>
      <c r="Z299" s="6">
        <f t="shared" si="105"/>
        <v>14</v>
      </c>
      <c r="AA299" s="6">
        <f t="shared" si="106"/>
        <v>0</v>
      </c>
      <c r="AB299" s="6">
        <f t="shared" si="107"/>
        <v>14</v>
      </c>
      <c r="AC299" s="5">
        <f t="shared" si="108"/>
        <v>0.13521545319465081</v>
      </c>
      <c r="AD299" s="5">
        <f t="shared" si="109"/>
        <v>0.88707280832095092</v>
      </c>
      <c r="AE299" s="5">
        <f t="shared" si="110"/>
        <v>1</v>
      </c>
      <c r="AF299" s="5">
        <f t="shared" si="111"/>
        <v>0.80857142857142861</v>
      </c>
      <c r="AG299" s="5">
        <f t="shared" si="112"/>
        <v>0.75571428571428567</v>
      </c>
    </row>
    <row r="300" spans="1:33">
      <c r="A300" s="4">
        <v>46221</v>
      </c>
      <c r="B300" s="3" t="s">
        <v>63</v>
      </c>
      <c r="C300" s="3">
        <v>7</v>
      </c>
      <c r="D300" s="6">
        <v>461</v>
      </c>
      <c r="E300" s="6">
        <v>538</v>
      </c>
      <c r="F300" s="6">
        <v>560</v>
      </c>
      <c r="G300" s="6">
        <f t="shared" si="92"/>
        <v>447</v>
      </c>
      <c r="H300" s="5">
        <v>0.98521471256077131</v>
      </c>
      <c r="I300" s="6">
        <f t="shared" si="93"/>
        <v>440</v>
      </c>
      <c r="J300" s="6">
        <f t="shared" si="113"/>
        <v>0</v>
      </c>
      <c r="K300" s="6">
        <f t="shared" si="94"/>
        <v>440</v>
      </c>
      <c r="L300" s="6">
        <f t="shared" si="95"/>
        <v>440</v>
      </c>
      <c r="M300" s="6">
        <f t="shared" si="96"/>
        <v>98</v>
      </c>
      <c r="N300" s="6">
        <f t="shared" si="97"/>
        <v>0</v>
      </c>
      <c r="O300" s="5">
        <v>0.02</v>
      </c>
      <c r="P300" s="6">
        <f t="shared" si="98"/>
        <v>0</v>
      </c>
      <c r="Q300" s="6">
        <f t="shared" si="99"/>
        <v>0</v>
      </c>
      <c r="R300" s="6">
        <v>83</v>
      </c>
      <c r="S300" s="6">
        <f t="shared" si="100"/>
        <v>521</v>
      </c>
      <c r="T300" s="5">
        <v>0.98703151588273408</v>
      </c>
      <c r="U300" s="6">
        <f t="shared" si="101"/>
        <v>514</v>
      </c>
      <c r="V300" s="6">
        <f t="shared" si="114"/>
        <v>23</v>
      </c>
      <c r="W300" s="6">
        <f t="shared" si="102"/>
        <v>537</v>
      </c>
      <c r="X300" s="6">
        <f t="shared" si="103"/>
        <v>537</v>
      </c>
      <c r="Y300" s="6">
        <f t="shared" si="104"/>
        <v>1</v>
      </c>
      <c r="Z300" s="6">
        <f t="shared" si="105"/>
        <v>0</v>
      </c>
      <c r="AA300" s="6">
        <f t="shared" si="106"/>
        <v>0</v>
      </c>
      <c r="AB300" s="6">
        <f t="shared" si="107"/>
        <v>0</v>
      </c>
      <c r="AC300" s="5">
        <f t="shared" si="108"/>
        <v>0.14312267657992564</v>
      </c>
      <c r="AD300" s="5">
        <f t="shared" si="109"/>
        <v>0.81784386617100369</v>
      </c>
      <c r="AE300" s="5">
        <f t="shared" si="110"/>
        <v>0.9981412639405205</v>
      </c>
      <c r="AF300" s="5">
        <f t="shared" si="111"/>
        <v>0.7857142857142857</v>
      </c>
      <c r="AG300" s="5">
        <f t="shared" si="112"/>
        <v>0.91785714285714282</v>
      </c>
    </row>
    <row r="301" spans="1:33">
      <c r="A301" s="4">
        <v>46221</v>
      </c>
      <c r="B301" s="3" t="s">
        <v>64</v>
      </c>
      <c r="C301" s="3">
        <v>5</v>
      </c>
      <c r="D301" s="6">
        <v>183</v>
      </c>
      <c r="E301" s="6">
        <v>182</v>
      </c>
      <c r="F301" s="6">
        <v>230</v>
      </c>
      <c r="G301" s="6">
        <f t="shared" si="92"/>
        <v>178</v>
      </c>
      <c r="H301" s="5">
        <v>0.99634126969752979</v>
      </c>
      <c r="I301" s="6">
        <f t="shared" si="93"/>
        <v>177</v>
      </c>
      <c r="J301" s="6">
        <f t="shared" si="113"/>
        <v>4</v>
      </c>
      <c r="K301" s="6">
        <f t="shared" si="94"/>
        <v>181</v>
      </c>
      <c r="L301" s="6">
        <f t="shared" si="95"/>
        <v>181</v>
      </c>
      <c r="M301" s="6">
        <f t="shared" si="96"/>
        <v>1</v>
      </c>
      <c r="N301" s="6">
        <f t="shared" si="97"/>
        <v>0</v>
      </c>
      <c r="O301" s="5">
        <v>2.5000000000000001E-2</v>
      </c>
      <c r="P301" s="6">
        <f t="shared" si="98"/>
        <v>0</v>
      </c>
      <c r="Q301" s="6">
        <f t="shared" si="99"/>
        <v>0</v>
      </c>
      <c r="R301" s="6">
        <v>37</v>
      </c>
      <c r="S301" s="6">
        <f t="shared" si="100"/>
        <v>194</v>
      </c>
      <c r="T301" s="5">
        <v>0.9801916093401547</v>
      </c>
      <c r="U301" s="6">
        <f t="shared" si="101"/>
        <v>190</v>
      </c>
      <c r="V301" s="6">
        <f t="shared" si="114"/>
        <v>26</v>
      </c>
      <c r="W301" s="6">
        <f t="shared" si="102"/>
        <v>216</v>
      </c>
      <c r="X301" s="6">
        <f t="shared" si="103"/>
        <v>182</v>
      </c>
      <c r="Y301" s="6">
        <f t="shared" si="104"/>
        <v>0</v>
      </c>
      <c r="Z301" s="6">
        <f t="shared" si="105"/>
        <v>34</v>
      </c>
      <c r="AA301" s="6">
        <f t="shared" si="106"/>
        <v>1</v>
      </c>
      <c r="AB301" s="6">
        <f t="shared" si="107"/>
        <v>33</v>
      </c>
      <c r="AC301" s="5">
        <f t="shared" si="108"/>
        <v>5.4945054945054949E-3</v>
      </c>
      <c r="AD301" s="5">
        <f t="shared" si="109"/>
        <v>0.99450549450549453</v>
      </c>
      <c r="AE301" s="5">
        <f t="shared" si="110"/>
        <v>1</v>
      </c>
      <c r="AF301" s="5">
        <f t="shared" si="111"/>
        <v>0.76956521739130435</v>
      </c>
      <c r="AG301" s="5">
        <f t="shared" si="112"/>
        <v>0.82608695652173914</v>
      </c>
    </row>
    <row r="302" spans="1:33">
      <c r="A302" s="4">
        <v>46222</v>
      </c>
      <c r="B302" s="3" t="s">
        <v>60</v>
      </c>
      <c r="C302" s="3">
        <v>2</v>
      </c>
      <c r="D302" s="6">
        <v>1944</v>
      </c>
      <c r="E302" s="6">
        <v>2235</v>
      </c>
      <c r="F302" s="6">
        <v>2250</v>
      </c>
      <c r="G302" s="6">
        <f t="shared" si="92"/>
        <v>1886</v>
      </c>
      <c r="H302" s="5">
        <v>1.0037896389965304</v>
      </c>
      <c r="I302" s="6">
        <f t="shared" si="93"/>
        <v>1893</v>
      </c>
      <c r="J302" s="6">
        <f t="shared" si="113"/>
        <v>119</v>
      </c>
      <c r="K302" s="6">
        <f t="shared" si="94"/>
        <v>2012</v>
      </c>
      <c r="L302" s="6">
        <f t="shared" si="95"/>
        <v>2012</v>
      </c>
      <c r="M302" s="6">
        <f t="shared" si="96"/>
        <v>223</v>
      </c>
      <c r="N302" s="6">
        <f t="shared" si="97"/>
        <v>0</v>
      </c>
      <c r="O302" s="5">
        <v>2.5000000000000001E-2</v>
      </c>
      <c r="P302" s="6">
        <f t="shared" si="98"/>
        <v>0</v>
      </c>
      <c r="Q302" s="6">
        <f t="shared" si="99"/>
        <v>0</v>
      </c>
      <c r="R302" s="6">
        <v>233</v>
      </c>
      <c r="S302" s="6">
        <f t="shared" si="100"/>
        <v>1789</v>
      </c>
      <c r="T302" s="5">
        <v>1.0013883192100865</v>
      </c>
      <c r="U302" s="6">
        <f t="shared" si="101"/>
        <v>1791</v>
      </c>
      <c r="V302" s="6">
        <f t="shared" si="114"/>
        <v>388</v>
      </c>
      <c r="W302" s="6">
        <f t="shared" si="102"/>
        <v>2179</v>
      </c>
      <c r="X302" s="6">
        <f t="shared" si="103"/>
        <v>2179</v>
      </c>
      <c r="Y302" s="6">
        <f t="shared" si="104"/>
        <v>56</v>
      </c>
      <c r="Z302" s="6">
        <f t="shared" si="105"/>
        <v>0</v>
      </c>
      <c r="AA302" s="6">
        <f t="shared" si="106"/>
        <v>0</v>
      </c>
      <c r="AB302" s="6">
        <f t="shared" si="107"/>
        <v>0</v>
      </c>
      <c r="AC302" s="5">
        <f t="shared" si="108"/>
        <v>0.13020134228187918</v>
      </c>
      <c r="AD302" s="5">
        <f t="shared" si="109"/>
        <v>0.90022371364653242</v>
      </c>
      <c r="AE302" s="5">
        <f t="shared" si="110"/>
        <v>0.97494407158836693</v>
      </c>
      <c r="AF302" s="5">
        <f t="shared" si="111"/>
        <v>0.84133333333333338</v>
      </c>
      <c r="AG302" s="5">
        <f t="shared" si="112"/>
        <v>0.79600000000000004</v>
      </c>
    </row>
    <row r="303" spans="1:33">
      <c r="A303" s="4">
        <v>46222</v>
      </c>
      <c r="B303" s="3" t="s">
        <v>61</v>
      </c>
      <c r="C303" s="3">
        <v>2</v>
      </c>
      <c r="D303" s="6">
        <v>972</v>
      </c>
      <c r="E303" s="6">
        <v>890</v>
      </c>
      <c r="F303" s="6">
        <v>1200</v>
      </c>
      <c r="G303" s="6">
        <f t="shared" si="92"/>
        <v>943</v>
      </c>
      <c r="H303" s="5">
        <v>0.98409840328802622</v>
      </c>
      <c r="I303" s="6">
        <f t="shared" si="93"/>
        <v>928</v>
      </c>
      <c r="J303" s="6">
        <f t="shared" si="113"/>
        <v>0</v>
      </c>
      <c r="K303" s="6">
        <f t="shared" si="94"/>
        <v>928</v>
      </c>
      <c r="L303" s="6">
        <f t="shared" si="95"/>
        <v>890</v>
      </c>
      <c r="M303" s="6">
        <f t="shared" si="96"/>
        <v>0</v>
      </c>
      <c r="N303" s="6">
        <f t="shared" si="97"/>
        <v>38</v>
      </c>
      <c r="O303" s="5">
        <v>0.03</v>
      </c>
      <c r="P303" s="6">
        <f t="shared" si="98"/>
        <v>1</v>
      </c>
      <c r="Q303" s="6">
        <f t="shared" si="99"/>
        <v>37</v>
      </c>
      <c r="R303" s="6">
        <v>117</v>
      </c>
      <c r="S303" s="6">
        <f t="shared" si="100"/>
        <v>1089</v>
      </c>
      <c r="T303" s="5">
        <v>0.9965540603606966</v>
      </c>
      <c r="U303" s="6">
        <f t="shared" si="101"/>
        <v>1085</v>
      </c>
      <c r="V303" s="6">
        <f t="shared" si="114"/>
        <v>0</v>
      </c>
      <c r="W303" s="6">
        <f t="shared" si="102"/>
        <v>1085</v>
      </c>
      <c r="X303" s="6">
        <f t="shared" si="103"/>
        <v>890</v>
      </c>
      <c r="Y303" s="6">
        <f t="shared" si="104"/>
        <v>0</v>
      </c>
      <c r="Z303" s="6">
        <f t="shared" si="105"/>
        <v>195</v>
      </c>
      <c r="AA303" s="6">
        <f t="shared" si="106"/>
        <v>6</v>
      </c>
      <c r="AB303" s="6">
        <f t="shared" si="107"/>
        <v>189</v>
      </c>
      <c r="AC303" s="5">
        <f t="shared" si="108"/>
        <v>9.2134831460674152E-2</v>
      </c>
      <c r="AD303" s="5">
        <f t="shared" si="109"/>
        <v>1</v>
      </c>
      <c r="AE303" s="5">
        <f t="shared" si="110"/>
        <v>1</v>
      </c>
      <c r="AF303" s="5">
        <f t="shared" si="111"/>
        <v>0.77333333333333332</v>
      </c>
      <c r="AG303" s="5">
        <f t="shared" si="112"/>
        <v>0.90416666666666667</v>
      </c>
    </row>
    <row r="304" spans="1:33">
      <c r="A304" s="4">
        <v>46222</v>
      </c>
      <c r="B304" s="3" t="s">
        <v>62</v>
      </c>
      <c r="C304" s="3">
        <v>7</v>
      </c>
      <c r="D304" s="6">
        <v>592</v>
      </c>
      <c r="E304" s="6">
        <v>652</v>
      </c>
      <c r="F304" s="6">
        <v>700</v>
      </c>
      <c r="G304" s="6">
        <f t="shared" si="92"/>
        <v>574</v>
      </c>
      <c r="H304" s="5">
        <v>1.0009785597417296</v>
      </c>
      <c r="I304" s="6">
        <f t="shared" si="93"/>
        <v>575</v>
      </c>
      <c r="J304" s="6">
        <f t="shared" si="113"/>
        <v>0</v>
      </c>
      <c r="K304" s="6">
        <f t="shared" si="94"/>
        <v>575</v>
      </c>
      <c r="L304" s="6">
        <f t="shared" si="95"/>
        <v>575</v>
      </c>
      <c r="M304" s="6">
        <f t="shared" si="96"/>
        <v>77</v>
      </c>
      <c r="N304" s="6">
        <f t="shared" si="97"/>
        <v>0</v>
      </c>
      <c r="O304" s="5">
        <v>1.7999999999999999E-2</v>
      </c>
      <c r="P304" s="6">
        <f t="shared" si="98"/>
        <v>0</v>
      </c>
      <c r="Q304" s="6">
        <f t="shared" si="99"/>
        <v>0</v>
      </c>
      <c r="R304" s="6">
        <v>107</v>
      </c>
      <c r="S304" s="6">
        <f t="shared" si="100"/>
        <v>685</v>
      </c>
      <c r="T304" s="5">
        <v>0.98955932245426981</v>
      </c>
      <c r="U304" s="6">
        <f t="shared" si="101"/>
        <v>678</v>
      </c>
      <c r="V304" s="6">
        <f t="shared" si="114"/>
        <v>14</v>
      </c>
      <c r="W304" s="6">
        <f t="shared" si="102"/>
        <v>692</v>
      </c>
      <c r="X304" s="6">
        <f t="shared" si="103"/>
        <v>652</v>
      </c>
      <c r="Y304" s="6">
        <f t="shared" si="104"/>
        <v>0</v>
      </c>
      <c r="Z304" s="6">
        <f t="shared" si="105"/>
        <v>40</v>
      </c>
      <c r="AA304" s="6">
        <f t="shared" si="106"/>
        <v>1</v>
      </c>
      <c r="AB304" s="6">
        <f t="shared" si="107"/>
        <v>39</v>
      </c>
      <c r="AC304" s="5">
        <f t="shared" si="108"/>
        <v>9.202453987730061E-2</v>
      </c>
      <c r="AD304" s="5">
        <f t="shared" si="109"/>
        <v>0.88190184049079756</v>
      </c>
      <c r="AE304" s="5">
        <f t="shared" si="110"/>
        <v>1</v>
      </c>
      <c r="AF304" s="5">
        <f t="shared" si="111"/>
        <v>0.8214285714285714</v>
      </c>
      <c r="AG304" s="5">
        <f t="shared" si="112"/>
        <v>0.96857142857142853</v>
      </c>
    </row>
    <row r="305" spans="1:33">
      <c r="A305" s="4">
        <v>46222</v>
      </c>
      <c r="B305" s="3" t="s">
        <v>63</v>
      </c>
      <c r="C305" s="3">
        <v>7</v>
      </c>
      <c r="D305" s="6">
        <v>474</v>
      </c>
      <c r="E305" s="6">
        <v>528</v>
      </c>
      <c r="F305" s="6">
        <v>560</v>
      </c>
      <c r="G305" s="6">
        <f t="shared" si="92"/>
        <v>460</v>
      </c>
      <c r="H305" s="5">
        <v>0.99656140740899113</v>
      </c>
      <c r="I305" s="6">
        <f t="shared" si="93"/>
        <v>458</v>
      </c>
      <c r="J305" s="6">
        <f t="shared" si="113"/>
        <v>0</v>
      </c>
      <c r="K305" s="6">
        <f t="shared" si="94"/>
        <v>458</v>
      </c>
      <c r="L305" s="6">
        <f t="shared" si="95"/>
        <v>458</v>
      </c>
      <c r="M305" s="6">
        <f t="shared" si="96"/>
        <v>70</v>
      </c>
      <c r="N305" s="6">
        <f t="shared" si="97"/>
        <v>0</v>
      </c>
      <c r="O305" s="5">
        <v>0.02</v>
      </c>
      <c r="P305" s="6">
        <f t="shared" si="98"/>
        <v>0</v>
      </c>
      <c r="Q305" s="6">
        <f t="shared" si="99"/>
        <v>0</v>
      </c>
      <c r="R305" s="6">
        <v>85</v>
      </c>
      <c r="S305" s="6">
        <f t="shared" si="100"/>
        <v>559</v>
      </c>
      <c r="T305" s="5">
        <v>1.0080230693569505</v>
      </c>
      <c r="U305" s="6">
        <f t="shared" si="101"/>
        <v>560</v>
      </c>
      <c r="V305" s="6">
        <f t="shared" si="114"/>
        <v>0</v>
      </c>
      <c r="W305" s="6">
        <f t="shared" si="102"/>
        <v>560</v>
      </c>
      <c r="X305" s="6">
        <f t="shared" si="103"/>
        <v>528</v>
      </c>
      <c r="Y305" s="6">
        <f t="shared" si="104"/>
        <v>0</v>
      </c>
      <c r="Z305" s="6">
        <f t="shared" si="105"/>
        <v>32</v>
      </c>
      <c r="AA305" s="6">
        <f t="shared" si="106"/>
        <v>1</v>
      </c>
      <c r="AB305" s="6">
        <f t="shared" si="107"/>
        <v>31</v>
      </c>
      <c r="AC305" s="5">
        <f t="shared" si="108"/>
        <v>0.10227272727272728</v>
      </c>
      <c r="AD305" s="5">
        <f t="shared" si="109"/>
        <v>0.86742424242424243</v>
      </c>
      <c r="AE305" s="5">
        <f t="shared" si="110"/>
        <v>1</v>
      </c>
      <c r="AF305" s="5">
        <f t="shared" si="111"/>
        <v>0.81785714285714284</v>
      </c>
      <c r="AG305" s="5">
        <f t="shared" si="112"/>
        <v>1</v>
      </c>
    </row>
    <row r="306" spans="1:33">
      <c r="A306" s="4">
        <v>46222</v>
      </c>
      <c r="B306" s="3" t="s">
        <v>64</v>
      </c>
      <c r="C306" s="3">
        <v>5</v>
      </c>
      <c r="D306" s="6">
        <v>188</v>
      </c>
      <c r="E306" s="6">
        <v>177</v>
      </c>
      <c r="F306" s="6">
        <v>230</v>
      </c>
      <c r="G306" s="6">
        <f t="shared" si="92"/>
        <v>182</v>
      </c>
      <c r="H306" s="5">
        <v>1.0073607660024684</v>
      </c>
      <c r="I306" s="6">
        <f t="shared" si="93"/>
        <v>183</v>
      </c>
      <c r="J306" s="6">
        <f t="shared" si="113"/>
        <v>0</v>
      </c>
      <c r="K306" s="6">
        <f t="shared" si="94"/>
        <v>183</v>
      </c>
      <c r="L306" s="6">
        <f t="shared" si="95"/>
        <v>177</v>
      </c>
      <c r="M306" s="6">
        <f t="shared" si="96"/>
        <v>0</v>
      </c>
      <c r="N306" s="6">
        <f t="shared" si="97"/>
        <v>6</v>
      </c>
      <c r="O306" s="5">
        <v>2.5000000000000001E-2</v>
      </c>
      <c r="P306" s="6">
        <f t="shared" si="98"/>
        <v>0</v>
      </c>
      <c r="Q306" s="6">
        <f t="shared" si="99"/>
        <v>6</v>
      </c>
      <c r="R306" s="6">
        <v>38</v>
      </c>
      <c r="S306" s="6">
        <f t="shared" si="100"/>
        <v>193</v>
      </c>
      <c r="T306" s="5">
        <v>1.0167034214121278</v>
      </c>
      <c r="U306" s="6">
        <f t="shared" si="101"/>
        <v>196</v>
      </c>
      <c r="V306" s="6">
        <f t="shared" si="114"/>
        <v>33</v>
      </c>
      <c r="W306" s="6">
        <f t="shared" si="102"/>
        <v>229</v>
      </c>
      <c r="X306" s="6">
        <f t="shared" si="103"/>
        <v>177</v>
      </c>
      <c r="Y306" s="6">
        <f t="shared" si="104"/>
        <v>0</v>
      </c>
      <c r="Z306" s="6">
        <f t="shared" si="105"/>
        <v>52</v>
      </c>
      <c r="AA306" s="6">
        <f t="shared" si="106"/>
        <v>1</v>
      </c>
      <c r="AB306" s="6">
        <f t="shared" si="107"/>
        <v>51</v>
      </c>
      <c r="AC306" s="5">
        <f t="shared" si="108"/>
        <v>6.2146892655367235E-2</v>
      </c>
      <c r="AD306" s="5">
        <f t="shared" si="109"/>
        <v>1</v>
      </c>
      <c r="AE306" s="5">
        <f t="shared" si="110"/>
        <v>1</v>
      </c>
      <c r="AF306" s="5">
        <f t="shared" si="111"/>
        <v>0.79565217391304344</v>
      </c>
      <c r="AG306" s="5">
        <f t="shared" si="112"/>
        <v>0.85217391304347823</v>
      </c>
    </row>
    <row r="307" spans="1:33">
      <c r="A307" s="4">
        <v>46223</v>
      </c>
      <c r="B307" s="3" t="s">
        <v>60</v>
      </c>
      <c r="C307" s="3">
        <v>2</v>
      </c>
      <c r="D307" s="6">
        <v>1667</v>
      </c>
      <c r="E307" s="6">
        <v>1796</v>
      </c>
      <c r="F307" s="6">
        <v>2250</v>
      </c>
      <c r="G307" s="6">
        <f t="shared" si="92"/>
        <v>1617</v>
      </c>
      <c r="H307" s="5">
        <v>1.0091430334321088</v>
      </c>
      <c r="I307" s="6">
        <f t="shared" si="93"/>
        <v>1632</v>
      </c>
      <c r="J307" s="6">
        <f t="shared" si="113"/>
        <v>0</v>
      </c>
      <c r="K307" s="6">
        <f t="shared" si="94"/>
        <v>1632</v>
      </c>
      <c r="L307" s="6">
        <f t="shared" si="95"/>
        <v>1632</v>
      </c>
      <c r="M307" s="6">
        <f t="shared" si="96"/>
        <v>164</v>
      </c>
      <c r="N307" s="6">
        <f t="shared" si="97"/>
        <v>0</v>
      </c>
      <c r="O307" s="5">
        <v>2.5000000000000001E-2</v>
      </c>
      <c r="P307" s="6">
        <f t="shared" si="98"/>
        <v>0</v>
      </c>
      <c r="Q307" s="6">
        <f t="shared" si="99"/>
        <v>0</v>
      </c>
      <c r="R307" s="6">
        <v>200</v>
      </c>
      <c r="S307" s="6">
        <f t="shared" si="100"/>
        <v>1867</v>
      </c>
      <c r="T307" s="5">
        <v>1.0090095946156272</v>
      </c>
      <c r="U307" s="6">
        <f t="shared" si="101"/>
        <v>1884</v>
      </c>
      <c r="V307" s="6">
        <f t="shared" si="114"/>
        <v>0</v>
      </c>
      <c r="W307" s="6">
        <f t="shared" si="102"/>
        <v>1884</v>
      </c>
      <c r="X307" s="6">
        <f t="shared" si="103"/>
        <v>1796</v>
      </c>
      <c r="Y307" s="6">
        <f t="shared" si="104"/>
        <v>0</v>
      </c>
      <c r="Z307" s="6">
        <f t="shared" si="105"/>
        <v>88</v>
      </c>
      <c r="AA307" s="6">
        <f t="shared" si="106"/>
        <v>2</v>
      </c>
      <c r="AB307" s="6">
        <f t="shared" si="107"/>
        <v>86</v>
      </c>
      <c r="AC307" s="5">
        <f t="shared" si="108"/>
        <v>7.1826280623608019E-2</v>
      </c>
      <c r="AD307" s="5">
        <f t="shared" si="109"/>
        <v>0.90868596881959907</v>
      </c>
      <c r="AE307" s="5">
        <f t="shared" si="110"/>
        <v>1</v>
      </c>
      <c r="AF307" s="5">
        <f t="shared" si="111"/>
        <v>0.72533333333333339</v>
      </c>
      <c r="AG307" s="5">
        <f t="shared" si="112"/>
        <v>0.83733333333333337</v>
      </c>
    </row>
    <row r="308" spans="1:33">
      <c r="A308" s="4">
        <v>46223</v>
      </c>
      <c r="B308" s="3" t="s">
        <v>61</v>
      </c>
      <c r="C308" s="3">
        <v>2</v>
      </c>
      <c r="D308" s="6">
        <v>825</v>
      </c>
      <c r="E308" s="6">
        <v>915</v>
      </c>
      <c r="F308" s="6">
        <v>1200</v>
      </c>
      <c r="G308" s="6">
        <f t="shared" si="92"/>
        <v>800</v>
      </c>
      <c r="H308" s="5">
        <v>1.0112072234621656</v>
      </c>
      <c r="I308" s="6">
        <f t="shared" si="93"/>
        <v>809</v>
      </c>
      <c r="J308" s="6">
        <f t="shared" si="113"/>
        <v>37</v>
      </c>
      <c r="K308" s="6">
        <f t="shared" si="94"/>
        <v>846</v>
      </c>
      <c r="L308" s="6">
        <f t="shared" si="95"/>
        <v>846</v>
      </c>
      <c r="M308" s="6">
        <f t="shared" si="96"/>
        <v>69</v>
      </c>
      <c r="N308" s="6">
        <f t="shared" si="97"/>
        <v>0</v>
      </c>
      <c r="O308" s="5">
        <v>0.03</v>
      </c>
      <c r="P308" s="6">
        <f t="shared" si="98"/>
        <v>0</v>
      </c>
      <c r="Q308" s="6">
        <f t="shared" si="99"/>
        <v>0</v>
      </c>
      <c r="R308" s="6">
        <v>99</v>
      </c>
      <c r="S308" s="6">
        <f t="shared" si="100"/>
        <v>735</v>
      </c>
      <c r="T308" s="5">
        <v>1.001595692399319</v>
      </c>
      <c r="U308" s="6">
        <f t="shared" si="101"/>
        <v>736</v>
      </c>
      <c r="V308" s="6">
        <f t="shared" si="114"/>
        <v>189</v>
      </c>
      <c r="W308" s="6">
        <f t="shared" si="102"/>
        <v>925</v>
      </c>
      <c r="X308" s="6">
        <f t="shared" si="103"/>
        <v>915</v>
      </c>
      <c r="Y308" s="6">
        <f t="shared" si="104"/>
        <v>0</v>
      </c>
      <c r="Z308" s="6">
        <f t="shared" si="105"/>
        <v>10</v>
      </c>
      <c r="AA308" s="6">
        <f t="shared" si="106"/>
        <v>0</v>
      </c>
      <c r="AB308" s="6">
        <f t="shared" si="107"/>
        <v>10</v>
      </c>
      <c r="AC308" s="5">
        <f t="shared" si="108"/>
        <v>9.8360655737704916E-2</v>
      </c>
      <c r="AD308" s="5">
        <f t="shared" si="109"/>
        <v>0.92459016393442628</v>
      </c>
      <c r="AE308" s="5">
        <f t="shared" si="110"/>
        <v>1</v>
      </c>
      <c r="AF308" s="5">
        <f t="shared" si="111"/>
        <v>0.67416666666666669</v>
      </c>
      <c r="AG308" s="5">
        <f t="shared" si="112"/>
        <v>0.61333333333333329</v>
      </c>
    </row>
    <row r="309" spans="1:33">
      <c r="A309" s="4">
        <v>46223</v>
      </c>
      <c r="B309" s="3" t="s">
        <v>62</v>
      </c>
      <c r="C309" s="3">
        <v>7</v>
      </c>
      <c r="D309" s="6">
        <v>475</v>
      </c>
      <c r="E309" s="6">
        <v>534</v>
      </c>
      <c r="F309" s="6">
        <v>700</v>
      </c>
      <c r="G309" s="6">
        <f t="shared" si="92"/>
        <v>461</v>
      </c>
      <c r="H309" s="5">
        <v>0.98992267170024517</v>
      </c>
      <c r="I309" s="6">
        <f t="shared" si="93"/>
        <v>456</v>
      </c>
      <c r="J309" s="6">
        <f t="shared" si="113"/>
        <v>0</v>
      </c>
      <c r="K309" s="6">
        <f t="shared" si="94"/>
        <v>456</v>
      </c>
      <c r="L309" s="6">
        <f t="shared" si="95"/>
        <v>456</v>
      </c>
      <c r="M309" s="6">
        <f t="shared" si="96"/>
        <v>78</v>
      </c>
      <c r="N309" s="6">
        <f t="shared" si="97"/>
        <v>0</v>
      </c>
      <c r="O309" s="5">
        <v>1.7999999999999999E-2</v>
      </c>
      <c r="P309" s="6">
        <f t="shared" si="98"/>
        <v>0</v>
      </c>
      <c r="Q309" s="6">
        <f t="shared" si="99"/>
        <v>0</v>
      </c>
      <c r="R309" s="6">
        <v>86</v>
      </c>
      <c r="S309" s="6">
        <f t="shared" si="100"/>
        <v>522</v>
      </c>
      <c r="T309" s="5">
        <v>0.99110998462573907</v>
      </c>
      <c r="U309" s="6">
        <f t="shared" si="101"/>
        <v>517</v>
      </c>
      <c r="V309" s="6">
        <f t="shared" si="114"/>
        <v>39</v>
      </c>
      <c r="W309" s="6">
        <f t="shared" si="102"/>
        <v>556</v>
      </c>
      <c r="X309" s="6">
        <f t="shared" si="103"/>
        <v>534</v>
      </c>
      <c r="Y309" s="6">
        <f t="shared" si="104"/>
        <v>0</v>
      </c>
      <c r="Z309" s="6">
        <f t="shared" si="105"/>
        <v>22</v>
      </c>
      <c r="AA309" s="6">
        <f t="shared" si="106"/>
        <v>0</v>
      </c>
      <c r="AB309" s="6">
        <f t="shared" si="107"/>
        <v>22</v>
      </c>
      <c r="AC309" s="5">
        <f t="shared" si="108"/>
        <v>0.1104868913857678</v>
      </c>
      <c r="AD309" s="5">
        <f t="shared" si="109"/>
        <v>0.8539325842696629</v>
      </c>
      <c r="AE309" s="5">
        <f t="shared" si="110"/>
        <v>1</v>
      </c>
      <c r="AF309" s="5">
        <f t="shared" si="111"/>
        <v>0.65142857142857147</v>
      </c>
      <c r="AG309" s="5">
        <f t="shared" si="112"/>
        <v>0.73857142857142855</v>
      </c>
    </row>
    <row r="310" spans="1:33">
      <c r="A310" s="4">
        <v>46223</v>
      </c>
      <c r="B310" s="3" t="s">
        <v>63</v>
      </c>
      <c r="C310" s="3">
        <v>7</v>
      </c>
      <c r="D310" s="6">
        <v>368</v>
      </c>
      <c r="E310" s="6">
        <v>415</v>
      </c>
      <c r="F310" s="6">
        <v>560</v>
      </c>
      <c r="G310" s="6">
        <f t="shared" si="92"/>
        <v>357</v>
      </c>
      <c r="H310" s="5">
        <v>0.99902955690955653</v>
      </c>
      <c r="I310" s="6">
        <f t="shared" si="93"/>
        <v>357</v>
      </c>
      <c r="J310" s="6">
        <f t="shared" si="113"/>
        <v>0</v>
      </c>
      <c r="K310" s="6">
        <f t="shared" si="94"/>
        <v>357</v>
      </c>
      <c r="L310" s="6">
        <f t="shared" si="95"/>
        <v>357</v>
      </c>
      <c r="M310" s="6">
        <f t="shared" si="96"/>
        <v>58</v>
      </c>
      <c r="N310" s="6">
        <f t="shared" si="97"/>
        <v>0</v>
      </c>
      <c r="O310" s="5">
        <v>0.02</v>
      </c>
      <c r="P310" s="6">
        <f t="shared" si="98"/>
        <v>0</v>
      </c>
      <c r="Q310" s="6">
        <f t="shared" si="99"/>
        <v>0</v>
      </c>
      <c r="R310" s="6">
        <v>66</v>
      </c>
      <c r="S310" s="6">
        <f t="shared" si="100"/>
        <v>403</v>
      </c>
      <c r="T310" s="5">
        <v>1.0192185873390474</v>
      </c>
      <c r="U310" s="6">
        <f t="shared" si="101"/>
        <v>411</v>
      </c>
      <c r="V310" s="6">
        <f t="shared" si="114"/>
        <v>31</v>
      </c>
      <c r="W310" s="6">
        <f t="shared" si="102"/>
        <v>442</v>
      </c>
      <c r="X310" s="6">
        <f t="shared" si="103"/>
        <v>415</v>
      </c>
      <c r="Y310" s="6">
        <f t="shared" si="104"/>
        <v>0</v>
      </c>
      <c r="Z310" s="6">
        <f t="shared" si="105"/>
        <v>27</v>
      </c>
      <c r="AA310" s="6">
        <f t="shared" si="106"/>
        <v>1</v>
      </c>
      <c r="AB310" s="6">
        <f t="shared" si="107"/>
        <v>26</v>
      </c>
      <c r="AC310" s="5">
        <f t="shared" si="108"/>
        <v>0.11325301204819277</v>
      </c>
      <c r="AD310" s="5">
        <f t="shared" si="109"/>
        <v>0.8602409638554217</v>
      </c>
      <c r="AE310" s="5">
        <f t="shared" si="110"/>
        <v>1</v>
      </c>
      <c r="AF310" s="5">
        <f t="shared" si="111"/>
        <v>0.63749999999999996</v>
      </c>
      <c r="AG310" s="5">
        <f t="shared" si="112"/>
        <v>0.73392857142857137</v>
      </c>
    </row>
    <row r="311" spans="1:33">
      <c r="A311" s="4">
        <v>46223</v>
      </c>
      <c r="B311" s="3" t="s">
        <v>64</v>
      </c>
      <c r="C311" s="3">
        <v>5</v>
      </c>
      <c r="D311" s="6">
        <v>150</v>
      </c>
      <c r="E311" s="6">
        <v>153</v>
      </c>
      <c r="F311" s="6">
        <v>230</v>
      </c>
      <c r="G311" s="6">
        <f t="shared" si="92"/>
        <v>146</v>
      </c>
      <c r="H311" s="5">
        <v>0.98994909087479721</v>
      </c>
      <c r="I311" s="6">
        <f t="shared" si="93"/>
        <v>145</v>
      </c>
      <c r="J311" s="6">
        <f t="shared" si="113"/>
        <v>6</v>
      </c>
      <c r="K311" s="6">
        <f t="shared" si="94"/>
        <v>151</v>
      </c>
      <c r="L311" s="6">
        <f t="shared" si="95"/>
        <v>151</v>
      </c>
      <c r="M311" s="6">
        <f t="shared" si="96"/>
        <v>2</v>
      </c>
      <c r="N311" s="6">
        <f t="shared" si="97"/>
        <v>0</v>
      </c>
      <c r="O311" s="5">
        <v>2.5000000000000001E-2</v>
      </c>
      <c r="P311" s="6">
        <f t="shared" si="98"/>
        <v>0</v>
      </c>
      <c r="Q311" s="6">
        <f t="shared" si="99"/>
        <v>0</v>
      </c>
      <c r="R311" s="6">
        <v>30</v>
      </c>
      <c r="S311" s="6">
        <f t="shared" si="100"/>
        <v>129</v>
      </c>
      <c r="T311" s="5">
        <v>0.9891929933813739</v>
      </c>
      <c r="U311" s="6">
        <f t="shared" si="101"/>
        <v>128</v>
      </c>
      <c r="V311" s="6">
        <f t="shared" si="114"/>
        <v>51</v>
      </c>
      <c r="W311" s="6">
        <f t="shared" si="102"/>
        <v>179</v>
      </c>
      <c r="X311" s="6">
        <f t="shared" si="103"/>
        <v>153</v>
      </c>
      <c r="Y311" s="6">
        <f t="shared" si="104"/>
        <v>0</v>
      </c>
      <c r="Z311" s="6">
        <f t="shared" si="105"/>
        <v>26</v>
      </c>
      <c r="AA311" s="6">
        <f t="shared" si="106"/>
        <v>1</v>
      </c>
      <c r="AB311" s="6">
        <f t="shared" si="107"/>
        <v>25</v>
      </c>
      <c r="AC311" s="5">
        <f t="shared" si="108"/>
        <v>1.9607843137254902E-2</v>
      </c>
      <c r="AD311" s="5">
        <f t="shared" si="109"/>
        <v>0.98692810457516345</v>
      </c>
      <c r="AE311" s="5">
        <f t="shared" si="110"/>
        <v>1</v>
      </c>
      <c r="AF311" s="5">
        <f t="shared" si="111"/>
        <v>0.63043478260869568</v>
      </c>
      <c r="AG311" s="5">
        <f t="shared" si="112"/>
        <v>0.55652173913043479</v>
      </c>
    </row>
    <row r="312" spans="1:33">
      <c r="A312" s="4">
        <v>46224</v>
      </c>
      <c r="B312" s="3" t="s">
        <v>60</v>
      </c>
      <c r="C312" s="3">
        <v>2</v>
      </c>
      <c r="D312" s="6">
        <v>1702</v>
      </c>
      <c r="E312" s="6">
        <v>1983</v>
      </c>
      <c r="F312" s="6">
        <v>2250</v>
      </c>
      <c r="G312" s="6">
        <f t="shared" si="92"/>
        <v>1651</v>
      </c>
      <c r="H312" s="5">
        <v>0.99641132915351305</v>
      </c>
      <c r="I312" s="6">
        <f t="shared" si="93"/>
        <v>1645</v>
      </c>
      <c r="J312" s="6">
        <f t="shared" si="113"/>
        <v>0</v>
      </c>
      <c r="K312" s="6">
        <f t="shared" si="94"/>
        <v>1645</v>
      </c>
      <c r="L312" s="6">
        <f t="shared" si="95"/>
        <v>1645</v>
      </c>
      <c r="M312" s="6">
        <f t="shared" si="96"/>
        <v>338</v>
      </c>
      <c r="N312" s="6">
        <f t="shared" si="97"/>
        <v>0</v>
      </c>
      <c r="O312" s="5">
        <v>2.5000000000000001E-2</v>
      </c>
      <c r="P312" s="6">
        <f t="shared" si="98"/>
        <v>0</v>
      </c>
      <c r="Q312" s="6">
        <f t="shared" si="99"/>
        <v>0</v>
      </c>
      <c r="R312" s="6">
        <v>204</v>
      </c>
      <c r="S312" s="6">
        <f t="shared" si="100"/>
        <v>1820</v>
      </c>
      <c r="T312" s="5">
        <v>1.0028809528189178</v>
      </c>
      <c r="U312" s="6">
        <f t="shared" si="101"/>
        <v>1825</v>
      </c>
      <c r="V312" s="6">
        <f t="shared" si="114"/>
        <v>86</v>
      </c>
      <c r="W312" s="6">
        <f t="shared" si="102"/>
        <v>1911</v>
      </c>
      <c r="X312" s="6">
        <f t="shared" si="103"/>
        <v>1911</v>
      </c>
      <c r="Y312" s="6">
        <f t="shared" si="104"/>
        <v>72</v>
      </c>
      <c r="Z312" s="6">
        <f t="shared" si="105"/>
        <v>0</v>
      </c>
      <c r="AA312" s="6">
        <f t="shared" si="106"/>
        <v>0</v>
      </c>
      <c r="AB312" s="6">
        <f t="shared" si="107"/>
        <v>0</v>
      </c>
      <c r="AC312" s="5">
        <f t="shared" si="108"/>
        <v>0.14170448814926878</v>
      </c>
      <c r="AD312" s="5">
        <f t="shared" si="109"/>
        <v>0.82955118507312153</v>
      </c>
      <c r="AE312" s="5">
        <f t="shared" si="110"/>
        <v>0.9636913767019667</v>
      </c>
      <c r="AF312" s="5">
        <f t="shared" si="111"/>
        <v>0.73111111111111116</v>
      </c>
      <c r="AG312" s="5">
        <f t="shared" si="112"/>
        <v>0.81111111111111112</v>
      </c>
    </row>
    <row r="313" spans="1:33">
      <c r="A313" s="4">
        <v>46224</v>
      </c>
      <c r="B313" s="3" t="s">
        <v>61</v>
      </c>
      <c r="C313" s="3">
        <v>2</v>
      </c>
      <c r="D313" s="6">
        <v>851</v>
      </c>
      <c r="E313" s="6">
        <v>845</v>
      </c>
      <c r="F313" s="6">
        <v>1200</v>
      </c>
      <c r="G313" s="6">
        <f t="shared" si="92"/>
        <v>825</v>
      </c>
      <c r="H313" s="5">
        <v>0.98560334097098135</v>
      </c>
      <c r="I313" s="6">
        <f t="shared" si="93"/>
        <v>813</v>
      </c>
      <c r="J313" s="6">
        <f t="shared" si="113"/>
        <v>0</v>
      </c>
      <c r="K313" s="6">
        <f t="shared" si="94"/>
        <v>813</v>
      </c>
      <c r="L313" s="6">
        <f t="shared" si="95"/>
        <v>813</v>
      </c>
      <c r="M313" s="6">
        <f t="shared" si="96"/>
        <v>32</v>
      </c>
      <c r="N313" s="6">
        <f t="shared" si="97"/>
        <v>0</v>
      </c>
      <c r="O313" s="5">
        <v>0.03</v>
      </c>
      <c r="P313" s="6">
        <f t="shared" si="98"/>
        <v>0</v>
      </c>
      <c r="Q313" s="6">
        <f t="shared" si="99"/>
        <v>0</v>
      </c>
      <c r="R313" s="6">
        <v>102</v>
      </c>
      <c r="S313" s="6">
        <f t="shared" si="100"/>
        <v>943</v>
      </c>
      <c r="T313" s="5">
        <v>1.0158046967820156</v>
      </c>
      <c r="U313" s="6">
        <f t="shared" si="101"/>
        <v>958</v>
      </c>
      <c r="V313" s="6">
        <f t="shared" si="114"/>
        <v>10</v>
      </c>
      <c r="W313" s="6">
        <f t="shared" si="102"/>
        <v>968</v>
      </c>
      <c r="X313" s="6">
        <f t="shared" si="103"/>
        <v>845</v>
      </c>
      <c r="Y313" s="6">
        <f t="shared" si="104"/>
        <v>0</v>
      </c>
      <c r="Z313" s="6">
        <f t="shared" si="105"/>
        <v>123</v>
      </c>
      <c r="AA313" s="6">
        <f t="shared" si="106"/>
        <v>4</v>
      </c>
      <c r="AB313" s="6">
        <f t="shared" si="107"/>
        <v>119</v>
      </c>
      <c r="AC313" s="5">
        <f t="shared" si="108"/>
        <v>7.100591715976331E-3</v>
      </c>
      <c r="AD313" s="5">
        <f t="shared" si="109"/>
        <v>0.96213017751479291</v>
      </c>
      <c r="AE313" s="5">
        <f t="shared" si="110"/>
        <v>1</v>
      </c>
      <c r="AF313" s="5">
        <f t="shared" si="111"/>
        <v>0.67749999999999999</v>
      </c>
      <c r="AG313" s="5">
        <f t="shared" si="112"/>
        <v>0.79833333333333334</v>
      </c>
    </row>
    <row r="314" spans="1:33">
      <c r="A314" s="4">
        <v>46224</v>
      </c>
      <c r="B314" s="3" t="s">
        <v>62</v>
      </c>
      <c r="C314" s="3">
        <v>7</v>
      </c>
      <c r="D314" s="6">
        <v>490</v>
      </c>
      <c r="E314" s="6">
        <v>434</v>
      </c>
      <c r="F314" s="6">
        <v>700</v>
      </c>
      <c r="G314" s="6">
        <f t="shared" si="92"/>
        <v>475</v>
      </c>
      <c r="H314" s="5">
        <v>0.98847879142655848</v>
      </c>
      <c r="I314" s="6">
        <f t="shared" si="93"/>
        <v>470</v>
      </c>
      <c r="J314" s="6">
        <f t="shared" si="113"/>
        <v>0</v>
      </c>
      <c r="K314" s="6">
        <f t="shared" si="94"/>
        <v>470</v>
      </c>
      <c r="L314" s="6">
        <f t="shared" si="95"/>
        <v>434</v>
      </c>
      <c r="M314" s="6">
        <f t="shared" si="96"/>
        <v>0</v>
      </c>
      <c r="N314" s="6">
        <f t="shared" si="97"/>
        <v>36</v>
      </c>
      <c r="O314" s="5">
        <v>1.7999999999999999E-2</v>
      </c>
      <c r="P314" s="6">
        <f t="shared" si="98"/>
        <v>1</v>
      </c>
      <c r="Q314" s="6">
        <f t="shared" si="99"/>
        <v>35</v>
      </c>
      <c r="R314" s="6">
        <v>88</v>
      </c>
      <c r="S314" s="6">
        <f t="shared" si="100"/>
        <v>556</v>
      </c>
      <c r="T314" s="5">
        <v>1.0029581612261056</v>
      </c>
      <c r="U314" s="6">
        <f t="shared" si="101"/>
        <v>558</v>
      </c>
      <c r="V314" s="6">
        <f t="shared" si="114"/>
        <v>22</v>
      </c>
      <c r="W314" s="6">
        <f t="shared" si="102"/>
        <v>580</v>
      </c>
      <c r="X314" s="6">
        <f t="shared" si="103"/>
        <v>434</v>
      </c>
      <c r="Y314" s="6">
        <f t="shared" si="104"/>
        <v>0</v>
      </c>
      <c r="Z314" s="6">
        <f t="shared" si="105"/>
        <v>146</v>
      </c>
      <c r="AA314" s="6">
        <f t="shared" si="106"/>
        <v>3</v>
      </c>
      <c r="AB314" s="6">
        <f t="shared" si="107"/>
        <v>143</v>
      </c>
      <c r="AC314" s="5">
        <f t="shared" si="108"/>
        <v>0.12903225806451613</v>
      </c>
      <c r="AD314" s="5">
        <f t="shared" si="109"/>
        <v>1</v>
      </c>
      <c r="AE314" s="5">
        <f t="shared" si="110"/>
        <v>1</v>
      </c>
      <c r="AF314" s="5">
        <f t="shared" si="111"/>
        <v>0.67142857142857137</v>
      </c>
      <c r="AG314" s="5">
        <f t="shared" si="112"/>
        <v>0.79714285714285715</v>
      </c>
    </row>
    <row r="315" spans="1:33">
      <c r="A315" s="4">
        <v>46224</v>
      </c>
      <c r="B315" s="3" t="s">
        <v>63</v>
      </c>
      <c r="C315" s="3">
        <v>7</v>
      </c>
      <c r="D315" s="6">
        <v>384</v>
      </c>
      <c r="E315" s="6">
        <v>427</v>
      </c>
      <c r="F315" s="6">
        <v>560</v>
      </c>
      <c r="G315" s="6">
        <f t="shared" si="92"/>
        <v>372</v>
      </c>
      <c r="H315" s="5">
        <v>0.9810030389170632</v>
      </c>
      <c r="I315" s="6">
        <f t="shared" si="93"/>
        <v>365</v>
      </c>
      <c r="J315" s="6">
        <f t="shared" si="113"/>
        <v>0</v>
      </c>
      <c r="K315" s="6">
        <f t="shared" si="94"/>
        <v>365</v>
      </c>
      <c r="L315" s="6">
        <f t="shared" si="95"/>
        <v>365</v>
      </c>
      <c r="M315" s="6">
        <f t="shared" si="96"/>
        <v>62</v>
      </c>
      <c r="N315" s="6">
        <f t="shared" si="97"/>
        <v>0</v>
      </c>
      <c r="O315" s="5">
        <v>0.02</v>
      </c>
      <c r="P315" s="6">
        <f t="shared" si="98"/>
        <v>0</v>
      </c>
      <c r="Q315" s="6">
        <f t="shared" si="99"/>
        <v>0</v>
      </c>
      <c r="R315" s="6">
        <v>69</v>
      </c>
      <c r="S315" s="6">
        <f t="shared" si="100"/>
        <v>427</v>
      </c>
      <c r="T315" s="5">
        <v>0.99916116753856554</v>
      </c>
      <c r="U315" s="6">
        <f t="shared" si="101"/>
        <v>427</v>
      </c>
      <c r="V315" s="6">
        <f t="shared" si="114"/>
        <v>26</v>
      </c>
      <c r="W315" s="6">
        <f t="shared" si="102"/>
        <v>453</v>
      </c>
      <c r="X315" s="6">
        <f t="shared" si="103"/>
        <v>427</v>
      </c>
      <c r="Y315" s="6">
        <f t="shared" si="104"/>
        <v>0</v>
      </c>
      <c r="Z315" s="6">
        <f t="shared" si="105"/>
        <v>26</v>
      </c>
      <c r="AA315" s="6">
        <f t="shared" si="106"/>
        <v>1</v>
      </c>
      <c r="AB315" s="6">
        <f t="shared" si="107"/>
        <v>25</v>
      </c>
      <c r="AC315" s="5">
        <f t="shared" si="108"/>
        <v>0.10070257611241218</v>
      </c>
      <c r="AD315" s="5">
        <f t="shared" si="109"/>
        <v>0.85480093676814983</v>
      </c>
      <c r="AE315" s="5">
        <f t="shared" si="110"/>
        <v>1</v>
      </c>
      <c r="AF315" s="5">
        <f t="shared" si="111"/>
        <v>0.6517857142857143</v>
      </c>
      <c r="AG315" s="5">
        <f t="shared" si="112"/>
        <v>0.76249999999999996</v>
      </c>
    </row>
    <row r="316" spans="1:33">
      <c r="A316" s="4">
        <v>46224</v>
      </c>
      <c r="B316" s="3" t="s">
        <v>64</v>
      </c>
      <c r="C316" s="3">
        <v>5</v>
      </c>
      <c r="D316" s="6">
        <v>155</v>
      </c>
      <c r="E316" s="6">
        <v>136</v>
      </c>
      <c r="F316" s="6">
        <v>230</v>
      </c>
      <c r="G316" s="6">
        <f t="shared" si="92"/>
        <v>150</v>
      </c>
      <c r="H316" s="5">
        <v>0.99278387013682468</v>
      </c>
      <c r="I316" s="6">
        <f t="shared" si="93"/>
        <v>149</v>
      </c>
      <c r="J316" s="6">
        <f t="shared" si="113"/>
        <v>0</v>
      </c>
      <c r="K316" s="6">
        <f t="shared" si="94"/>
        <v>149</v>
      </c>
      <c r="L316" s="6">
        <f t="shared" si="95"/>
        <v>136</v>
      </c>
      <c r="M316" s="6">
        <f t="shared" si="96"/>
        <v>0</v>
      </c>
      <c r="N316" s="6">
        <f t="shared" si="97"/>
        <v>13</v>
      </c>
      <c r="O316" s="5">
        <v>2.5000000000000001E-2</v>
      </c>
      <c r="P316" s="6">
        <f t="shared" si="98"/>
        <v>0</v>
      </c>
      <c r="Q316" s="6">
        <f t="shared" si="99"/>
        <v>13</v>
      </c>
      <c r="R316" s="6">
        <v>31</v>
      </c>
      <c r="S316" s="6">
        <f t="shared" si="100"/>
        <v>161</v>
      </c>
      <c r="T316" s="5">
        <v>1.0168695864235866</v>
      </c>
      <c r="U316" s="6">
        <f t="shared" si="101"/>
        <v>164</v>
      </c>
      <c r="V316" s="6">
        <f t="shared" si="114"/>
        <v>25</v>
      </c>
      <c r="W316" s="6">
        <f t="shared" si="102"/>
        <v>189</v>
      </c>
      <c r="X316" s="6">
        <f t="shared" si="103"/>
        <v>136</v>
      </c>
      <c r="Y316" s="6">
        <f t="shared" si="104"/>
        <v>0</v>
      </c>
      <c r="Z316" s="6">
        <f t="shared" si="105"/>
        <v>53</v>
      </c>
      <c r="AA316" s="6">
        <f t="shared" si="106"/>
        <v>1</v>
      </c>
      <c r="AB316" s="6">
        <f t="shared" si="107"/>
        <v>52</v>
      </c>
      <c r="AC316" s="5">
        <f t="shared" si="108"/>
        <v>0.13970588235294118</v>
      </c>
      <c r="AD316" s="5">
        <f t="shared" si="109"/>
        <v>1</v>
      </c>
      <c r="AE316" s="5">
        <f t="shared" si="110"/>
        <v>1</v>
      </c>
      <c r="AF316" s="5">
        <f t="shared" si="111"/>
        <v>0.64782608695652177</v>
      </c>
      <c r="AG316" s="5">
        <f t="shared" si="112"/>
        <v>0.71304347826086956</v>
      </c>
    </row>
    <row r="317" spans="1:33">
      <c r="A317" s="4">
        <v>46225</v>
      </c>
      <c r="B317" s="3" t="s">
        <v>60</v>
      </c>
      <c r="C317" s="3">
        <v>2</v>
      </c>
      <c r="D317" s="6">
        <v>1720</v>
      </c>
      <c r="E317" s="6">
        <v>1804</v>
      </c>
      <c r="F317" s="6">
        <v>2250</v>
      </c>
      <c r="G317" s="6">
        <f t="shared" si="92"/>
        <v>1668</v>
      </c>
      <c r="H317" s="5">
        <v>1.0103384222802112</v>
      </c>
      <c r="I317" s="6">
        <f t="shared" si="93"/>
        <v>1685</v>
      </c>
      <c r="J317" s="6">
        <f t="shared" si="113"/>
        <v>0</v>
      </c>
      <c r="K317" s="6">
        <f t="shared" si="94"/>
        <v>1685</v>
      </c>
      <c r="L317" s="6">
        <f t="shared" si="95"/>
        <v>1685</v>
      </c>
      <c r="M317" s="6">
        <f t="shared" si="96"/>
        <v>119</v>
      </c>
      <c r="N317" s="6">
        <f t="shared" si="97"/>
        <v>0</v>
      </c>
      <c r="O317" s="5">
        <v>2.5000000000000001E-2</v>
      </c>
      <c r="P317" s="6">
        <f t="shared" si="98"/>
        <v>0</v>
      </c>
      <c r="Q317" s="6">
        <f t="shared" si="99"/>
        <v>0</v>
      </c>
      <c r="R317" s="6">
        <v>206</v>
      </c>
      <c r="S317" s="6">
        <f t="shared" si="100"/>
        <v>1926</v>
      </c>
      <c r="T317" s="5">
        <v>1.0130211626495365</v>
      </c>
      <c r="U317" s="6">
        <f t="shared" si="101"/>
        <v>1951</v>
      </c>
      <c r="V317" s="6">
        <f t="shared" si="114"/>
        <v>0</v>
      </c>
      <c r="W317" s="6">
        <f t="shared" si="102"/>
        <v>1951</v>
      </c>
      <c r="X317" s="6">
        <f t="shared" si="103"/>
        <v>1804</v>
      </c>
      <c r="Y317" s="6">
        <f t="shared" si="104"/>
        <v>0</v>
      </c>
      <c r="Z317" s="6">
        <f t="shared" si="105"/>
        <v>147</v>
      </c>
      <c r="AA317" s="6">
        <f t="shared" si="106"/>
        <v>4</v>
      </c>
      <c r="AB317" s="6">
        <f t="shared" si="107"/>
        <v>143</v>
      </c>
      <c r="AC317" s="5">
        <f t="shared" si="108"/>
        <v>4.6563192904656318E-2</v>
      </c>
      <c r="AD317" s="5">
        <f t="shared" si="109"/>
        <v>0.93403547671840359</v>
      </c>
      <c r="AE317" s="5">
        <f t="shared" si="110"/>
        <v>1</v>
      </c>
      <c r="AF317" s="5">
        <f t="shared" si="111"/>
        <v>0.74888888888888894</v>
      </c>
      <c r="AG317" s="5">
        <f t="shared" si="112"/>
        <v>0.86711111111111117</v>
      </c>
    </row>
    <row r="318" spans="1:33">
      <c r="A318" s="4">
        <v>46225</v>
      </c>
      <c r="B318" s="3" t="s">
        <v>61</v>
      </c>
      <c r="C318" s="3">
        <v>2</v>
      </c>
      <c r="D318" s="6">
        <v>860</v>
      </c>
      <c r="E318" s="6">
        <v>758</v>
      </c>
      <c r="F318" s="6">
        <v>1200</v>
      </c>
      <c r="G318" s="6">
        <f t="shared" si="92"/>
        <v>834</v>
      </c>
      <c r="H318" s="5">
        <v>1.0107927450639138</v>
      </c>
      <c r="I318" s="6">
        <f t="shared" si="93"/>
        <v>843</v>
      </c>
      <c r="J318" s="6">
        <f t="shared" si="113"/>
        <v>0</v>
      </c>
      <c r="K318" s="6">
        <f t="shared" si="94"/>
        <v>843</v>
      </c>
      <c r="L318" s="6">
        <f t="shared" si="95"/>
        <v>758</v>
      </c>
      <c r="M318" s="6">
        <f t="shared" si="96"/>
        <v>0</v>
      </c>
      <c r="N318" s="6">
        <f t="shared" si="97"/>
        <v>85</v>
      </c>
      <c r="O318" s="5">
        <v>0.03</v>
      </c>
      <c r="P318" s="6">
        <f t="shared" si="98"/>
        <v>3</v>
      </c>
      <c r="Q318" s="6">
        <f t="shared" si="99"/>
        <v>82</v>
      </c>
      <c r="R318" s="6">
        <v>103</v>
      </c>
      <c r="S318" s="6">
        <f t="shared" si="100"/>
        <v>844</v>
      </c>
      <c r="T318" s="5">
        <v>1.0027198522163332</v>
      </c>
      <c r="U318" s="6">
        <f t="shared" si="101"/>
        <v>846</v>
      </c>
      <c r="V318" s="6">
        <f t="shared" si="114"/>
        <v>119</v>
      </c>
      <c r="W318" s="6">
        <f t="shared" si="102"/>
        <v>965</v>
      </c>
      <c r="X318" s="6">
        <f t="shared" si="103"/>
        <v>758</v>
      </c>
      <c r="Y318" s="6">
        <f t="shared" si="104"/>
        <v>0</v>
      </c>
      <c r="Z318" s="6">
        <f t="shared" si="105"/>
        <v>207</v>
      </c>
      <c r="AA318" s="6">
        <f t="shared" si="106"/>
        <v>6</v>
      </c>
      <c r="AB318" s="6">
        <f t="shared" si="107"/>
        <v>201</v>
      </c>
      <c r="AC318" s="5">
        <f t="shared" si="108"/>
        <v>0.13456464379947231</v>
      </c>
      <c r="AD318" s="5">
        <f t="shared" si="109"/>
        <v>1</v>
      </c>
      <c r="AE318" s="5">
        <f t="shared" si="110"/>
        <v>1</v>
      </c>
      <c r="AF318" s="5">
        <f t="shared" si="111"/>
        <v>0.70250000000000001</v>
      </c>
      <c r="AG318" s="5">
        <f t="shared" si="112"/>
        <v>0.70499999999999996</v>
      </c>
    </row>
    <row r="319" spans="1:33">
      <c r="A319" s="4">
        <v>46225</v>
      </c>
      <c r="B319" s="3" t="s">
        <v>62</v>
      </c>
      <c r="C319" s="3">
        <v>7</v>
      </c>
      <c r="D319" s="6">
        <v>501</v>
      </c>
      <c r="E319" s="6">
        <v>560</v>
      </c>
      <c r="F319" s="6">
        <v>700</v>
      </c>
      <c r="G319" s="6">
        <f t="shared" si="92"/>
        <v>486</v>
      </c>
      <c r="H319" s="5">
        <v>1.0174978983675893</v>
      </c>
      <c r="I319" s="6">
        <f t="shared" si="93"/>
        <v>495</v>
      </c>
      <c r="J319" s="6">
        <f t="shared" si="113"/>
        <v>35</v>
      </c>
      <c r="K319" s="6">
        <f t="shared" si="94"/>
        <v>530</v>
      </c>
      <c r="L319" s="6">
        <f t="shared" si="95"/>
        <v>530</v>
      </c>
      <c r="M319" s="6">
        <f t="shared" si="96"/>
        <v>30</v>
      </c>
      <c r="N319" s="6">
        <f t="shared" si="97"/>
        <v>0</v>
      </c>
      <c r="O319" s="5">
        <v>1.7999999999999999E-2</v>
      </c>
      <c r="P319" s="6">
        <f t="shared" si="98"/>
        <v>0</v>
      </c>
      <c r="Q319" s="6">
        <f t="shared" si="99"/>
        <v>0</v>
      </c>
      <c r="R319" s="6">
        <v>90</v>
      </c>
      <c r="S319" s="6">
        <f t="shared" si="100"/>
        <v>448</v>
      </c>
      <c r="T319" s="5">
        <v>0.99716417197015317</v>
      </c>
      <c r="U319" s="6">
        <f t="shared" si="101"/>
        <v>447</v>
      </c>
      <c r="V319" s="6">
        <f t="shared" si="114"/>
        <v>143</v>
      </c>
      <c r="W319" s="6">
        <f t="shared" si="102"/>
        <v>590</v>
      </c>
      <c r="X319" s="6">
        <f t="shared" si="103"/>
        <v>560</v>
      </c>
      <c r="Y319" s="6">
        <f t="shared" si="104"/>
        <v>0</v>
      </c>
      <c r="Z319" s="6">
        <f t="shared" si="105"/>
        <v>30</v>
      </c>
      <c r="AA319" s="6">
        <f t="shared" si="106"/>
        <v>1</v>
      </c>
      <c r="AB319" s="6">
        <f t="shared" si="107"/>
        <v>29</v>
      </c>
      <c r="AC319" s="5">
        <f t="shared" si="108"/>
        <v>0.10535714285714286</v>
      </c>
      <c r="AD319" s="5">
        <f t="shared" si="109"/>
        <v>0.9464285714285714</v>
      </c>
      <c r="AE319" s="5">
        <f t="shared" si="110"/>
        <v>1</v>
      </c>
      <c r="AF319" s="5">
        <f t="shared" si="111"/>
        <v>0.70714285714285718</v>
      </c>
      <c r="AG319" s="5">
        <f t="shared" si="112"/>
        <v>0.63857142857142857</v>
      </c>
    </row>
    <row r="320" spans="1:33">
      <c r="A320" s="4">
        <v>46225</v>
      </c>
      <c r="B320" s="3" t="s">
        <v>63</v>
      </c>
      <c r="C320" s="3">
        <v>7</v>
      </c>
      <c r="D320" s="6">
        <v>401</v>
      </c>
      <c r="E320" s="6">
        <v>398</v>
      </c>
      <c r="F320" s="6">
        <v>560</v>
      </c>
      <c r="G320" s="6">
        <f t="shared" si="92"/>
        <v>389</v>
      </c>
      <c r="H320" s="5">
        <v>1.0072170785409789</v>
      </c>
      <c r="I320" s="6">
        <f t="shared" si="93"/>
        <v>392</v>
      </c>
      <c r="J320" s="6">
        <f t="shared" si="113"/>
        <v>0</v>
      </c>
      <c r="K320" s="6">
        <f t="shared" si="94"/>
        <v>392</v>
      </c>
      <c r="L320" s="6">
        <f t="shared" si="95"/>
        <v>392</v>
      </c>
      <c r="M320" s="6">
        <f t="shared" si="96"/>
        <v>6</v>
      </c>
      <c r="N320" s="6">
        <f t="shared" si="97"/>
        <v>0</v>
      </c>
      <c r="O320" s="5">
        <v>0.02</v>
      </c>
      <c r="P320" s="6">
        <f t="shared" si="98"/>
        <v>0</v>
      </c>
      <c r="Q320" s="6">
        <f t="shared" si="99"/>
        <v>0</v>
      </c>
      <c r="R320" s="6">
        <v>72</v>
      </c>
      <c r="S320" s="6">
        <f t="shared" si="100"/>
        <v>448</v>
      </c>
      <c r="T320" s="5">
        <v>0.99475862414529836</v>
      </c>
      <c r="U320" s="6">
        <f t="shared" si="101"/>
        <v>446</v>
      </c>
      <c r="V320" s="6">
        <f t="shared" si="114"/>
        <v>25</v>
      </c>
      <c r="W320" s="6">
        <f t="shared" si="102"/>
        <v>471</v>
      </c>
      <c r="X320" s="6">
        <f t="shared" si="103"/>
        <v>398</v>
      </c>
      <c r="Y320" s="6">
        <f t="shared" si="104"/>
        <v>0</v>
      </c>
      <c r="Z320" s="6">
        <f t="shared" si="105"/>
        <v>73</v>
      </c>
      <c r="AA320" s="6">
        <f t="shared" si="106"/>
        <v>1</v>
      </c>
      <c r="AB320" s="6">
        <f t="shared" si="107"/>
        <v>72</v>
      </c>
      <c r="AC320" s="5">
        <f t="shared" si="108"/>
        <v>7.537688442211055E-3</v>
      </c>
      <c r="AD320" s="5">
        <f t="shared" si="109"/>
        <v>0.98492462311557794</v>
      </c>
      <c r="AE320" s="5">
        <f t="shared" si="110"/>
        <v>1</v>
      </c>
      <c r="AF320" s="5">
        <f t="shared" si="111"/>
        <v>0.7</v>
      </c>
      <c r="AG320" s="5">
        <f t="shared" si="112"/>
        <v>0.79642857142857137</v>
      </c>
    </row>
    <row r="321" spans="1:33">
      <c r="A321" s="4">
        <v>46225</v>
      </c>
      <c r="B321" s="3" t="s">
        <v>64</v>
      </c>
      <c r="C321" s="3">
        <v>5</v>
      </c>
      <c r="D321" s="6">
        <v>160</v>
      </c>
      <c r="E321" s="6">
        <v>136</v>
      </c>
      <c r="F321" s="6">
        <v>230</v>
      </c>
      <c r="G321" s="6">
        <f t="shared" si="92"/>
        <v>155</v>
      </c>
      <c r="H321" s="5">
        <v>0.98845305181054033</v>
      </c>
      <c r="I321" s="6">
        <f t="shared" si="93"/>
        <v>153</v>
      </c>
      <c r="J321" s="6">
        <f t="shared" si="113"/>
        <v>13</v>
      </c>
      <c r="K321" s="6">
        <f t="shared" si="94"/>
        <v>166</v>
      </c>
      <c r="L321" s="6">
        <f t="shared" si="95"/>
        <v>136</v>
      </c>
      <c r="M321" s="6">
        <f t="shared" si="96"/>
        <v>0</v>
      </c>
      <c r="N321" s="6">
        <f t="shared" si="97"/>
        <v>30</v>
      </c>
      <c r="O321" s="5">
        <v>2.5000000000000001E-2</v>
      </c>
      <c r="P321" s="6">
        <f t="shared" si="98"/>
        <v>1</v>
      </c>
      <c r="Q321" s="6">
        <f t="shared" si="99"/>
        <v>29</v>
      </c>
      <c r="R321" s="6">
        <v>32</v>
      </c>
      <c r="S321" s="6">
        <f t="shared" si="100"/>
        <v>140</v>
      </c>
      <c r="T321" s="5">
        <v>0.99052046260074378</v>
      </c>
      <c r="U321" s="6">
        <f t="shared" si="101"/>
        <v>139</v>
      </c>
      <c r="V321" s="6">
        <f t="shared" si="114"/>
        <v>52</v>
      </c>
      <c r="W321" s="6">
        <f t="shared" si="102"/>
        <v>191</v>
      </c>
      <c r="X321" s="6">
        <f t="shared" si="103"/>
        <v>136</v>
      </c>
      <c r="Y321" s="6">
        <f t="shared" si="104"/>
        <v>0</v>
      </c>
      <c r="Z321" s="6">
        <f t="shared" si="105"/>
        <v>55</v>
      </c>
      <c r="AA321" s="6">
        <f t="shared" si="106"/>
        <v>1</v>
      </c>
      <c r="AB321" s="6">
        <f t="shared" si="107"/>
        <v>54</v>
      </c>
      <c r="AC321" s="5">
        <f t="shared" si="108"/>
        <v>0.17647058823529413</v>
      </c>
      <c r="AD321" s="5">
        <f t="shared" si="109"/>
        <v>1</v>
      </c>
      <c r="AE321" s="5">
        <f t="shared" si="110"/>
        <v>1</v>
      </c>
      <c r="AF321" s="5">
        <f t="shared" si="111"/>
        <v>0.66521739130434787</v>
      </c>
      <c r="AG321" s="5">
        <f t="shared" si="112"/>
        <v>0.60434782608695647</v>
      </c>
    </row>
    <row r="322" spans="1:33">
      <c r="A322" s="4">
        <v>46226</v>
      </c>
      <c r="B322" s="3" t="s">
        <v>60</v>
      </c>
      <c r="C322" s="3">
        <v>2</v>
      </c>
      <c r="D322" s="6">
        <v>1738</v>
      </c>
      <c r="E322" s="6">
        <v>1505</v>
      </c>
      <c r="F322" s="6">
        <v>2250</v>
      </c>
      <c r="G322" s="6">
        <f t="shared" ref="G322:G385" si="115">ROUND(D322*0.97,0)</f>
        <v>1686</v>
      </c>
      <c r="H322" s="5">
        <v>0.99238929974925727</v>
      </c>
      <c r="I322" s="6">
        <f t="shared" ref="I322:I385" si="116">MIN(F322,ROUND(G322*H322,0))</f>
        <v>1673</v>
      </c>
      <c r="J322" s="6">
        <f t="shared" si="113"/>
        <v>0</v>
      </c>
      <c r="K322" s="6">
        <f t="shared" ref="K322:K385" si="117">I322+J322</f>
        <v>1673</v>
      </c>
      <c r="L322" s="6">
        <f t="shared" ref="L322:L385" si="118">MIN(E322,K322)</f>
        <v>1505</v>
      </c>
      <c r="M322" s="6">
        <f t="shared" ref="M322:M385" si="119">MAX(E322-K322,0)</f>
        <v>0</v>
      </c>
      <c r="N322" s="6">
        <f t="shared" ref="N322:N385" si="120">MAX(K322-L322,0)</f>
        <v>168</v>
      </c>
      <c r="O322" s="5">
        <v>2.5000000000000001E-2</v>
      </c>
      <c r="P322" s="6">
        <f t="shared" ref="P322:P385" si="121">MIN(N322,ROUND(N322*O322,0))</f>
        <v>4</v>
      </c>
      <c r="Q322" s="6">
        <f t="shared" ref="Q322:Q385" si="122">N322-P322</f>
        <v>164</v>
      </c>
      <c r="R322" s="6">
        <v>209</v>
      </c>
      <c r="S322" s="6">
        <f t="shared" ref="S322:S385" si="123">MIN(F322,MAX(0,ROUND(D322+R322-V322,0)))</f>
        <v>1804</v>
      </c>
      <c r="T322" s="5">
        <v>1.0069997371370052</v>
      </c>
      <c r="U322" s="6">
        <f t="shared" ref="U322:U385" si="124">MIN(F322,MAX(0,ROUND(S322*T322,0)))</f>
        <v>1817</v>
      </c>
      <c r="V322" s="6">
        <f t="shared" si="114"/>
        <v>143</v>
      </c>
      <c r="W322" s="6">
        <f t="shared" ref="W322:W385" si="125">U322+V322</f>
        <v>1960</v>
      </c>
      <c r="X322" s="6">
        <f t="shared" ref="X322:X385" si="126">MIN(E322,W322)</f>
        <v>1505</v>
      </c>
      <c r="Y322" s="6">
        <f t="shared" ref="Y322:Y385" si="127">MAX(E322-W322,0)</f>
        <v>0</v>
      </c>
      <c r="Z322" s="6">
        <f t="shared" ref="Z322:Z385" si="128">MAX(W322-X322,0)</f>
        <v>455</v>
      </c>
      <c r="AA322" s="6">
        <f t="shared" ref="AA322:AA385" si="129">MIN(Z322,ROUND(Z322*O322,0))</f>
        <v>11</v>
      </c>
      <c r="AB322" s="6">
        <f t="shared" ref="AB322:AB385" si="130">Z322-AA322</f>
        <v>444</v>
      </c>
      <c r="AC322" s="5">
        <f t="shared" ref="AC322:AC385" si="131">IFERROR(ABS(E322-D322)/E322,0)</f>
        <v>0.15481727574750831</v>
      </c>
      <c r="AD322" s="5">
        <f t="shared" ref="AD322:AD385" si="132">IFERROR(L322/E322,1)</f>
        <v>1</v>
      </c>
      <c r="AE322" s="5">
        <f t="shared" ref="AE322:AE385" si="133">IFERROR(X322/E322,1)</f>
        <v>1</v>
      </c>
      <c r="AF322" s="5">
        <f t="shared" ref="AF322:AF385" si="134">IFERROR(I322/F322,0)</f>
        <v>0.74355555555555553</v>
      </c>
      <c r="AG322" s="5">
        <f t="shared" ref="AG322:AG385" si="135">IFERROR(U322/F322,0)</f>
        <v>0.80755555555555558</v>
      </c>
    </row>
    <row r="323" spans="1:33">
      <c r="A323" s="4">
        <v>46226</v>
      </c>
      <c r="B323" s="3" t="s">
        <v>61</v>
      </c>
      <c r="C323" s="3">
        <v>2</v>
      </c>
      <c r="D323" s="6">
        <v>869</v>
      </c>
      <c r="E323" s="6">
        <v>929</v>
      </c>
      <c r="F323" s="6">
        <v>1200</v>
      </c>
      <c r="G323" s="6">
        <f t="shared" si="115"/>
        <v>843</v>
      </c>
      <c r="H323" s="5">
        <v>1.0008929805008657</v>
      </c>
      <c r="I323" s="6">
        <f t="shared" si="116"/>
        <v>844</v>
      </c>
      <c r="J323" s="6">
        <f t="shared" si="113"/>
        <v>82</v>
      </c>
      <c r="K323" s="6">
        <f t="shared" si="117"/>
        <v>926</v>
      </c>
      <c r="L323" s="6">
        <f t="shared" si="118"/>
        <v>926</v>
      </c>
      <c r="M323" s="6">
        <f t="shared" si="119"/>
        <v>3</v>
      </c>
      <c r="N323" s="6">
        <f t="shared" si="120"/>
        <v>0</v>
      </c>
      <c r="O323" s="5">
        <v>0.03</v>
      </c>
      <c r="P323" s="6">
        <f t="shared" si="121"/>
        <v>0</v>
      </c>
      <c r="Q323" s="6">
        <f t="shared" si="122"/>
        <v>0</v>
      </c>
      <c r="R323" s="6">
        <v>104</v>
      </c>
      <c r="S323" s="6">
        <f t="shared" si="123"/>
        <v>772</v>
      </c>
      <c r="T323" s="5">
        <v>0.9898867239946072</v>
      </c>
      <c r="U323" s="6">
        <f t="shared" si="124"/>
        <v>764</v>
      </c>
      <c r="V323" s="6">
        <f t="shared" si="114"/>
        <v>201</v>
      </c>
      <c r="W323" s="6">
        <f t="shared" si="125"/>
        <v>965</v>
      </c>
      <c r="X323" s="6">
        <f t="shared" si="126"/>
        <v>929</v>
      </c>
      <c r="Y323" s="6">
        <f t="shared" si="127"/>
        <v>0</v>
      </c>
      <c r="Z323" s="6">
        <f t="shared" si="128"/>
        <v>36</v>
      </c>
      <c r="AA323" s="6">
        <f t="shared" si="129"/>
        <v>1</v>
      </c>
      <c r="AB323" s="6">
        <f t="shared" si="130"/>
        <v>35</v>
      </c>
      <c r="AC323" s="5">
        <f t="shared" si="131"/>
        <v>6.4585575888051666E-2</v>
      </c>
      <c r="AD323" s="5">
        <f t="shared" si="132"/>
        <v>0.9967707212055974</v>
      </c>
      <c r="AE323" s="5">
        <f t="shared" si="133"/>
        <v>1</v>
      </c>
      <c r="AF323" s="5">
        <f t="shared" si="134"/>
        <v>0.70333333333333337</v>
      </c>
      <c r="AG323" s="5">
        <f t="shared" si="135"/>
        <v>0.63666666666666671</v>
      </c>
    </row>
    <row r="324" spans="1:33">
      <c r="A324" s="4">
        <v>46226</v>
      </c>
      <c r="B324" s="3" t="s">
        <v>62</v>
      </c>
      <c r="C324" s="3">
        <v>7</v>
      </c>
      <c r="D324" s="6">
        <v>511</v>
      </c>
      <c r="E324" s="6">
        <v>429</v>
      </c>
      <c r="F324" s="6">
        <v>700</v>
      </c>
      <c r="G324" s="6">
        <f t="shared" si="115"/>
        <v>496</v>
      </c>
      <c r="H324" s="5">
        <v>1.0169626548910091</v>
      </c>
      <c r="I324" s="6">
        <f t="shared" si="116"/>
        <v>504</v>
      </c>
      <c r="J324" s="6">
        <f t="shared" si="113"/>
        <v>0</v>
      </c>
      <c r="K324" s="6">
        <f t="shared" si="117"/>
        <v>504</v>
      </c>
      <c r="L324" s="6">
        <f t="shared" si="118"/>
        <v>429</v>
      </c>
      <c r="M324" s="6">
        <f t="shared" si="119"/>
        <v>0</v>
      </c>
      <c r="N324" s="6">
        <f t="shared" si="120"/>
        <v>75</v>
      </c>
      <c r="O324" s="5">
        <v>1.7999999999999999E-2</v>
      </c>
      <c r="P324" s="6">
        <f t="shared" si="121"/>
        <v>1</v>
      </c>
      <c r="Q324" s="6">
        <f t="shared" si="122"/>
        <v>74</v>
      </c>
      <c r="R324" s="6">
        <v>92</v>
      </c>
      <c r="S324" s="6">
        <f t="shared" si="123"/>
        <v>574</v>
      </c>
      <c r="T324" s="5">
        <v>1.0182606380505606</v>
      </c>
      <c r="U324" s="6">
        <f t="shared" si="124"/>
        <v>584</v>
      </c>
      <c r="V324" s="6">
        <f t="shared" si="114"/>
        <v>29</v>
      </c>
      <c r="W324" s="6">
        <f t="shared" si="125"/>
        <v>613</v>
      </c>
      <c r="X324" s="6">
        <f t="shared" si="126"/>
        <v>429</v>
      </c>
      <c r="Y324" s="6">
        <f t="shared" si="127"/>
        <v>0</v>
      </c>
      <c r="Z324" s="6">
        <f t="shared" si="128"/>
        <v>184</v>
      </c>
      <c r="AA324" s="6">
        <f t="shared" si="129"/>
        <v>3</v>
      </c>
      <c r="AB324" s="6">
        <f t="shared" si="130"/>
        <v>181</v>
      </c>
      <c r="AC324" s="5">
        <f t="shared" si="131"/>
        <v>0.19114219114219114</v>
      </c>
      <c r="AD324" s="5">
        <f t="shared" si="132"/>
        <v>1</v>
      </c>
      <c r="AE324" s="5">
        <f t="shared" si="133"/>
        <v>1</v>
      </c>
      <c r="AF324" s="5">
        <f t="shared" si="134"/>
        <v>0.72</v>
      </c>
      <c r="AG324" s="5">
        <f t="shared" si="135"/>
        <v>0.8342857142857143</v>
      </c>
    </row>
    <row r="325" spans="1:33">
      <c r="A325" s="4">
        <v>46226</v>
      </c>
      <c r="B325" s="3" t="s">
        <v>63</v>
      </c>
      <c r="C325" s="3">
        <v>7</v>
      </c>
      <c r="D325" s="6">
        <v>409</v>
      </c>
      <c r="E325" s="6">
        <v>475</v>
      </c>
      <c r="F325" s="6">
        <v>560</v>
      </c>
      <c r="G325" s="6">
        <f t="shared" si="115"/>
        <v>397</v>
      </c>
      <c r="H325" s="5">
        <v>0.99379066759772339</v>
      </c>
      <c r="I325" s="6">
        <f t="shared" si="116"/>
        <v>395</v>
      </c>
      <c r="J325" s="6">
        <f t="shared" si="113"/>
        <v>0</v>
      </c>
      <c r="K325" s="6">
        <f t="shared" si="117"/>
        <v>395</v>
      </c>
      <c r="L325" s="6">
        <f t="shared" si="118"/>
        <v>395</v>
      </c>
      <c r="M325" s="6">
        <f t="shared" si="119"/>
        <v>80</v>
      </c>
      <c r="N325" s="6">
        <f t="shared" si="120"/>
        <v>0</v>
      </c>
      <c r="O325" s="5">
        <v>0.02</v>
      </c>
      <c r="P325" s="6">
        <f t="shared" si="121"/>
        <v>0</v>
      </c>
      <c r="Q325" s="6">
        <f t="shared" si="122"/>
        <v>0</v>
      </c>
      <c r="R325" s="6">
        <v>74</v>
      </c>
      <c r="S325" s="6">
        <f t="shared" si="123"/>
        <v>411</v>
      </c>
      <c r="T325" s="5">
        <v>0.99830749691449439</v>
      </c>
      <c r="U325" s="6">
        <f t="shared" si="124"/>
        <v>410</v>
      </c>
      <c r="V325" s="6">
        <f t="shared" si="114"/>
        <v>72</v>
      </c>
      <c r="W325" s="6">
        <f t="shared" si="125"/>
        <v>482</v>
      </c>
      <c r="X325" s="6">
        <f t="shared" si="126"/>
        <v>475</v>
      </c>
      <c r="Y325" s="6">
        <f t="shared" si="127"/>
        <v>0</v>
      </c>
      <c r="Z325" s="6">
        <f t="shared" si="128"/>
        <v>7</v>
      </c>
      <c r="AA325" s="6">
        <f t="shared" si="129"/>
        <v>0</v>
      </c>
      <c r="AB325" s="6">
        <f t="shared" si="130"/>
        <v>7</v>
      </c>
      <c r="AC325" s="5">
        <f t="shared" si="131"/>
        <v>0.13894736842105262</v>
      </c>
      <c r="AD325" s="5">
        <f t="shared" si="132"/>
        <v>0.83157894736842108</v>
      </c>
      <c r="AE325" s="5">
        <f t="shared" si="133"/>
        <v>1</v>
      </c>
      <c r="AF325" s="5">
        <f t="shared" si="134"/>
        <v>0.7053571428571429</v>
      </c>
      <c r="AG325" s="5">
        <f t="shared" si="135"/>
        <v>0.7321428571428571</v>
      </c>
    </row>
    <row r="326" spans="1:33">
      <c r="A326" s="4">
        <v>46226</v>
      </c>
      <c r="B326" s="3" t="s">
        <v>64</v>
      </c>
      <c r="C326" s="3">
        <v>5</v>
      </c>
      <c r="D326" s="6">
        <v>164</v>
      </c>
      <c r="E326" s="6">
        <v>183</v>
      </c>
      <c r="F326" s="6">
        <v>230</v>
      </c>
      <c r="G326" s="6">
        <f t="shared" si="115"/>
        <v>159</v>
      </c>
      <c r="H326" s="5">
        <v>0.98386544947765064</v>
      </c>
      <c r="I326" s="6">
        <f t="shared" si="116"/>
        <v>156</v>
      </c>
      <c r="J326" s="6">
        <f t="shared" si="113"/>
        <v>29</v>
      </c>
      <c r="K326" s="6">
        <f t="shared" si="117"/>
        <v>185</v>
      </c>
      <c r="L326" s="6">
        <f t="shared" si="118"/>
        <v>183</v>
      </c>
      <c r="M326" s="6">
        <f t="shared" si="119"/>
        <v>0</v>
      </c>
      <c r="N326" s="6">
        <f t="shared" si="120"/>
        <v>2</v>
      </c>
      <c r="O326" s="5">
        <v>2.5000000000000001E-2</v>
      </c>
      <c r="P326" s="6">
        <f t="shared" si="121"/>
        <v>0</v>
      </c>
      <c r="Q326" s="6">
        <f t="shared" si="122"/>
        <v>2</v>
      </c>
      <c r="R326" s="6">
        <v>33</v>
      </c>
      <c r="S326" s="6">
        <f t="shared" si="123"/>
        <v>143</v>
      </c>
      <c r="T326" s="5">
        <v>0.9928264204690519</v>
      </c>
      <c r="U326" s="6">
        <f t="shared" si="124"/>
        <v>142</v>
      </c>
      <c r="V326" s="6">
        <f t="shared" si="114"/>
        <v>54</v>
      </c>
      <c r="W326" s="6">
        <f t="shared" si="125"/>
        <v>196</v>
      </c>
      <c r="X326" s="6">
        <f t="shared" si="126"/>
        <v>183</v>
      </c>
      <c r="Y326" s="6">
        <f t="shared" si="127"/>
        <v>0</v>
      </c>
      <c r="Z326" s="6">
        <f t="shared" si="128"/>
        <v>13</v>
      </c>
      <c r="AA326" s="6">
        <f t="shared" si="129"/>
        <v>0</v>
      </c>
      <c r="AB326" s="6">
        <f t="shared" si="130"/>
        <v>13</v>
      </c>
      <c r="AC326" s="5">
        <f t="shared" si="131"/>
        <v>0.10382513661202186</v>
      </c>
      <c r="AD326" s="5">
        <f t="shared" si="132"/>
        <v>1</v>
      </c>
      <c r="AE326" s="5">
        <f t="shared" si="133"/>
        <v>1</v>
      </c>
      <c r="AF326" s="5">
        <f t="shared" si="134"/>
        <v>0.67826086956521736</v>
      </c>
      <c r="AG326" s="5">
        <f t="shared" si="135"/>
        <v>0.61739130434782608</v>
      </c>
    </row>
    <row r="327" spans="1:33">
      <c r="A327" s="4">
        <v>46227</v>
      </c>
      <c r="B327" s="3" t="s">
        <v>60</v>
      </c>
      <c r="C327" s="3">
        <v>2</v>
      </c>
      <c r="D327" s="6">
        <v>1808</v>
      </c>
      <c r="E327" s="6">
        <v>1946</v>
      </c>
      <c r="F327" s="6">
        <v>2250</v>
      </c>
      <c r="G327" s="6">
        <f t="shared" si="115"/>
        <v>1754</v>
      </c>
      <c r="H327" s="5">
        <v>0.99525869170548353</v>
      </c>
      <c r="I327" s="6">
        <f t="shared" si="116"/>
        <v>1746</v>
      </c>
      <c r="J327" s="6">
        <f t="shared" ref="J327:J390" si="136">Q322</f>
        <v>164</v>
      </c>
      <c r="K327" s="6">
        <f t="shared" si="117"/>
        <v>1910</v>
      </c>
      <c r="L327" s="6">
        <f t="shared" si="118"/>
        <v>1910</v>
      </c>
      <c r="M327" s="6">
        <f t="shared" si="119"/>
        <v>36</v>
      </c>
      <c r="N327" s="6">
        <f t="shared" si="120"/>
        <v>0</v>
      </c>
      <c r="O327" s="5">
        <v>2.5000000000000001E-2</v>
      </c>
      <c r="P327" s="6">
        <f t="shared" si="121"/>
        <v>0</v>
      </c>
      <c r="Q327" s="6">
        <f t="shared" si="122"/>
        <v>0</v>
      </c>
      <c r="R327" s="6">
        <v>217</v>
      </c>
      <c r="S327" s="6">
        <f t="shared" si="123"/>
        <v>1581</v>
      </c>
      <c r="T327" s="5">
        <v>1.0038599333137719</v>
      </c>
      <c r="U327" s="6">
        <f t="shared" si="124"/>
        <v>1587</v>
      </c>
      <c r="V327" s="6">
        <f t="shared" ref="V327:V390" si="137">AB322</f>
        <v>444</v>
      </c>
      <c r="W327" s="6">
        <f t="shared" si="125"/>
        <v>2031</v>
      </c>
      <c r="X327" s="6">
        <f t="shared" si="126"/>
        <v>1946</v>
      </c>
      <c r="Y327" s="6">
        <f t="shared" si="127"/>
        <v>0</v>
      </c>
      <c r="Z327" s="6">
        <f t="shared" si="128"/>
        <v>85</v>
      </c>
      <c r="AA327" s="6">
        <f t="shared" si="129"/>
        <v>2</v>
      </c>
      <c r="AB327" s="6">
        <f t="shared" si="130"/>
        <v>83</v>
      </c>
      <c r="AC327" s="5">
        <f t="shared" si="131"/>
        <v>7.0914696813977385E-2</v>
      </c>
      <c r="AD327" s="5">
        <f t="shared" si="132"/>
        <v>0.98150051387461457</v>
      </c>
      <c r="AE327" s="5">
        <f t="shared" si="133"/>
        <v>1</v>
      </c>
      <c r="AF327" s="5">
        <f t="shared" si="134"/>
        <v>0.77600000000000002</v>
      </c>
      <c r="AG327" s="5">
        <f t="shared" si="135"/>
        <v>0.70533333333333337</v>
      </c>
    </row>
    <row r="328" spans="1:33">
      <c r="A328" s="4">
        <v>46227</v>
      </c>
      <c r="B328" s="3" t="s">
        <v>61</v>
      </c>
      <c r="C328" s="3">
        <v>2</v>
      </c>
      <c r="D328" s="6">
        <v>904</v>
      </c>
      <c r="E328" s="6">
        <v>952</v>
      </c>
      <c r="F328" s="6">
        <v>1200</v>
      </c>
      <c r="G328" s="6">
        <f t="shared" si="115"/>
        <v>877</v>
      </c>
      <c r="H328" s="5">
        <v>0.99490357723602629</v>
      </c>
      <c r="I328" s="6">
        <f t="shared" si="116"/>
        <v>873</v>
      </c>
      <c r="J328" s="6">
        <f t="shared" si="136"/>
        <v>0</v>
      </c>
      <c r="K328" s="6">
        <f t="shared" si="117"/>
        <v>873</v>
      </c>
      <c r="L328" s="6">
        <f t="shared" si="118"/>
        <v>873</v>
      </c>
      <c r="M328" s="6">
        <f t="shared" si="119"/>
        <v>79</v>
      </c>
      <c r="N328" s="6">
        <f t="shared" si="120"/>
        <v>0</v>
      </c>
      <c r="O328" s="5">
        <v>0.03</v>
      </c>
      <c r="P328" s="6">
        <f t="shared" si="121"/>
        <v>0</v>
      </c>
      <c r="Q328" s="6">
        <f t="shared" si="122"/>
        <v>0</v>
      </c>
      <c r="R328" s="6">
        <v>108</v>
      </c>
      <c r="S328" s="6">
        <f t="shared" si="123"/>
        <v>977</v>
      </c>
      <c r="T328" s="5">
        <v>0.99125999534528308</v>
      </c>
      <c r="U328" s="6">
        <f t="shared" si="124"/>
        <v>968</v>
      </c>
      <c r="V328" s="6">
        <f t="shared" si="137"/>
        <v>35</v>
      </c>
      <c r="W328" s="6">
        <f t="shared" si="125"/>
        <v>1003</v>
      </c>
      <c r="X328" s="6">
        <f t="shared" si="126"/>
        <v>952</v>
      </c>
      <c r="Y328" s="6">
        <f t="shared" si="127"/>
        <v>0</v>
      </c>
      <c r="Z328" s="6">
        <f t="shared" si="128"/>
        <v>51</v>
      </c>
      <c r="AA328" s="6">
        <f t="shared" si="129"/>
        <v>2</v>
      </c>
      <c r="AB328" s="6">
        <f t="shared" si="130"/>
        <v>49</v>
      </c>
      <c r="AC328" s="5">
        <f t="shared" si="131"/>
        <v>5.0420168067226892E-2</v>
      </c>
      <c r="AD328" s="5">
        <f t="shared" si="132"/>
        <v>0.91701680672268904</v>
      </c>
      <c r="AE328" s="5">
        <f t="shared" si="133"/>
        <v>1</v>
      </c>
      <c r="AF328" s="5">
        <f t="shared" si="134"/>
        <v>0.72750000000000004</v>
      </c>
      <c r="AG328" s="5">
        <f t="shared" si="135"/>
        <v>0.80666666666666664</v>
      </c>
    </row>
    <row r="329" spans="1:33">
      <c r="A329" s="4">
        <v>46227</v>
      </c>
      <c r="B329" s="3" t="s">
        <v>62</v>
      </c>
      <c r="C329" s="3">
        <v>7</v>
      </c>
      <c r="D329" s="6">
        <v>532</v>
      </c>
      <c r="E329" s="6">
        <v>548</v>
      </c>
      <c r="F329" s="6">
        <v>700</v>
      </c>
      <c r="G329" s="6">
        <f t="shared" si="115"/>
        <v>516</v>
      </c>
      <c r="H329" s="5">
        <v>0.99133924776523075</v>
      </c>
      <c r="I329" s="6">
        <f t="shared" si="116"/>
        <v>512</v>
      </c>
      <c r="J329" s="6">
        <f t="shared" si="136"/>
        <v>74</v>
      </c>
      <c r="K329" s="6">
        <f t="shared" si="117"/>
        <v>586</v>
      </c>
      <c r="L329" s="6">
        <f t="shared" si="118"/>
        <v>548</v>
      </c>
      <c r="M329" s="6">
        <f t="shared" si="119"/>
        <v>0</v>
      </c>
      <c r="N329" s="6">
        <f t="shared" si="120"/>
        <v>38</v>
      </c>
      <c r="O329" s="5">
        <v>1.7999999999999999E-2</v>
      </c>
      <c r="P329" s="6">
        <f t="shared" si="121"/>
        <v>1</v>
      </c>
      <c r="Q329" s="6">
        <f t="shared" si="122"/>
        <v>37</v>
      </c>
      <c r="R329" s="6">
        <v>96</v>
      </c>
      <c r="S329" s="6">
        <f t="shared" si="123"/>
        <v>447</v>
      </c>
      <c r="T329" s="5">
        <v>0.98778354123084766</v>
      </c>
      <c r="U329" s="6">
        <f t="shared" si="124"/>
        <v>442</v>
      </c>
      <c r="V329" s="6">
        <f t="shared" si="137"/>
        <v>181</v>
      </c>
      <c r="W329" s="6">
        <f t="shared" si="125"/>
        <v>623</v>
      </c>
      <c r="X329" s="6">
        <f t="shared" si="126"/>
        <v>548</v>
      </c>
      <c r="Y329" s="6">
        <f t="shared" si="127"/>
        <v>0</v>
      </c>
      <c r="Z329" s="6">
        <f t="shared" si="128"/>
        <v>75</v>
      </c>
      <c r="AA329" s="6">
        <f t="shared" si="129"/>
        <v>1</v>
      </c>
      <c r="AB329" s="6">
        <f t="shared" si="130"/>
        <v>74</v>
      </c>
      <c r="AC329" s="5">
        <f t="shared" si="131"/>
        <v>2.9197080291970802E-2</v>
      </c>
      <c r="AD329" s="5">
        <f t="shared" si="132"/>
        <v>1</v>
      </c>
      <c r="AE329" s="5">
        <f t="shared" si="133"/>
        <v>1</v>
      </c>
      <c r="AF329" s="5">
        <f t="shared" si="134"/>
        <v>0.73142857142857143</v>
      </c>
      <c r="AG329" s="5">
        <f t="shared" si="135"/>
        <v>0.63142857142857145</v>
      </c>
    </row>
    <row r="330" spans="1:33">
      <c r="A330" s="4">
        <v>46227</v>
      </c>
      <c r="B330" s="3" t="s">
        <v>63</v>
      </c>
      <c r="C330" s="3">
        <v>7</v>
      </c>
      <c r="D330" s="6">
        <v>425</v>
      </c>
      <c r="E330" s="6">
        <v>350</v>
      </c>
      <c r="F330" s="6">
        <v>560</v>
      </c>
      <c r="G330" s="6">
        <f t="shared" si="115"/>
        <v>412</v>
      </c>
      <c r="H330" s="5">
        <v>1.0156879549374032</v>
      </c>
      <c r="I330" s="6">
        <f t="shared" si="116"/>
        <v>418</v>
      </c>
      <c r="J330" s="6">
        <f t="shared" si="136"/>
        <v>0</v>
      </c>
      <c r="K330" s="6">
        <f t="shared" si="117"/>
        <v>418</v>
      </c>
      <c r="L330" s="6">
        <f t="shared" si="118"/>
        <v>350</v>
      </c>
      <c r="M330" s="6">
        <f t="shared" si="119"/>
        <v>0</v>
      </c>
      <c r="N330" s="6">
        <f t="shared" si="120"/>
        <v>68</v>
      </c>
      <c r="O330" s="5">
        <v>0.02</v>
      </c>
      <c r="P330" s="6">
        <f t="shared" si="121"/>
        <v>1</v>
      </c>
      <c r="Q330" s="6">
        <f t="shared" si="122"/>
        <v>67</v>
      </c>
      <c r="R330" s="6">
        <v>76</v>
      </c>
      <c r="S330" s="6">
        <f t="shared" si="123"/>
        <v>494</v>
      </c>
      <c r="T330" s="5">
        <v>0.98638795315310779</v>
      </c>
      <c r="U330" s="6">
        <f t="shared" si="124"/>
        <v>487</v>
      </c>
      <c r="V330" s="6">
        <f t="shared" si="137"/>
        <v>7</v>
      </c>
      <c r="W330" s="6">
        <f t="shared" si="125"/>
        <v>494</v>
      </c>
      <c r="X330" s="6">
        <f t="shared" si="126"/>
        <v>350</v>
      </c>
      <c r="Y330" s="6">
        <f t="shared" si="127"/>
        <v>0</v>
      </c>
      <c r="Z330" s="6">
        <f t="shared" si="128"/>
        <v>144</v>
      </c>
      <c r="AA330" s="6">
        <f t="shared" si="129"/>
        <v>3</v>
      </c>
      <c r="AB330" s="6">
        <f t="shared" si="130"/>
        <v>141</v>
      </c>
      <c r="AC330" s="5">
        <f t="shared" si="131"/>
        <v>0.21428571428571427</v>
      </c>
      <c r="AD330" s="5">
        <f t="shared" si="132"/>
        <v>1</v>
      </c>
      <c r="AE330" s="5">
        <f t="shared" si="133"/>
        <v>1</v>
      </c>
      <c r="AF330" s="5">
        <f t="shared" si="134"/>
        <v>0.74642857142857144</v>
      </c>
      <c r="AG330" s="5">
        <f t="shared" si="135"/>
        <v>0.86964285714285716</v>
      </c>
    </row>
    <row r="331" spans="1:33">
      <c r="A331" s="4">
        <v>46227</v>
      </c>
      <c r="B331" s="3" t="s">
        <v>64</v>
      </c>
      <c r="C331" s="3">
        <v>5</v>
      </c>
      <c r="D331" s="6">
        <v>170</v>
      </c>
      <c r="E331" s="6">
        <v>166</v>
      </c>
      <c r="F331" s="6">
        <v>230</v>
      </c>
      <c r="G331" s="6">
        <f t="shared" si="115"/>
        <v>165</v>
      </c>
      <c r="H331" s="5">
        <v>1.0114747419764452</v>
      </c>
      <c r="I331" s="6">
        <f t="shared" si="116"/>
        <v>167</v>
      </c>
      <c r="J331" s="6">
        <f t="shared" si="136"/>
        <v>2</v>
      </c>
      <c r="K331" s="6">
        <f t="shared" si="117"/>
        <v>169</v>
      </c>
      <c r="L331" s="6">
        <f t="shared" si="118"/>
        <v>166</v>
      </c>
      <c r="M331" s="6">
        <f t="shared" si="119"/>
        <v>0</v>
      </c>
      <c r="N331" s="6">
        <f t="shared" si="120"/>
        <v>3</v>
      </c>
      <c r="O331" s="5">
        <v>2.5000000000000001E-2</v>
      </c>
      <c r="P331" s="6">
        <f t="shared" si="121"/>
        <v>0</v>
      </c>
      <c r="Q331" s="6">
        <f t="shared" si="122"/>
        <v>3</v>
      </c>
      <c r="R331" s="6">
        <v>34</v>
      </c>
      <c r="S331" s="6">
        <f t="shared" si="123"/>
        <v>191</v>
      </c>
      <c r="T331" s="5">
        <v>0.98485098254441361</v>
      </c>
      <c r="U331" s="6">
        <f t="shared" si="124"/>
        <v>188</v>
      </c>
      <c r="V331" s="6">
        <f t="shared" si="137"/>
        <v>13</v>
      </c>
      <c r="W331" s="6">
        <f t="shared" si="125"/>
        <v>201</v>
      </c>
      <c r="X331" s="6">
        <f t="shared" si="126"/>
        <v>166</v>
      </c>
      <c r="Y331" s="6">
        <f t="shared" si="127"/>
        <v>0</v>
      </c>
      <c r="Z331" s="6">
        <f t="shared" si="128"/>
        <v>35</v>
      </c>
      <c r="AA331" s="6">
        <f t="shared" si="129"/>
        <v>1</v>
      </c>
      <c r="AB331" s="6">
        <f t="shared" si="130"/>
        <v>34</v>
      </c>
      <c r="AC331" s="5">
        <f t="shared" si="131"/>
        <v>2.4096385542168676E-2</v>
      </c>
      <c r="AD331" s="5">
        <f t="shared" si="132"/>
        <v>1</v>
      </c>
      <c r="AE331" s="5">
        <f t="shared" si="133"/>
        <v>1</v>
      </c>
      <c r="AF331" s="5">
        <f t="shared" si="134"/>
        <v>0.72608695652173916</v>
      </c>
      <c r="AG331" s="5">
        <f t="shared" si="135"/>
        <v>0.81739130434782614</v>
      </c>
    </row>
    <row r="332" spans="1:33">
      <c r="A332" s="4">
        <v>46228</v>
      </c>
      <c r="B332" s="3" t="s">
        <v>60</v>
      </c>
      <c r="C332" s="3">
        <v>2</v>
      </c>
      <c r="D332" s="6">
        <v>1983</v>
      </c>
      <c r="E332" s="6">
        <v>2251</v>
      </c>
      <c r="F332" s="6">
        <v>2250</v>
      </c>
      <c r="G332" s="6">
        <f t="shared" si="115"/>
        <v>1924</v>
      </c>
      <c r="H332" s="5">
        <v>0.984950849624047</v>
      </c>
      <c r="I332" s="6">
        <f t="shared" si="116"/>
        <v>1895</v>
      </c>
      <c r="J332" s="6">
        <f t="shared" si="136"/>
        <v>0</v>
      </c>
      <c r="K332" s="6">
        <f t="shared" si="117"/>
        <v>1895</v>
      </c>
      <c r="L332" s="6">
        <f t="shared" si="118"/>
        <v>1895</v>
      </c>
      <c r="M332" s="6">
        <f t="shared" si="119"/>
        <v>356</v>
      </c>
      <c r="N332" s="6">
        <f t="shared" si="120"/>
        <v>0</v>
      </c>
      <c r="O332" s="5">
        <v>2.5000000000000001E-2</v>
      </c>
      <c r="P332" s="6">
        <f t="shared" si="121"/>
        <v>0</v>
      </c>
      <c r="Q332" s="6">
        <f t="shared" si="122"/>
        <v>0</v>
      </c>
      <c r="R332" s="6">
        <v>238</v>
      </c>
      <c r="S332" s="6">
        <f t="shared" si="123"/>
        <v>2138</v>
      </c>
      <c r="T332" s="5">
        <v>1.0121373140934011</v>
      </c>
      <c r="U332" s="6">
        <f t="shared" si="124"/>
        <v>2164</v>
      </c>
      <c r="V332" s="6">
        <f t="shared" si="137"/>
        <v>83</v>
      </c>
      <c r="W332" s="6">
        <f t="shared" si="125"/>
        <v>2247</v>
      </c>
      <c r="X332" s="6">
        <f t="shared" si="126"/>
        <v>2247</v>
      </c>
      <c r="Y332" s="6">
        <f t="shared" si="127"/>
        <v>4</v>
      </c>
      <c r="Z332" s="6">
        <f t="shared" si="128"/>
        <v>0</v>
      </c>
      <c r="AA332" s="6">
        <f t="shared" si="129"/>
        <v>0</v>
      </c>
      <c r="AB332" s="6">
        <f t="shared" si="130"/>
        <v>0</v>
      </c>
      <c r="AC332" s="5">
        <f t="shared" si="131"/>
        <v>0.11905819635717459</v>
      </c>
      <c r="AD332" s="5">
        <f t="shared" si="132"/>
        <v>0.8418480675255442</v>
      </c>
      <c r="AE332" s="5">
        <f t="shared" si="133"/>
        <v>0.99822301199466901</v>
      </c>
      <c r="AF332" s="5">
        <f t="shared" si="134"/>
        <v>0.84222222222222221</v>
      </c>
      <c r="AG332" s="5">
        <f t="shared" si="135"/>
        <v>0.96177777777777773</v>
      </c>
    </row>
    <row r="333" spans="1:33">
      <c r="A333" s="4">
        <v>46228</v>
      </c>
      <c r="B333" s="3" t="s">
        <v>61</v>
      </c>
      <c r="C333" s="3">
        <v>2</v>
      </c>
      <c r="D333" s="6">
        <v>991</v>
      </c>
      <c r="E333" s="6">
        <v>1016</v>
      </c>
      <c r="F333" s="6">
        <v>1200</v>
      </c>
      <c r="G333" s="6">
        <f t="shared" si="115"/>
        <v>961</v>
      </c>
      <c r="H333" s="5">
        <v>1.0089638121221345</v>
      </c>
      <c r="I333" s="6">
        <f t="shared" si="116"/>
        <v>970</v>
      </c>
      <c r="J333" s="6">
        <f t="shared" si="136"/>
        <v>0</v>
      </c>
      <c r="K333" s="6">
        <f t="shared" si="117"/>
        <v>970</v>
      </c>
      <c r="L333" s="6">
        <f t="shared" si="118"/>
        <v>970</v>
      </c>
      <c r="M333" s="6">
        <f t="shared" si="119"/>
        <v>46</v>
      </c>
      <c r="N333" s="6">
        <f t="shared" si="120"/>
        <v>0</v>
      </c>
      <c r="O333" s="5">
        <v>0.03</v>
      </c>
      <c r="P333" s="6">
        <f t="shared" si="121"/>
        <v>0</v>
      </c>
      <c r="Q333" s="6">
        <f t="shared" si="122"/>
        <v>0</v>
      </c>
      <c r="R333" s="6">
        <v>119</v>
      </c>
      <c r="S333" s="6">
        <f t="shared" si="123"/>
        <v>1061</v>
      </c>
      <c r="T333" s="5">
        <v>0.98018588394110806</v>
      </c>
      <c r="U333" s="6">
        <f t="shared" si="124"/>
        <v>1040</v>
      </c>
      <c r="V333" s="6">
        <f t="shared" si="137"/>
        <v>49</v>
      </c>
      <c r="W333" s="6">
        <f t="shared" si="125"/>
        <v>1089</v>
      </c>
      <c r="X333" s="6">
        <f t="shared" si="126"/>
        <v>1016</v>
      </c>
      <c r="Y333" s="6">
        <f t="shared" si="127"/>
        <v>0</v>
      </c>
      <c r="Z333" s="6">
        <f t="shared" si="128"/>
        <v>73</v>
      </c>
      <c r="AA333" s="6">
        <f t="shared" si="129"/>
        <v>2</v>
      </c>
      <c r="AB333" s="6">
        <f t="shared" si="130"/>
        <v>71</v>
      </c>
      <c r="AC333" s="5">
        <f t="shared" si="131"/>
        <v>2.4606299212598427E-2</v>
      </c>
      <c r="AD333" s="5">
        <f t="shared" si="132"/>
        <v>0.95472440944881887</v>
      </c>
      <c r="AE333" s="5">
        <f t="shared" si="133"/>
        <v>1</v>
      </c>
      <c r="AF333" s="5">
        <f t="shared" si="134"/>
        <v>0.80833333333333335</v>
      </c>
      <c r="AG333" s="5">
        <f t="shared" si="135"/>
        <v>0.8666666666666667</v>
      </c>
    </row>
    <row r="334" spans="1:33">
      <c r="A334" s="4">
        <v>46228</v>
      </c>
      <c r="B334" s="3" t="s">
        <v>62</v>
      </c>
      <c r="C334" s="3">
        <v>7</v>
      </c>
      <c r="D334" s="6">
        <v>583</v>
      </c>
      <c r="E334" s="6">
        <v>505</v>
      </c>
      <c r="F334" s="6">
        <v>700</v>
      </c>
      <c r="G334" s="6">
        <f t="shared" si="115"/>
        <v>566</v>
      </c>
      <c r="H334" s="5">
        <v>1.0047535852348317</v>
      </c>
      <c r="I334" s="6">
        <f t="shared" si="116"/>
        <v>569</v>
      </c>
      <c r="J334" s="6">
        <f t="shared" si="136"/>
        <v>37</v>
      </c>
      <c r="K334" s="6">
        <f t="shared" si="117"/>
        <v>606</v>
      </c>
      <c r="L334" s="6">
        <f t="shared" si="118"/>
        <v>505</v>
      </c>
      <c r="M334" s="6">
        <f t="shared" si="119"/>
        <v>0</v>
      </c>
      <c r="N334" s="6">
        <f t="shared" si="120"/>
        <v>101</v>
      </c>
      <c r="O334" s="5">
        <v>1.7999999999999999E-2</v>
      </c>
      <c r="P334" s="6">
        <f t="shared" si="121"/>
        <v>2</v>
      </c>
      <c r="Q334" s="6">
        <f t="shared" si="122"/>
        <v>99</v>
      </c>
      <c r="R334" s="6">
        <v>105</v>
      </c>
      <c r="S334" s="6">
        <f t="shared" si="123"/>
        <v>614</v>
      </c>
      <c r="T334" s="5">
        <v>1.0087323858160733</v>
      </c>
      <c r="U334" s="6">
        <f t="shared" si="124"/>
        <v>619</v>
      </c>
      <c r="V334" s="6">
        <f t="shared" si="137"/>
        <v>74</v>
      </c>
      <c r="W334" s="6">
        <f t="shared" si="125"/>
        <v>693</v>
      </c>
      <c r="X334" s="6">
        <f t="shared" si="126"/>
        <v>505</v>
      </c>
      <c r="Y334" s="6">
        <f t="shared" si="127"/>
        <v>0</v>
      </c>
      <c r="Z334" s="6">
        <f t="shared" si="128"/>
        <v>188</v>
      </c>
      <c r="AA334" s="6">
        <f t="shared" si="129"/>
        <v>3</v>
      </c>
      <c r="AB334" s="6">
        <f t="shared" si="130"/>
        <v>185</v>
      </c>
      <c r="AC334" s="5">
        <f t="shared" si="131"/>
        <v>0.15445544554455445</v>
      </c>
      <c r="AD334" s="5">
        <f t="shared" si="132"/>
        <v>1</v>
      </c>
      <c r="AE334" s="5">
        <f t="shared" si="133"/>
        <v>1</v>
      </c>
      <c r="AF334" s="5">
        <f t="shared" si="134"/>
        <v>0.81285714285714283</v>
      </c>
      <c r="AG334" s="5">
        <f t="shared" si="135"/>
        <v>0.88428571428571423</v>
      </c>
    </row>
    <row r="335" spans="1:33">
      <c r="A335" s="4">
        <v>46228</v>
      </c>
      <c r="B335" s="3" t="s">
        <v>63</v>
      </c>
      <c r="C335" s="3">
        <v>7</v>
      </c>
      <c r="D335" s="6">
        <v>462</v>
      </c>
      <c r="E335" s="6">
        <v>542</v>
      </c>
      <c r="F335" s="6">
        <v>560</v>
      </c>
      <c r="G335" s="6">
        <f t="shared" si="115"/>
        <v>448</v>
      </c>
      <c r="H335" s="5">
        <v>1.001851029066803</v>
      </c>
      <c r="I335" s="6">
        <f t="shared" si="116"/>
        <v>449</v>
      </c>
      <c r="J335" s="6">
        <f t="shared" si="136"/>
        <v>67</v>
      </c>
      <c r="K335" s="6">
        <f t="shared" si="117"/>
        <v>516</v>
      </c>
      <c r="L335" s="6">
        <f t="shared" si="118"/>
        <v>516</v>
      </c>
      <c r="M335" s="6">
        <f t="shared" si="119"/>
        <v>26</v>
      </c>
      <c r="N335" s="6">
        <f t="shared" si="120"/>
        <v>0</v>
      </c>
      <c r="O335" s="5">
        <v>0.02</v>
      </c>
      <c r="P335" s="6">
        <f t="shared" si="121"/>
        <v>0</v>
      </c>
      <c r="Q335" s="6">
        <f t="shared" si="122"/>
        <v>0</v>
      </c>
      <c r="R335" s="6">
        <v>83</v>
      </c>
      <c r="S335" s="6">
        <f t="shared" si="123"/>
        <v>404</v>
      </c>
      <c r="T335" s="5">
        <v>1.0033986072519709</v>
      </c>
      <c r="U335" s="6">
        <f t="shared" si="124"/>
        <v>405</v>
      </c>
      <c r="V335" s="6">
        <f t="shared" si="137"/>
        <v>141</v>
      </c>
      <c r="W335" s="6">
        <f t="shared" si="125"/>
        <v>546</v>
      </c>
      <c r="X335" s="6">
        <f t="shared" si="126"/>
        <v>542</v>
      </c>
      <c r="Y335" s="6">
        <f t="shared" si="127"/>
        <v>0</v>
      </c>
      <c r="Z335" s="6">
        <f t="shared" si="128"/>
        <v>4</v>
      </c>
      <c r="AA335" s="6">
        <f t="shared" si="129"/>
        <v>0</v>
      </c>
      <c r="AB335" s="6">
        <f t="shared" si="130"/>
        <v>4</v>
      </c>
      <c r="AC335" s="5">
        <f t="shared" si="131"/>
        <v>0.14760147601476015</v>
      </c>
      <c r="AD335" s="5">
        <f t="shared" si="132"/>
        <v>0.95202952029520294</v>
      </c>
      <c r="AE335" s="5">
        <f t="shared" si="133"/>
        <v>1</v>
      </c>
      <c r="AF335" s="5">
        <f t="shared" si="134"/>
        <v>0.80178571428571432</v>
      </c>
      <c r="AG335" s="5">
        <f t="shared" si="135"/>
        <v>0.7232142857142857</v>
      </c>
    </row>
    <row r="336" spans="1:33">
      <c r="A336" s="4">
        <v>46228</v>
      </c>
      <c r="B336" s="3" t="s">
        <v>64</v>
      </c>
      <c r="C336" s="3">
        <v>5</v>
      </c>
      <c r="D336" s="6">
        <v>183</v>
      </c>
      <c r="E336" s="6">
        <v>192</v>
      </c>
      <c r="F336" s="6">
        <v>230</v>
      </c>
      <c r="G336" s="6">
        <f t="shared" si="115"/>
        <v>178</v>
      </c>
      <c r="H336" s="5">
        <v>0.98734723336215424</v>
      </c>
      <c r="I336" s="6">
        <f t="shared" si="116"/>
        <v>176</v>
      </c>
      <c r="J336" s="6">
        <f t="shared" si="136"/>
        <v>3</v>
      </c>
      <c r="K336" s="6">
        <f t="shared" si="117"/>
        <v>179</v>
      </c>
      <c r="L336" s="6">
        <f t="shared" si="118"/>
        <v>179</v>
      </c>
      <c r="M336" s="6">
        <f t="shared" si="119"/>
        <v>13</v>
      </c>
      <c r="N336" s="6">
        <f t="shared" si="120"/>
        <v>0</v>
      </c>
      <c r="O336" s="5">
        <v>2.5000000000000001E-2</v>
      </c>
      <c r="P336" s="6">
        <f t="shared" si="121"/>
        <v>0</v>
      </c>
      <c r="Q336" s="6">
        <f t="shared" si="122"/>
        <v>0</v>
      </c>
      <c r="R336" s="6">
        <v>37</v>
      </c>
      <c r="S336" s="6">
        <f t="shared" si="123"/>
        <v>186</v>
      </c>
      <c r="T336" s="5">
        <v>0.99410166548802681</v>
      </c>
      <c r="U336" s="6">
        <f t="shared" si="124"/>
        <v>185</v>
      </c>
      <c r="V336" s="6">
        <f t="shared" si="137"/>
        <v>34</v>
      </c>
      <c r="W336" s="6">
        <f t="shared" si="125"/>
        <v>219</v>
      </c>
      <c r="X336" s="6">
        <f t="shared" si="126"/>
        <v>192</v>
      </c>
      <c r="Y336" s="6">
        <f t="shared" si="127"/>
        <v>0</v>
      </c>
      <c r="Z336" s="6">
        <f t="shared" si="128"/>
        <v>27</v>
      </c>
      <c r="AA336" s="6">
        <f t="shared" si="129"/>
        <v>1</v>
      </c>
      <c r="AB336" s="6">
        <f t="shared" si="130"/>
        <v>26</v>
      </c>
      <c r="AC336" s="5">
        <f t="shared" si="131"/>
        <v>4.6875E-2</v>
      </c>
      <c r="AD336" s="5">
        <f t="shared" si="132"/>
        <v>0.93229166666666663</v>
      </c>
      <c r="AE336" s="5">
        <f t="shared" si="133"/>
        <v>1</v>
      </c>
      <c r="AF336" s="5">
        <f t="shared" si="134"/>
        <v>0.76521739130434785</v>
      </c>
      <c r="AG336" s="5">
        <f t="shared" si="135"/>
        <v>0.80434782608695654</v>
      </c>
    </row>
    <row r="337" spans="1:33">
      <c r="A337" s="4">
        <v>46229</v>
      </c>
      <c r="B337" s="3" t="s">
        <v>60</v>
      </c>
      <c r="C337" s="3">
        <v>2</v>
      </c>
      <c r="D337" s="6">
        <v>1949</v>
      </c>
      <c r="E337" s="6">
        <v>1937</v>
      </c>
      <c r="F337" s="6">
        <v>2250</v>
      </c>
      <c r="G337" s="6">
        <f t="shared" si="115"/>
        <v>1891</v>
      </c>
      <c r="H337" s="5">
        <v>1.0070903824009698</v>
      </c>
      <c r="I337" s="6">
        <f t="shared" si="116"/>
        <v>1904</v>
      </c>
      <c r="J337" s="6">
        <f t="shared" si="136"/>
        <v>0</v>
      </c>
      <c r="K337" s="6">
        <f t="shared" si="117"/>
        <v>1904</v>
      </c>
      <c r="L337" s="6">
        <f t="shared" si="118"/>
        <v>1904</v>
      </c>
      <c r="M337" s="6">
        <f t="shared" si="119"/>
        <v>33</v>
      </c>
      <c r="N337" s="6">
        <f t="shared" si="120"/>
        <v>0</v>
      </c>
      <c r="O337" s="5">
        <v>2.5000000000000001E-2</v>
      </c>
      <c r="P337" s="6">
        <f t="shared" si="121"/>
        <v>0</v>
      </c>
      <c r="Q337" s="6">
        <f t="shared" si="122"/>
        <v>0</v>
      </c>
      <c r="R337" s="6">
        <v>234</v>
      </c>
      <c r="S337" s="6">
        <f t="shared" si="123"/>
        <v>2183</v>
      </c>
      <c r="T337" s="5">
        <v>1.0089642060418087</v>
      </c>
      <c r="U337" s="6">
        <f t="shared" si="124"/>
        <v>2203</v>
      </c>
      <c r="V337" s="6">
        <f t="shared" si="137"/>
        <v>0</v>
      </c>
      <c r="W337" s="6">
        <f t="shared" si="125"/>
        <v>2203</v>
      </c>
      <c r="X337" s="6">
        <f t="shared" si="126"/>
        <v>1937</v>
      </c>
      <c r="Y337" s="6">
        <f t="shared" si="127"/>
        <v>0</v>
      </c>
      <c r="Z337" s="6">
        <f t="shared" si="128"/>
        <v>266</v>
      </c>
      <c r="AA337" s="6">
        <f t="shared" si="129"/>
        <v>7</v>
      </c>
      <c r="AB337" s="6">
        <f t="shared" si="130"/>
        <v>259</v>
      </c>
      <c r="AC337" s="5">
        <f t="shared" si="131"/>
        <v>6.1951471347444498E-3</v>
      </c>
      <c r="AD337" s="5">
        <f t="shared" si="132"/>
        <v>0.98296334537945274</v>
      </c>
      <c r="AE337" s="5">
        <f t="shared" si="133"/>
        <v>1</v>
      </c>
      <c r="AF337" s="5">
        <f t="shared" si="134"/>
        <v>0.84622222222222221</v>
      </c>
      <c r="AG337" s="5">
        <f t="shared" si="135"/>
        <v>0.97911111111111115</v>
      </c>
    </row>
    <row r="338" spans="1:33">
      <c r="A338" s="4">
        <v>46229</v>
      </c>
      <c r="B338" s="3" t="s">
        <v>61</v>
      </c>
      <c r="C338" s="3">
        <v>2</v>
      </c>
      <c r="D338" s="6">
        <v>974</v>
      </c>
      <c r="E338" s="6">
        <v>1033</v>
      </c>
      <c r="F338" s="6">
        <v>1200</v>
      </c>
      <c r="G338" s="6">
        <f t="shared" si="115"/>
        <v>945</v>
      </c>
      <c r="H338" s="5">
        <v>0.98725196708928098</v>
      </c>
      <c r="I338" s="6">
        <f t="shared" si="116"/>
        <v>933</v>
      </c>
      <c r="J338" s="6">
        <f t="shared" si="136"/>
        <v>0</v>
      </c>
      <c r="K338" s="6">
        <f t="shared" si="117"/>
        <v>933</v>
      </c>
      <c r="L338" s="6">
        <f t="shared" si="118"/>
        <v>933</v>
      </c>
      <c r="M338" s="6">
        <f t="shared" si="119"/>
        <v>100</v>
      </c>
      <c r="N338" s="6">
        <f t="shared" si="120"/>
        <v>0</v>
      </c>
      <c r="O338" s="5">
        <v>0.03</v>
      </c>
      <c r="P338" s="6">
        <f t="shared" si="121"/>
        <v>0</v>
      </c>
      <c r="Q338" s="6">
        <f t="shared" si="122"/>
        <v>0</v>
      </c>
      <c r="R338" s="6">
        <v>117</v>
      </c>
      <c r="S338" s="6">
        <f t="shared" si="123"/>
        <v>1020</v>
      </c>
      <c r="T338" s="5">
        <v>1.0026025022712499</v>
      </c>
      <c r="U338" s="6">
        <f t="shared" si="124"/>
        <v>1023</v>
      </c>
      <c r="V338" s="6">
        <f t="shared" si="137"/>
        <v>71</v>
      </c>
      <c r="W338" s="6">
        <f t="shared" si="125"/>
        <v>1094</v>
      </c>
      <c r="X338" s="6">
        <f t="shared" si="126"/>
        <v>1033</v>
      </c>
      <c r="Y338" s="6">
        <f t="shared" si="127"/>
        <v>0</v>
      </c>
      <c r="Z338" s="6">
        <f t="shared" si="128"/>
        <v>61</v>
      </c>
      <c r="AA338" s="6">
        <f t="shared" si="129"/>
        <v>2</v>
      </c>
      <c r="AB338" s="6">
        <f t="shared" si="130"/>
        <v>59</v>
      </c>
      <c r="AC338" s="5">
        <f t="shared" si="131"/>
        <v>5.7115198451113264E-2</v>
      </c>
      <c r="AD338" s="5">
        <f t="shared" si="132"/>
        <v>0.90319457889641819</v>
      </c>
      <c r="AE338" s="5">
        <f t="shared" si="133"/>
        <v>1</v>
      </c>
      <c r="AF338" s="5">
        <f t="shared" si="134"/>
        <v>0.77749999999999997</v>
      </c>
      <c r="AG338" s="5">
        <f t="shared" si="135"/>
        <v>0.85250000000000004</v>
      </c>
    </row>
    <row r="339" spans="1:33">
      <c r="A339" s="4">
        <v>46229</v>
      </c>
      <c r="B339" s="3" t="s">
        <v>62</v>
      </c>
      <c r="C339" s="3">
        <v>7</v>
      </c>
      <c r="D339" s="6">
        <v>594</v>
      </c>
      <c r="E339" s="6">
        <v>648</v>
      </c>
      <c r="F339" s="6">
        <v>700</v>
      </c>
      <c r="G339" s="6">
        <f t="shared" si="115"/>
        <v>576</v>
      </c>
      <c r="H339" s="5">
        <v>1.0043794596618112</v>
      </c>
      <c r="I339" s="6">
        <f t="shared" si="116"/>
        <v>579</v>
      </c>
      <c r="J339" s="6">
        <f t="shared" si="136"/>
        <v>99</v>
      </c>
      <c r="K339" s="6">
        <f t="shared" si="117"/>
        <v>678</v>
      </c>
      <c r="L339" s="6">
        <f t="shared" si="118"/>
        <v>648</v>
      </c>
      <c r="M339" s="6">
        <f t="shared" si="119"/>
        <v>0</v>
      </c>
      <c r="N339" s="6">
        <f t="shared" si="120"/>
        <v>30</v>
      </c>
      <c r="O339" s="5">
        <v>1.7999999999999999E-2</v>
      </c>
      <c r="P339" s="6">
        <f t="shared" si="121"/>
        <v>1</v>
      </c>
      <c r="Q339" s="6">
        <f t="shared" si="122"/>
        <v>29</v>
      </c>
      <c r="R339" s="6">
        <v>107</v>
      </c>
      <c r="S339" s="6">
        <f t="shared" si="123"/>
        <v>516</v>
      </c>
      <c r="T339" s="5">
        <v>1.0084677318035564</v>
      </c>
      <c r="U339" s="6">
        <f t="shared" si="124"/>
        <v>520</v>
      </c>
      <c r="V339" s="6">
        <f t="shared" si="137"/>
        <v>185</v>
      </c>
      <c r="W339" s="6">
        <f t="shared" si="125"/>
        <v>705</v>
      </c>
      <c r="X339" s="6">
        <f t="shared" si="126"/>
        <v>648</v>
      </c>
      <c r="Y339" s="6">
        <f t="shared" si="127"/>
        <v>0</v>
      </c>
      <c r="Z339" s="6">
        <f t="shared" si="128"/>
        <v>57</v>
      </c>
      <c r="AA339" s="6">
        <f t="shared" si="129"/>
        <v>1</v>
      </c>
      <c r="AB339" s="6">
        <f t="shared" si="130"/>
        <v>56</v>
      </c>
      <c r="AC339" s="5">
        <f t="shared" si="131"/>
        <v>8.3333333333333329E-2</v>
      </c>
      <c r="AD339" s="5">
        <f t="shared" si="132"/>
        <v>1</v>
      </c>
      <c r="AE339" s="5">
        <f t="shared" si="133"/>
        <v>1</v>
      </c>
      <c r="AF339" s="5">
        <f t="shared" si="134"/>
        <v>0.82714285714285718</v>
      </c>
      <c r="AG339" s="5">
        <f t="shared" si="135"/>
        <v>0.74285714285714288</v>
      </c>
    </row>
    <row r="340" spans="1:33">
      <c r="A340" s="4">
        <v>46229</v>
      </c>
      <c r="B340" s="3" t="s">
        <v>63</v>
      </c>
      <c r="C340" s="3">
        <v>7</v>
      </c>
      <c r="D340" s="6">
        <v>475</v>
      </c>
      <c r="E340" s="6">
        <v>536</v>
      </c>
      <c r="F340" s="6">
        <v>560</v>
      </c>
      <c r="G340" s="6">
        <f t="shared" si="115"/>
        <v>461</v>
      </c>
      <c r="H340" s="5">
        <v>0.99341021576859179</v>
      </c>
      <c r="I340" s="6">
        <f t="shared" si="116"/>
        <v>458</v>
      </c>
      <c r="J340" s="6">
        <f t="shared" si="136"/>
        <v>0</v>
      </c>
      <c r="K340" s="6">
        <f t="shared" si="117"/>
        <v>458</v>
      </c>
      <c r="L340" s="6">
        <f t="shared" si="118"/>
        <v>458</v>
      </c>
      <c r="M340" s="6">
        <f t="shared" si="119"/>
        <v>78</v>
      </c>
      <c r="N340" s="6">
        <f t="shared" si="120"/>
        <v>0</v>
      </c>
      <c r="O340" s="5">
        <v>0.02</v>
      </c>
      <c r="P340" s="6">
        <f t="shared" si="121"/>
        <v>0</v>
      </c>
      <c r="Q340" s="6">
        <f t="shared" si="122"/>
        <v>0</v>
      </c>
      <c r="R340" s="6">
        <v>86</v>
      </c>
      <c r="S340" s="6">
        <f t="shared" si="123"/>
        <v>557</v>
      </c>
      <c r="T340" s="5">
        <v>0.98573498117621516</v>
      </c>
      <c r="U340" s="6">
        <f t="shared" si="124"/>
        <v>549</v>
      </c>
      <c r="V340" s="6">
        <f t="shared" si="137"/>
        <v>4</v>
      </c>
      <c r="W340" s="6">
        <f t="shared" si="125"/>
        <v>553</v>
      </c>
      <c r="X340" s="6">
        <f t="shared" si="126"/>
        <v>536</v>
      </c>
      <c r="Y340" s="6">
        <f t="shared" si="127"/>
        <v>0</v>
      </c>
      <c r="Z340" s="6">
        <f t="shared" si="128"/>
        <v>17</v>
      </c>
      <c r="AA340" s="6">
        <f t="shared" si="129"/>
        <v>0</v>
      </c>
      <c r="AB340" s="6">
        <f t="shared" si="130"/>
        <v>17</v>
      </c>
      <c r="AC340" s="5">
        <f t="shared" si="131"/>
        <v>0.11380597014925373</v>
      </c>
      <c r="AD340" s="5">
        <f t="shared" si="132"/>
        <v>0.85447761194029848</v>
      </c>
      <c r="AE340" s="5">
        <f t="shared" si="133"/>
        <v>1</v>
      </c>
      <c r="AF340" s="5">
        <f t="shared" si="134"/>
        <v>0.81785714285714284</v>
      </c>
      <c r="AG340" s="5">
        <f t="shared" si="135"/>
        <v>0.98035714285714282</v>
      </c>
    </row>
    <row r="341" spans="1:33">
      <c r="A341" s="4">
        <v>46229</v>
      </c>
      <c r="B341" s="3" t="s">
        <v>64</v>
      </c>
      <c r="C341" s="3">
        <v>5</v>
      </c>
      <c r="D341" s="6">
        <v>188</v>
      </c>
      <c r="E341" s="6">
        <v>175</v>
      </c>
      <c r="F341" s="6">
        <v>230</v>
      </c>
      <c r="G341" s="6">
        <f t="shared" si="115"/>
        <v>182</v>
      </c>
      <c r="H341" s="5">
        <v>1.0065008238696544</v>
      </c>
      <c r="I341" s="6">
        <f t="shared" si="116"/>
        <v>183</v>
      </c>
      <c r="J341" s="6">
        <f t="shared" si="136"/>
        <v>0</v>
      </c>
      <c r="K341" s="6">
        <f t="shared" si="117"/>
        <v>183</v>
      </c>
      <c r="L341" s="6">
        <f t="shared" si="118"/>
        <v>175</v>
      </c>
      <c r="M341" s="6">
        <f t="shared" si="119"/>
        <v>0</v>
      </c>
      <c r="N341" s="6">
        <f t="shared" si="120"/>
        <v>8</v>
      </c>
      <c r="O341" s="5">
        <v>2.5000000000000001E-2</v>
      </c>
      <c r="P341" s="6">
        <f t="shared" si="121"/>
        <v>0</v>
      </c>
      <c r="Q341" s="6">
        <f t="shared" si="122"/>
        <v>8</v>
      </c>
      <c r="R341" s="6">
        <v>38</v>
      </c>
      <c r="S341" s="6">
        <f t="shared" si="123"/>
        <v>200</v>
      </c>
      <c r="T341" s="5">
        <v>1.0060673294506202</v>
      </c>
      <c r="U341" s="6">
        <f t="shared" si="124"/>
        <v>201</v>
      </c>
      <c r="V341" s="6">
        <f t="shared" si="137"/>
        <v>26</v>
      </c>
      <c r="W341" s="6">
        <f t="shared" si="125"/>
        <v>227</v>
      </c>
      <c r="X341" s="6">
        <f t="shared" si="126"/>
        <v>175</v>
      </c>
      <c r="Y341" s="6">
        <f t="shared" si="127"/>
        <v>0</v>
      </c>
      <c r="Z341" s="6">
        <f t="shared" si="128"/>
        <v>52</v>
      </c>
      <c r="AA341" s="6">
        <f t="shared" si="129"/>
        <v>1</v>
      </c>
      <c r="AB341" s="6">
        <f t="shared" si="130"/>
        <v>51</v>
      </c>
      <c r="AC341" s="5">
        <f t="shared" si="131"/>
        <v>7.4285714285714288E-2</v>
      </c>
      <c r="AD341" s="5">
        <f t="shared" si="132"/>
        <v>1</v>
      </c>
      <c r="AE341" s="5">
        <f t="shared" si="133"/>
        <v>1</v>
      </c>
      <c r="AF341" s="5">
        <f t="shared" si="134"/>
        <v>0.79565217391304344</v>
      </c>
      <c r="AG341" s="5">
        <f t="shared" si="135"/>
        <v>0.87391304347826082</v>
      </c>
    </row>
    <row r="342" spans="1:33">
      <c r="A342" s="4">
        <v>46230</v>
      </c>
      <c r="B342" s="3" t="s">
        <v>60</v>
      </c>
      <c r="C342" s="3">
        <v>2</v>
      </c>
      <c r="D342" s="6">
        <v>1671</v>
      </c>
      <c r="E342" s="6">
        <v>1797</v>
      </c>
      <c r="F342" s="6">
        <v>2250</v>
      </c>
      <c r="G342" s="6">
        <f t="shared" si="115"/>
        <v>1621</v>
      </c>
      <c r="H342" s="5">
        <v>0.99442356208630567</v>
      </c>
      <c r="I342" s="6">
        <f t="shared" si="116"/>
        <v>1612</v>
      </c>
      <c r="J342" s="6">
        <f t="shared" si="136"/>
        <v>0</v>
      </c>
      <c r="K342" s="6">
        <f t="shared" si="117"/>
        <v>1612</v>
      </c>
      <c r="L342" s="6">
        <f t="shared" si="118"/>
        <v>1612</v>
      </c>
      <c r="M342" s="6">
        <f t="shared" si="119"/>
        <v>185</v>
      </c>
      <c r="N342" s="6">
        <f t="shared" si="120"/>
        <v>0</v>
      </c>
      <c r="O342" s="5">
        <v>2.5000000000000001E-2</v>
      </c>
      <c r="P342" s="6">
        <f t="shared" si="121"/>
        <v>0</v>
      </c>
      <c r="Q342" s="6">
        <f t="shared" si="122"/>
        <v>0</v>
      </c>
      <c r="R342" s="6">
        <v>201</v>
      </c>
      <c r="S342" s="6">
        <f t="shared" si="123"/>
        <v>1613</v>
      </c>
      <c r="T342" s="5">
        <v>1.0118504468756457</v>
      </c>
      <c r="U342" s="6">
        <f t="shared" si="124"/>
        <v>1632</v>
      </c>
      <c r="V342" s="6">
        <f t="shared" si="137"/>
        <v>259</v>
      </c>
      <c r="W342" s="6">
        <f t="shared" si="125"/>
        <v>1891</v>
      </c>
      <c r="X342" s="6">
        <f t="shared" si="126"/>
        <v>1797</v>
      </c>
      <c r="Y342" s="6">
        <f t="shared" si="127"/>
        <v>0</v>
      </c>
      <c r="Z342" s="6">
        <f t="shared" si="128"/>
        <v>94</v>
      </c>
      <c r="AA342" s="6">
        <f t="shared" si="129"/>
        <v>2</v>
      </c>
      <c r="AB342" s="6">
        <f t="shared" si="130"/>
        <v>92</v>
      </c>
      <c r="AC342" s="5">
        <f t="shared" si="131"/>
        <v>7.0116861435726208E-2</v>
      </c>
      <c r="AD342" s="5">
        <f t="shared" si="132"/>
        <v>0.8970506399554814</v>
      </c>
      <c r="AE342" s="5">
        <f t="shared" si="133"/>
        <v>1</v>
      </c>
      <c r="AF342" s="5">
        <f t="shared" si="134"/>
        <v>0.71644444444444444</v>
      </c>
      <c r="AG342" s="5">
        <f t="shared" si="135"/>
        <v>0.72533333333333339</v>
      </c>
    </row>
    <row r="343" spans="1:33">
      <c r="A343" s="4">
        <v>46230</v>
      </c>
      <c r="B343" s="3" t="s">
        <v>61</v>
      </c>
      <c r="C343" s="3">
        <v>2</v>
      </c>
      <c r="D343" s="6">
        <v>827</v>
      </c>
      <c r="E343" s="6">
        <v>935</v>
      </c>
      <c r="F343" s="6">
        <v>1200</v>
      </c>
      <c r="G343" s="6">
        <f t="shared" si="115"/>
        <v>802</v>
      </c>
      <c r="H343" s="5">
        <v>1.0091368335541213</v>
      </c>
      <c r="I343" s="6">
        <f t="shared" si="116"/>
        <v>809</v>
      </c>
      <c r="J343" s="6">
        <f t="shared" si="136"/>
        <v>0</v>
      </c>
      <c r="K343" s="6">
        <f t="shared" si="117"/>
        <v>809</v>
      </c>
      <c r="L343" s="6">
        <f t="shared" si="118"/>
        <v>809</v>
      </c>
      <c r="M343" s="6">
        <f t="shared" si="119"/>
        <v>126</v>
      </c>
      <c r="N343" s="6">
        <f t="shared" si="120"/>
        <v>0</v>
      </c>
      <c r="O343" s="5">
        <v>0.03</v>
      </c>
      <c r="P343" s="6">
        <f t="shared" si="121"/>
        <v>0</v>
      </c>
      <c r="Q343" s="6">
        <f t="shared" si="122"/>
        <v>0</v>
      </c>
      <c r="R343" s="6">
        <v>99</v>
      </c>
      <c r="S343" s="6">
        <f t="shared" si="123"/>
        <v>867</v>
      </c>
      <c r="T343" s="5">
        <v>1.0182159737465688</v>
      </c>
      <c r="U343" s="6">
        <f t="shared" si="124"/>
        <v>883</v>
      </c>
      <c r="V343" s="6">
        <f t="shared" si="137"/>
        <v>59</v>
      </c>
      <c r="W343" s="6">
        <f t="shared" si="125"/>
        <v>942</v>
      </c>
      <c r="X343" s="6">
        <f t="shared" si="126"/>
        <v>935</v>
      </c>
      <c r="Y343" s="6">
        <f t="shared" si="127"/>
        <v>0</v>
      </c>
      <c r="Z343" s="6">
        <f t="shared" si="128"/>
        <v>7</v>
      </c>
      <c r="AA343" s="6">
        <f t="shared" si="129"/>
        <v>0</v>
      </c>
      <c r="AB343" s="6">
        <f t="shared" si="130"/>
        <v>7</v>
      </c>
      <c r="AC343" s="5">
        <f t="shared" si="131"/>
        <v>0.11550802139037433</v>
      </c>
      <c r="AD343" s="5">
        <f t="shared" si="132"/>
        <v>0.86524064171122994</v>
      </c>
      <c r="AE343" s="5">
        <f t="shared" si="133"/>
        <v>1</v>
      </c>
      <c r="AF343" s="5">
        <f t="shared" si="134"/>
        <v>0.67416666666666669</v>
      </c>
      <c r="AG343" s="5">
        <f t="shared" si="135"/>
        <v>0.73583333333333334</v>
      </c>
    </row>
    <row r="344" spans="1:33">
      <c r="A344" s="4">
        <v>46230</v>
      </c>
      <c r="B344" s="3" t="s">
        <v>62</v>
      </c>
      <c r="C344" s="3">
        <v>7</v>
      </c>
      <c r="D344" s="6">
        <v>476</v>
      </c>
      <c r="E344" s="6">
        <v>559</v>
      </c>
      <c r="F344" s="6">
        <v>700</v>
      </c>
      <c r="G344" s="6">
        <f t="shared" si="115"/>
        <v>462</v>
      </c>
      <c r="H344" s="5">
        <v>1.006800201736801</v>
      </c>
      <c r="I344" s="6">
        <f t="shared" si="116"/>
        <v>465</v>
      </c>
      <c r="J344" s="6">
        <f t="shared" si="136"/>
        <v>29</v>
      </c>
      <c r="K344" s="6">
        <f t="shared" si="117"/>
        <v>494</v>
      </c>
      <c r="L344" s="6">
        <f t="shared" si="118"/>
        <v>494</v>
      </c>
      <c r="M344" s="6">
        <f t="shared" si="119"/>
        <v>65</v>
      </c>
      <c r="N344" s="6">
        <f t="shared" si="120"/>
        <v>0</v>
      </c>
      <c r="O344" s="5">
        <v>1.7999999999999999E-2</v>
      </c>
      <c r="P344" s="6">
        <f t="shared" si="121"/>
        <v>0</v>
      </c>
      <c r="Q344" s="6">
        <f t="shared" si="122"/>
        <v>0</v>
      </c>
      <c r="R344" s="6">
        <v>86</v>
      </c>
      <c r="S344" s="6">
        <f t="shared" si="123"/>
        <v>506</v>
      </c>
      <c r="T344" s="5">
        <v>1.0119265045853272</v>
      </c>
      <c r="U344" s="6">
        <f t="shared" si="124"/>
        <v>512</v>
      </c>
      <c r="V344" s="6">
        <f t="shared" si="137"/>
        <v>56</v>
      </c>
      <c r="W344" s="6">
        <f t="shared" si="125"/>
        <v>568</v>
      </c>
      <c r="X344" s="6">
        <f t="shared" si="126"/>
        <v>559</v>
      </c>
      <c r="Y344" s="6">
        <f t="shared" si="127"/>
        <v>0</v>
      </c>
      <c r="Z344" s="6">
        <f t="shared" si="128"/>
        <v>9</v>
      </c>
      <c r="AA344" s="6">
        <f t="shared" si="129"/>
        <v>0</v>
      </c>
      <c r="AB344" s="6">
        <f t="shared" si="130"/>
        <v>9</v>
      </c>
      <c r="AC344" s="5">
        <f t="shared" si="131"/>
        <v>0.14847942754919499</v>
      </c>
      <c r="AD344" s="5">
        <f t="shared" si="132"/>
        <v>0.88372093023255816</v>
      </c>
      <c r="AE344" s="5">
        <f t="shared" si="133"/>
        <v>1</v>
      </c>
      <c r="AF344" s="5">
        <f t="shared" si="134"/>
        <v>0.66428571428571426</v>
      </c>
      <c r="AG344" s="5">
        <f t="shared" si="135"/>
        <v>0.73142857142857143</v>
      </c>
    </row>
    <row r="345" spans="1:33">
      <c r="A345" s="4">
        <v>46230</v>
      </c>
      <c r="B345" s="3" t="s">
        <v>63</v>
      </c>
      <c r="C345" s="3">
        <v>7</v>
      </c>
      <c r="D345" s="6">
        <v>369</v>
      </c>
      <c r="E345" s="6">
        <v>318</v>
      </c>
      <c r="F345" s="6">
        <v>560</v>
      </c>
      <c r="G345" s="6">
        <f t="shared" si="115"/>
        <v>358</v>
      </c>
      <c r="H345" s="5">
        <v>0.98941852914447526</v>
      </c>
      <c r="I345" s="6">
        <f t="shared" si="116"/>
        <v>354</v>
      </c>
      <c r="J345" s="6">
        <f t="shared" si="136"/>
        <v>0</v>
      </c>
      <c r="K345" s="6">
        <f t="shared" si="117"/>
        <v>354</v>
      </c>
      <c r="L345" s="6">
        <f t="shared" si="118"/>
        <v>318</v>
      </c>
      <c r="M345" s="6">
        <f t="shared" si="119"/>
        <v>0</v>
      </c>
      <c r="N345" s="6">
        <f t="shared" si="120"/>
        <v>36</v>
      </c>
      <c r="O345" s="5">
        <v>0.02</v>
      </c>
      <c r="P345" s="6">
        <f t="shared" si="121"/>
        <v>1</v>
      </c>
      <c r="Q345" s="6">
        <f t="shared" si="122"/>
        <v>35</v>
      </c>
      <c r="R345" s="6">
        <v>66</v>
      </c>
      <c r="S345" s="6">
        <f t="shared" si="123"/>
        <v>418</v>
      </c>
      <c r="T345" s="5">
        <v>1.0118053789562085</v>
      </c>
      <c r="U345" s="6">
        <f t="shared" si="124"/>
        <v>423</v>
      </c>
      <c r="V345" s="6">
        <f t="shared" si="137"/>
        <v>17</v>
      </c>
      <c r="W345" s="6">
        <f t="shared" si="125"/>
        <v>440</v>
      </c>
      <c r="X345" s="6">
        <f t="shared" si="126"/>
        <v>318</v>
      </c>
      <c r="Y345" s="6">
        <f t="shared" si="127"/>
        <v>0</v>
      </c>
      <c r="Z345" s="6">
        <f t="shared" si="128"/>
        <v>122</v>
      </c>
      <c r="AA345" s="6">
        <f t="shared" si="129"/>
        <v>2</v>
      </c>
      <c r="AB345" s="6">
        <f t="shared" si="130"/>
        <v>120</v>
      </c>
      <c r="AC345" s="5">
        <f t="shared" si="131"/>
        <v>0.16037735849056603</v>
      </c>
      <c r="AD345" s="5">
        <f t="shared" si="132"/>
        <v>1</v>
      </c>
      <c r="AE345" s="5">
        <f t="shared" si="133"/>
        <v>1</v>
      </c>
      <c r="AF345" s="5">
        <f t="shared" si="134"/>
        <v>0.63214285714285712</v>
      </c>
      <c r="AG345" s="5">
        <f t="shared" si="135"/>
        <v>0.75535714285714284</v>
      </c>
    </row>
    <row r="346" spans="1:33">
      <c r="A346" s="4">
        <v>46230</v>
      </c>
      <c r="B346" s="3" t="s">
        <v>64</v>
      </c>
      <c r="C346" s="3">
        <v>5</v>
      </c>
      <c r="D346" s="6">
        <v>151</v>
      </c>
      <c r="E346" s="6">
        <v>136</v>
      </c>
      <c r="F346" s="6">
        <v>230</v>
      </c>
      <c r="G346" s="6">
        <f t="shared" si="115"/>
        <v>146</v>
      </c>
      <c r="H346" s="5">
        <v>0.99025929703580684</v>
      </c>
      <c r="I346" s="6">
        <f t="shared" si="116"/>
        <v>145</v>
      </c>
      <c r="J346" s="6">
        <f t="shared" si="136"/>
        <v>8</v>
      </c>
      <c r="K346" s="6">
        <f t="shared" si="117"/>
        <v>153</v>
      </c>
      <c r="L346" s="6">
        <f t="shared" si="118"/>
        <v>136</v>
      </c>
      <c r="M346" s="6">
        <f t="shared" si="119"/>
        <v>0</v>
      </c>
      <c r="N346" s="6">
        <f t="shared" si="120"/>
        <v>17</v>
      </c>
      <c r="O346" s="5">
        <v>2.5000000000000001E-2</v>
      </c>
      <c r="P346" s="6">
        <f t="shared" si="121"/>
        <v>0</v>
      </c>
      <c r="Q346" s="6">
        <f t="shared" si="122"/>
        <v>17</v>
      </c>
      <c r="R346" s="6">
        <v>30</v>
      </c>
      <c r="S346" s="6">
        <f t="shared" si="123"/>
        <v>130</v>
      </c>
      <c r="T346" s="5">
        <v>1.0105202991606419</v>
      </c>
      <c r="U346" s="6">
        <f t="shared" si="124"/>
        <v>131</v>
      </c>
      <c r="V346" s="6">
        <f t="shared" si="137"/>
        <v>51</v>
      </c>
      <c r="W346" s="6">
        <f t="shared" si="125"/>
        <v>182</v>
      </c>
      <c r="X346" s="6">
        <f t="shared" si="126"/>
        <v>136</v>
      </c>
      <c r="Y346" s="6">
        <f t="shared" si="127"/>
        <v>0</v>
      </c>
      <c r="Z346" s="6">
        <f t="shared" si="128"/>
        <v>46</v>
      </c>
      <c r="AA346" s="6">
        <f t="shared" si="129"/>
        <v>1</v>
      </c>
      <c r="AB346" s="6">
        <f t="shared" si="130"/>
        <v>45</v>
      </c>
      <c r="AC346" s="5">
        <f t="shared" si="131"/>
        <v>0.11029411764705882</v>
      </c>
      <c r="AD346" s="5">
        <f t="shared" si="132"/>
        <v>1</v>
      </c>
      <c r="AE346" s="5">
        <f t="shared" si="133"/>
        <v>1</v>
      </c>
      <c r="AF346" s="5">
        <f t="shared" si="134"/>
        <v>0.63043478260869568</v>
      </c>
      <c r="AG346" s="5">
        <f t="shared" si="135"/>
        <v>0.56956521739130439</v>
      </c>
    </row>
    <row r="347" spans="1:33">
      <c r="A347" s="4">
        <v>46231</v>
      </c>
      <c r="B347" s="3" t="s">
        <v>60</v>
      </c>
      <c r="C347" s="3">
        <v>2</v>
      </c>
      <c r="D347" s="6">
        <v>1706</v>
      </c>
      <c r="E347" s="6">
        <v>2003</v>
      </c>
      <c r="F347" s="6">
        <v>2250</v>
      </c>
      <c r="G347" s="6">
        <f t="shared" si="115"/>
        <v>1655</v>
      </c>
      <c r="H347" s="5">
        <v>0.99008136181486761</v>
      </c>
      <c r="I347" s="6">
        <f t="shared" si="116"/>
        <v>1639</v>
      </c>
      <c r="J347" s="6">
        <f t="shared" si="136"/>
        <v>0</v>
      </c>
      <c r="K347" s="6">
        <f t="shared" si="117"/>
        <v>1639</v>
      </c>
      <c r="L347" s="6">
        <f t="shared" si="118"/>
        <v>1639</v>
      </c>
      <c r="M347" s="6">
        <f t="shared" si="119"/>
        <v>364</v>
      </c>
      <c r="N347" s="6">
        <f t="shared" si="120"/>
        <v>0</v>
      </c>
      <c r="O347" s="5">
        <v>2.5000000000000001E-2</v>
      </c>
      <c r="P347" s="6">
        <f t="shared" si="121"/>
        <v>0</v>
      </c>
      <c r="Q347" s="6">
        <f t="shared" si="122"/>
        <v>0</v>
      </c>
      <c r="R347" s="6">
        <v>205</v>
      </c>
      <c r="S347" s="6">
        <f t="shared" si="123"/>
        <v>1819</v>
      </c>
      <c r="T347" s="5">
        <v>0.9993541768719113</v>
      </c>
      <c r="U347" s="6">
        <f t="shared" si="124"/>
        <v>1818</v>
      </c>
      <c r="V347" s="6">
        <f t="shared" si="137"/>
        <v>92</v>
      </c>
      <c r="W347" s="6">
        <f t="shared" si="125"/>
        <v>1910</v>
      </c>
      <c r="X347" s="6">
        <f t="shared" si="126"/>
        <v>1910</v>
      </c>
      <c r="Y347" s="6">
        <f t="shared" si="127"/>
        <v>93</v>
      </c>
      <c r="Z347" s="6">
        <f t="shared" si="128"/>
        <v>0</v>
      </c>
      <c r="AA347" s="6">
        <f t="shared" si="129"/>
        <v>0</v>
      </c>
      <c r="AB347" s="6">
        <f t="shared" si="130"/>
        <v>0</v>
      </c>
      <c r="AC347" s="5">
        <f t="shared" si="131"/>
        <v>0.14827758362456314</v>
      </c>
      <c r="AD347" s="5">
        <f t="shared" si="132"/>
        <v>0.81827259111332995</v>
      </c>
      <c r="AE347" s="5">
        <f t="shared" si="133"/>
        <v>0.95356964553170243</v>
      </c>
      <c r="AF347" s="5">
        <f t="shared" si="134"/>
        <v>0.72844444444444445</v>
      </c>
      <c r="AG347" s="5">
        <f t="shared" si="135"/>
        <v>0.80800000000000005</v>
      </c>
    </row>
    <row r="348" spans="1:33">
      <c r="A348" s="4">
        <v>46231</v>
      </c>
      <c r="B348" s="3" t="s">
        <v>61</v>
      </c>
      <c r="C348" s="3">
        <v>2</v>
      </c>
      <c r="D348" s="6">
        <v>853</v>
      </c>
      <c r="E348" s="6">
        <v>776</v>
      </c>
      <c r="F348" s="6">
        <v>1200</v>
      </c>
      <c r="G348" s="6">
        <f t="shared" si="115"/>
        <v>827</v>
      </c>
      <c r="H348" s="5">
        <v>0.9830009492278593</v>
      </c>
      <c r="I348" s="6">
        <f t="shared" si="116"/>
        <v>813</v>
      </c>
      <c r="J348" s="6">
        <f t="shared" si="136"/>
        <v>0</v>
      </c>
      <c r="K348" s="6">
        <f t="shared" si="117"/>
        <v>813</v>
      </c>
      <c r="L348" s="6">
        <f t="shared" si="118"/>
        <v>776</v>
      </c>
      <c r="M348" s="6">
        <f t="shared" si="119"/>
        <v>0</v>
      </c>
      <c r="N348" s="6">
        <f t="shared" si="120"/>
        <v>37</v>
      </c>
      <c r="O348" s="5">
        <v>0.03</v>
      </c>
      <c r="P348" s="6">
        <f t="shared" si="121"/>
        <v>1</v>
      </c>
      <c r="Q348" s="6">
        <f t="shared" si="122"/>
        <v>36</v>
      </c>
      <c r="R348" s="6">
        <v>102</v>
      </c>
      <c r="S348" s="6">
        <f t="shared" si="123"/>
        <v>948</v>
      </c>
      <c r="T348" s="5">
        <v>0.99259491104807895</v>
      </c>
      <c r="U348" s="6">
        <f t="shared" si="124"/>
        <v>941</v>
      </c>
      <c r="V348" s="6">
        <f t="shared" si="137"/>
        <v>7</v>
      </c>
      <c r="W348" s="6">
        <f t="shared" si="125"/>
        <v>948</v>
      </c>
      <c r="X348" s="6">
        <f t="shared" si="126"/>
        <v>776</v>
      </c>
      <c r="Y348" s="6">
        <f t="shared" si="127"/>
        <v>0</v>
      </c>
      <c r="Z348" s="6">
        <f t="shared" si="128"/>
        <v>172</v>
      </c>
      <c r="AA348" s="6">
        <f t="shared" si="129"/>
        <v>5</v>
      </c>
      <c r="AB348" s="6">
        <f t="shared" si="130"/>
        <v>167</v>
      </c>
      <c r="AC348" s="5">
        <f t="shared" si="131"/>
        <v>9.9226804123711335E-2</v>
      </c>
      <c r="AD348" s="5">
        <f t="shared" si="132"/>
        <v>1</v>
      </c>
      <c r="AE348" s="5">
        <f t="shared" si="133"/>
        <v>1</v>
      </c>
      <c r="AF348" s="5">
        <f t="shared" si="134"/>
        <v>0.67749999999999999</v>
      </c>
      <c r="AG348" s="5">
        <f t="shared" si="135"/>
        <v>0.78416666666666668</v>
      </c>
    </row>
    <row r="349" spans="1:33">
      <c r="A349" s="4">
        <v>46231</v>
      </c>
      <c r="B349" s="3" t="s">
        <v>62</v>
      </c>
      <c r="C349" s="3">
        <v>7</v>
      </c>
      <c r="D349" s="6">
        <v>492</v>
      </c>
      <c r="E349" s="6">
        <v>462</v>
      </c>
      <c r="F349" s="6">
        <v>700</v>
      </c>
      <c r="G349" s="6">
        <f t="shared" si="115"/>
        <v>477</v>
      </c>
      <c r="H349" s="5">
        <v>0.99308220286756321</v>
      </c>
      <c r="I349" s="6">
        <f t="shared" si="116"/>
        <v>474</v>
      </c>
      <c r="J349" s="6">
        <f t="shared" si="136"/>
        <v>0</v>
      </c>
      <c r="K349" s="6">
        <f t="shared" si="117"/>
        <v>474</v>
      </c>
      <c r="L349" s="6">
        <f t="shared" si="118"/>
        <v>462</v>
      </c>
      <c r="M349" s="6">
        <f t="shared" si="119"/>
        <v>0</v>
      </c>
      <c r="N349" s="6">
        <f t="shared" si="120"/>
        <v>12</v>
      </c>
      <c r="O349" s="5">
        <v>1.7999999999999999E-2</v>
      </c>
      <c r="P349" s="6">
        <f t="shared" si="121"/>
        <v>0</v>
      </c>
      <c r="Q349" s="6">
        <f t="shared" si="122"/>
        <v>12</v>
      </c>
      <c r="R349" s="6">
        <v>89</v>
      </c>
      <c r="S349" s="6">
        <f t="shared" si="123"/>
        <v>572</v>
      </c>
      <c r="T349" s="5">
        <v>0.99549153775952137</v>
      </c>
      <c r="U349" s="6">
        <f t="shared" si="124"/>
        <v>569</v>
      </c>
      <c r="V349" s="6">
        <f t="shared" si="137"/>
        <v>9</v>
      </c>
      <c r="W349" s="6">
        <f t="shared" si="125"/>
        <v>578</v>
      </c>
      <c r="X349" s="6">
        <f t="shared" si="126"/>
        <v>462</v>
      </c>
      <c r="Y349" s="6">
        <f t="shared" si="127"/>
        <v>0</v>
      </c>
      <c r="Z349" s="6">
        <f t="shared" si="128"/>
        <v>116</v>
      </c>
      <c r="AA349" s="6">
        <f t="shared" si="129"/>
        <v>2</v>
      </c>
      <c r="AB349" s="6">
        <f t="shared" si="130"/>
        <v>114</v>
      </c>
      <c r="AC349" s="5">
        <f t="shared" si="131"/>
        <v>6.4935064935064929E-2</v>
      </c>
      <c r="AD349" s="5">
        <f t="shared" si="132"/>
        <v>1</v>
      </c>
      <c r="AE349" s="5">
        <f t="shared" si="133"/>
        <v>1</v>
      </c>
      <c r="AF349" s="5">
        <f t="shared" si="134"/>
        <v>0.67714285714285716</v>
      </c>
      <c r="AG349" s="5">
        <f t="shared" si="135"/>
        <v>0.81285714285714283</v>
      </c>
    </row>
    <row r="350" spans="1:33">
      <c r="A350" s="4">
        <v>46231</v>
      </c>
      <c r="B350" s="3" t="s">
        <v>63</v>
      </c>
      <c r="C350" s="3">
        <v>7</v>
      </c>
      <c r="D350" s="6">
        <v>385</v>
      </c>
      <c r="E350" s="6">
        <v>329</v>
      </c>
      <c r="F350" s="6">
        <v>560</v>
      </c>
      <c r="G350" s="6">
        <f t="shared" si="115"/>
        <v>373</v>
      </c>
      <c r="H350" s="5">
        <v>1.0148642575039954</v>
      </c>
      <c r="I350" s="6">
        <f t="shared" si="116"/>
        <v>379</v>
      </c>
      <c r="J350" s="6">
        <f t="shared" si="136"/>
        <v>35</v>
      </c>
      <c r="K350" s="6">
        <f t="shared" si="117"/>
        <v>414</v>
      </c>
      <c r="L350" s="6">
        <f t="shared" si="118"/>
        <v>329</v>
      </c>
      <c r="M350" s="6">
        <f t="shared" si="119"/>
        <v>0</v>
      </c>
      <c r="N350" s="6">
        <f t="shared" si="120"/>
        <v>85</v>
      </c>
      <c r="O350" s="5">
        <v>0.02</v>
      </c>
      <c r="P350" s="6">
        <f t="shared" si="121"/>
        <v>2</v>
      </c>
      <c r="Q350" s="6">
        <f t="shared" si="122"/>
        <v>83</v>
      </c>
      <c r="R350" s="6">
        <v>69</v>
      </c>
      <c r="S350" s="6">
        <f t="shared" si="123"/>
        <v>334</v>
      </c>
      <c r="T350" s="5">
        <v>1.0127905262696366</v>
      </c>
      <c r="U350" s="6">
        <f t="shared" si="124"/>
        <v>338</v>
      </c>
      <c r="V350" s="6">
        <f t="shared" si="137"/>
        <v>120</v>
      </c>
      <c r="W350" s="6">
        <f t="shared" si="125"/>
        <v>458</v>
      </c>
      <c r="X350" s="6">
        <f t="shared" si="126"/>
        <v>329</v>
      </c>
      <c r="Y350" s="6">
        <f t="shared" si="127"/>
        <v>0</v>
      </c>
      <c r="Z350" s="6">
        <f t="shared" si="128"/>
        <v>129</v>
      </c>
      <c r="AA350" s="6">
        <f t="shared" si="129"/>
        <v>3</v>
      </c>
      <c r="AB350" s="6">
        <f t="shared" si="130"/>
        <v>126</v>
      </c>
      <c r="AC350" s="5">
        <f t="shared" si="131"/>
        <v>0.1702127659574468</v>
      </c>
      <c r="AD350" s="5">
        <f t="shared" si="132"/>
        <v>1</v>
      </c>
      <c r="AE350" s="5">
        <f t="shared" si="133"/>
        <v>1</v>
      </c>
      <c r="AF350" s="5">
        <f t="shared" si="134"/>
        <v>0.67678571428571432</v>
      </c>
      <c r="AG350" s="5">
        <f t="shared" si="135"/>
        <v>0.60357142857142854</v>
      </c>
    </row>
    <row r="351" spans="1:33">
      <c r="A351" s="4">
        <v>46231</v>
      </c>
      <c r="B351" s="3" t="s">
        <v>64</v>
      </c>
      <c r="C351" s="3">
        <v>5</v>
      </c>
      <c r="D351" s="6">
        <v>156</v>
      </c>
      <c r="E351" s="6">
        <v>130</v>
      </c>
      <c r="F351" s="6">
        <v>230</v>
      </c>
      <c r="G351" s="6">
        <f t="shared" si="115"/>
        <v>151</v>
      </c>
      <c r="H351" s="5">
        <v>1.0036966218963814</v>
      </c>
      <c r="I351" s="6">
        <f t="shared" si="116"/>
        <v>152</v>
      </c>
      <c r="J351" s="6">
        <f t="shared" si="136"/>
        <v>17</v>
      </c>
      <c r="K351" s="6">
        <f t="shared" si="117"/>
        <v>169</v>
      </c>
      <c r="L351" s="6">
        <f t="shared" si="118"/>
        <v>130</v>
      </c>
      <c r="M351" s="6">
        <f t="shared" si="119"/>
        <v>0</v>
      </c>
      <c r="N351" s="6">
        <f t="shared" si="120"/>
        <v>39</v>
      </c>
      <c r="O351" s="5">
        <v>2.5000000000000001E-2</v>
      </c>
      <c r="P351" s="6">
        <f t="shared" si="121"/>
        <v>1</v>
      </c>
      <c r="Q351" s="6">
        <f t="shared" si="122"/>
        <v>38</v>
      </c>
      <c r="R351" s="6">
        <v>31</v>
      </c>
      <c r="S351" s="6">
        <f t="shared" si="123"/>
        <v>142</v>
      </c>
      <c r="T351" s="5">
        <v>1.0114000960263154</v>
      </c>
      <c r="U351" s="6">
        <f t="shared" si="124"/>
        <v>144</v>
      </c>
      <c r="V351" s="6">
        <f t="shared" si="137"/>
        <v>45</v>
      </c>
      <c r="W351" s="6">
        <f t="shared" si="125"/>
        <v>189</v>
      </c>
      <c r="X351" s="6">
        <f t="shared" si="126"/>
        <v>130</v>
      </c>
      <c r="Y351" s="6">
        <f t="shared" si="127"/>
        <v>0</v>
      </c>
      <c r="Z351" s="6">
        <f t="shared" si="128"/>
        <v>59</v>
      </c>
      <c r="AA351" s="6">
        <f t="shared" si="129"/>
        <v>1</v>
      </c>
      <c r="AB351" s="6">
        <f t="shared" si="130"/>
        <v>58</v>
      </c>
      <c r="AC351" s="5">
        <f t="shared" si="131"/>
        <v>0.2</v>
      </c>
      <c r="AD351" s="5">
        <f t="shared" si="132"/>
        <v>1</v>
      </c>
      <c r="AE351" s="5">
        <f t="shared" si="133"/>
        <v>1</v>
      </c>
      <c r="AF351" s="5">
        <f t="shared" si="134"/>
        <v>0.66086956521739126</v>
      </c>
      <c r="AG351" s="5">
        <f t="shared" si="135"/>
        <v>0.62608695652173918</v>
      </c>
    </row>
    <row r="352" spans="1:33">
      <c r="A352" s="4">
        <v>46232</v>
      </c>
      <c r="B352" s="3" t="s">
        <v>60</v>
      </c>
      <c r="C352" s="3">
        <v>2</v>
      </c>
      <c r="D352" s="6">
        <v>1724</v>
      </c>
      <c r="E352" s="6">
        <v>1871</v>
      </c>
      <c r="F352" s="6">
        <v>2250</v>
      </c>
      <c r="G352" s="6">
        <f t="shared" si="115"/>
        <v>1672</v>
      </c>
      <c r="H352" s="5">
        <v>0.98776153588875304</v>
      </c>
      <c r="I352" s="6">
        <f t="shared" si="116"/>
        <v>1652</v>
      </c>
      <c r="J352" s="6">
        <f t="shared" si="136"/>
        <v>0</v>
      </c>
      <c r="K352" s="6">
        <f t="shared" si="117"/>
        <v>1652</v>
      </c>
      <c r="L352" s="6">
        <f t="shared" si="118"/>
        <v>1652</v>
      </c>
      <c r="M352" s="6">
        <f t="shared" si="119"/>
        <v>219</v>
      </c>
      <c r="N352" s="6">
        <f t="shared" si="120"/>
        <v>0</v>
      </c>
      <c r="O352" s="5">
        <v>2.5000000000000001E-2</v>
      </c>
      <c r="P352" s="6">
        <f t="shared" si="121"/>
        <v>0</v>
      </c>
      <c r="Q352" s="6">
        <f t="shared" si="122"/>
        <v>0</v>
      </c>
      <c r="R352" s="6">
        <v>207</v>
      </c>
      <c r="S352" s="6">
        <f t="shared" si="123"/>
        <v>1931</v>
      </c>
      <c r="T352" s="5">
        <v>0.99264115881700465</v>
      </c>
      <c r="U352" s="6">
        <f t="shared" si="124"/>
        <v>1917</v>
      </c>
      <c r="V352" s="6">
        <f t="shared" si="137"/>
        <v>0</v>
      </c>
      <c r="W352" s="6">
        <f t="shared" si="125"/>
        <v>1917</v>
      </c>
      <c r="X352" s="6">
        <f t="shared" si="126"/>
        <v>1871</v>
      </c>
      <c r="Y352" s="6">
        <f t="shared" si="127"/>
        <v>0</v>
      </c>
      <c r="Z352" s="6">
        <f t="shared" si="128"/>
        <v>46</v>
      </c>
      <c r="AA352" s="6">
        <f t="shared" si="129"/>
        <v>1</v>
      </c>
      <c r="AB352" s="6">
        <f t="shared" si="130"/>
        <v>45</v>
      </c>
      <c r="AC352" s="5">
        <f t="shared" si="131"/>
        <v>7.8567610903260282E-2</v>
      </c>
      <c r="AD352" s="5">
        <f t="shared" si="132"/>
        <v>0.882950293960449</v>
      </c>
      <c r="AE352" s="5">
        <f t="shared" si="133"/>
        <v>1</v>
      </c>
      <c r="AF352" s="5">
        <f t="shared" si="134"/>
        <v>0.73422222222222222</v>
      </c>
      <c r="AG352" s="5">
        <f t="shared" si="135"/>
        <v>0.85199999999999998</v>
      </c>
    </row>
    <row r="353" spans="1:33">
      <c r="A353" s="4">
        <v>46232</v>
      </c>
      <c r="B353" s="3" t="s">
        <v>61</v>
      </c>
      <c r="C353" s="3">
        <v>2</v>
      </c>
      <c r="D353" s="6">
        <v>862</v>
      </c>
      <c r="E353" s="6">
        <v>707</v>
      </c>
      <c r="F353" s="6">
        <v>1200</v>
      </c>
      <c r="G353" s="6">
        <f t="shared" si="115"/>
        <v>836</v>
      </c>
      <c r="H353" s="5">
        <v>1.0110249456155682</v>
      </c>
      <c r="I353" s="6">
        <f t="shared" si="116"/>
        <v>845</v>
      </c>
      <c r="J353" s="6">
        <f t="shared" si="136"/>
        <v>36</v>
      </c>
      <c r="K353" s="6">
        <f t="shared" si="117"/>
        <v>881</v>
      </c>
      <c r="L353" s="6">
        <f t="shared" si="118"/>
        <v>707</v>
      </c>
      <c r="M353" s="6">
        <f t="shared" si="119"/>
        <v>0</v>
      </c>
      <c r="N353" s="6">
        <f t="shared" si="120"/>
        <v>174</v>
      </c>
      <c r="O353" s="5">
        <v>0.03</v>
      </c>
      <c r="P353" s="6">
        <f t="shared" si="121"/>
        <v>5</v>
      </c>
      <c r="Q353" s="6">
        <f t="shared" si="122"/>
        <v>169</v>
      </c>
      <c r="R353" s="6">
        <v>103</v>
      </c>
      <c r="S353" s="6">
        <f t="shared" si="123"/>
        <v>798</v>
      </c>
      <c r="T353" s="5">
        <v>0.99641023206894841</v>
      </c>
      <c r="U353" s="6">
        <f t="shared" si="124"/>
        <v>795</v>
      </c>
      <c r="V353" s="6">
        <f t="shared" si="137"/>
        <v>167</v>
      </c>
      <c r="W353" s="6">
        <f t="shared" si="125"/>
        <v>962</v>
      </c>
      <c r="X353" s="6">
        <f t="shared" si="126"/>
        <v>707</v>
      </c>
      <c r="Y353" s="6">
        <f t="shared" si="127"/>
        <v>0</v>
      </c>
      <c r="Z353" s="6">
        <f t="shared" si="128"/>
        <v>255</v>
      </c>
      <c r="AA353" s="6">
        <f t="shared" si="129"/>
        <v>8</v>
      </c>
      <c r="AB353" s="6">
        <f t="shared" si="130"/>
        <v>247</v>
      </c>
      <c r="AC353" s="5">
        <f t="shared" si="131"/>
        <v>0.21923620933521923</v>
      </c>
      <c r="AD353" s="5">
        <f t="shared" si="132"/>
        <v>1</v>
      </c>
      <c r="AE353" s="5">
        <f t="shared" si="133"/>
        <v>1</v>
      </c>
      <c r="AF353" s="5">
        <f t="shared" si="134"/>
        <v>0.70416666666666672</v>
      </c>
      <c r="AG353" s="5">
        <f t="shared" si="135"/>
        <v>0.66249999999999998</v>
      </c>
    </row>
    <row r="354" spans="1:33">
      <c r="A354" s="4">
        <v>46232</v>
      </c>
      <c r="B354" s="3" t="s">
        <v>62</v>
      </c>
      <c r="C354" s="3">
        <v>7</v>
      </c>
      <c r="D354" s="6">
        <v>502</v>
      </c>
      <c r="E354" s="6">
        <v>564</v>
      </c>
      <c r="F354" s="6">
        <v>700</v>
      </c>
      <c r="G354" s="6">
        <f t="shared" si="115"/>
        <v>487</v>
      </c>
      <c r="H354" s="5">
        <v>0.98974805017585188</v>
      </c>
      <c r="I354" s="6">
        <f t="shared" si="116"/>
        <v>482</v>
      </c>
      <c r="J354" s="6">
        <f t="shared" si="136"/>
        <v>12</v>
      </c>
      <c r="K354" s="6">
        <f t="shared" si="117"/>
        <v>494</v>
      </c>
      <c r="L354" s="6">
        <f t="shared" si="118"/>
        <v>494</v>
      </c>
      <c r="M354" s="6">
        <f t="shared" si="119"/>
        <v>70</v>
      </c>
      <c r="N354" s="6">
        <f t="shared" si="120"/>
        <v>0</v>
      </c>
      <c r="O354" s="5">
        <v>1.7999999999999999E-2</v>
      </c>
      <c r="P354" s="6">
        <f t="shared" si="121"/>
        <v>0</v>
      </c>
      <c r="Q354" s="6">
        <f t="shared" si="122"/>
        <v>0</v>
      </c>
      <c r="R354" s="6">
        <v>90</v>
      </c>
      <c r="S354" s="6">
        <f t="shared" si="123"/>
        <v>478</v>
      </c>
      <c r="T354" s="5">
        <v>0.99573388413605413</v>
      </c>
      <c r="U354" s="6">
        <f t="shared" si="124"/>
        <v>476</v>
      </c>
      <c r="V354" s="6">
        <f t="shared" si="137"/>
        <v>114</v>
      </c>
      <c r="W354" s="6">
        <f t="shared" si="125"/>
        <v>590</v>
      </c>
      <c r="X354" s="6">
        <f t="shared" si="126"/>
        <v>564</v>
      </c>
      <c r="Y354" s="6">
        <f t="shared" si="127"/>
        <v>0</v>
      </c>
      <c r="Z354" s="6">
        <f t="shared" si="128"/>
        <v>26</v>
      </c>
      <c r="AA354" s="6">
        <f t="shared" si="129"/>
        <v>0</v>
      </c>
      <c r="AB354" s="6">
        <f t="shared" si="130"/>
        <v>26</v>
      </c>
      <c r="AC354" s="5">
        <f t="shared" si="131"/>
        <v>0.1099290780141844</v>
      </c>
      <c r="AD354" s="5">
        <f t="shared" si="132"/>
        <v>0.87588652482269502</v>
      </c>
      <c r="AE354" s="5">
        <f t="shared" si="133"/>
        <v>1</v>
      </c>
      <c r="AF354" s="5">
        <f t="shared" si="134"/>
        <v>0.68857142857142861</v>
      </c>
      <c r="AG354" s="5">
        <f t="shared" si="135"/>
        <v>0.68</v>
      </c>
    </row>
    <row r="355" spans="1:33">
      <c r="A355" s="4">
        <v>46232</v>
      </c>
      <c r="B355" s="3" t="s">
        <v>63</v>
      </c>
      <c r="C355" s="3">
        <v>7</v>
      </c>
      <c r="D355" s="6">
        <v>402</v>
      </c>
      <c r="E355" s="6">
        <v>448</v>
      </c>
      <c r="F355" s="6">
        <v>560</v>
      </c>
      <c r="G355" s="6">
        <f t="shared" si="115"/>
        <v>390</v>
      </c>
      <c r="H355" s="5">
        <v>0.99302990289481108</v>
      </c>
      <c r="I355" s="6">
        <f t="shared" si="116"/>
        <v>387</v>
      </c>
      <c r="J355" s="6">
        <f t="shared" si="136"/>
        <v>83</v>
      </c>
      <c r="K355" s="6">
        <f t="shared" si="117"/>
        <v>470</v>
      </c>
      <c r="L355" s="6">
        <f t="shared" si="118"/>
        <v>448</v>
      </c>
      <c r="M355" s="6">
        <f t="shared" si="119"/>
        <v>0</v>
      </c>
      <c r="N355" s="6">
        <f t="shared" si="120"/>
        <v>22</v>
      </c>
      <c r="O355" s="5">
        <v>0.02</v>
      </c>
      <c r="P355" s="6">
        <f t="shared" si="121"/>
        <v>0</v>
      </c>
      <c r="Q355" s="6">
        <f t="shared" si="122"/>
        <v>22</v>
      </c>
      <c r="R355" s="6">
        <v>72</v>
      </c>
      <c r="S355" s="6">
        <f t="shared" si="123"/>
        <v>348</v>
      </c>
      <c r="T355" s="5">
        <v>1.0049239451764818</v>
      </c>
      <c r="U355" s="6">
        <f t="shared" si="124"/>
        <v>350</v>
      </c>
      <c r="V355" s="6">
        <f t="shared" si="137"/>
        <v>126</v>
      </c>
      <c r="W355" s="6">
        <f t="shared" si="125"/>
        <v>476</v>
      </c>
      <c r="X355" s="6">
        <f t="shared" si="126"/>
        <v>448</v>
      </c>
      <c r="Y355" s="6">
        <f t="shared" si="127"/>
        <v>0</v>
      </c>
      <c r="Z355" s="6">
        <f t="shared" si="128"/>
        <v>28</v>
      </c>
      <c r="AA355" s="6">
        <f t="shared" si="129"/>
        <v>1</v>
      </c>
      <c r="AB355" s="6">
        <f t="shared" si="130"/>
        <v>27</v>
      </c>
      <c r="AC355" s="5">
        <f t="shared" si="131"/>
        <v>0.10267857142857142</v>
      </c>
      <c r="AD355" s="5">
        <f t="shared" si="132"/>
        <v>1</v>
      </c>
      <c r="AE355" s="5">
        <f t="shared" si="133"/>
        <v>1</v>
      </c>
      <c r="AF355" s="5">
        <f t="shared" si="134"/>
        <v>0.69107142857142856</v>
      </c>
      <c r="AG355" s="5">
        <f t="shared" si="135"/>
        <v>0.625</v>
      </c>
    </row>
    <row r="356" spans="1:33">
      <c r="A356" s="4">
        <v>46232</v>
      </c>
      <c r="B356" s="3" t="s">
        <v>64</v>
      </c>
      <c r="C356" s="3">
        <v>5</v>
      </c>
      <c r="D356" s="6">
        <v>161</v>
      </c>
      <c r="E356" s="6">
        <v>134</v>
      </c>
      <c r="F356" s="6">
        <v>230</v>
      </c>
      <c r="G356" s="6">
        <f t="shared" si="115"/>
        <v>156</v>
      </c>
      <c r="H356" s="5">
        <v>0.99092085351389847</v>
      </c>
      <c r="I356" s="6">
        <f t="shared" si="116"/>
        <v>155</v>
      </c>
      <c r="J356" s="6">
        <f t="shared" si="136"/>
        <v>38</v>
      </c>
      <c r="K356" s="6">
        <f t="shared" si="117"/>
        <v>193</v>
      </c>
      <c r="L356" s="6">
        <f t="shared" si="118"/>
        <v>134</v>
      </c>
      <c r="M356" s="6">
        <f t="shared" si="119"/>
        <v>0</v>
      </c>
      <c r="N356" s="6">
        <f t="shared" si="120"/>
        <v>59</v>
      </c>
      <c r="O356" s="5">
        <v>2.5000000000000001E-2</v>
      </c>
      <c r="P356" s="6">
        <f t="shared" si="121"/>
        <v>1</v>
      </c>
      <c r="Q356" s="6">
        <f t="shared" si="122"/>
        <v>58</v>
      </c>
      <c r="R356" s="6">
        <v>32</v>
      </c>
      <c r="S356" s="6">
        <f t="shared" si="123"/>
        <v>135</v>
      </c>
      <c r="T356" s="5">
        <v>0.98828678587648966</v>
      </c>
      <c r="U356" s="6">
        <f t="shared" si="124"/>
        <v>133</v>
      </c>
      <c r="V356" s="6">
        <f t="shared" si="137"/>
        <v>58</v>
      </c>
      <c r="W356" s="6">
        <f t="shared" si="125"/>
        <v>191</v>
      </c>
      <c r="X356" s="6">
        <f t="shared" si="126"/>
        <v>134</v>
      </c>
      <c r="Y356" s="6">
        <f t="shared" si="127"/>
        <v>0</v>
      </c>
      <c r="Z356" s="6">
        <f t="shared" si="128"/>
        <v>57</v>
      </c>
      <c r="AA356" s="6">
        <f t="shared" si="129"/>
        <v>1</v>
      </c>
      <c r="AB356" s="6">
        <f t="shared" si="130"/>
        <v>56</v>
      </c>
      <c r="AC356" s="5">
        <f t="shared" si="131"/>
        <v>0.20149253731343283</v>
      </c>
      <c r="AD356" s="5">
        <f t="shared" si="132"/>
        <v>1</v>
      </c>
      <c r="AE356" s="5">
        <f t="shared" si="133"/>
        <v>1</v>
      </c>
      <c r="AF356" s="5">
        <f t="shared" si="134"/>
        <v>0.67391304347826086</v>
      </c>
      <c r="AG356" s="5">
        <f t="shared" si="135"/>
        <v>0.57826086956521738</v>
      </c>
    </row>
    <row r="357" spans="1:33">
      <c r="A357" s="4">
        <v>46233</v>
      </c>
      <c r="B357" s="3" t="s">
        <v>60</v>
      </c>
      <c r="C357" s="3">
        <v>2</v>
      </c>
      <c r="D357" s="6">
        <v>1742</v>
      </c>
      <c r="E357" s="6">
        <v>1983</v>
      </c>
      <c r="F357" s="6">
        <v>2250</v>
      </c>
      <c r="G357" s="6">
        <f t="shared" si="115"/>
        <v>1690</v>
      </c>
      <c r="H357" s="5">
        <v>1.0101243605620163</v>
      </c>
      <c r="I357" s="6">
        <f t="shared" si="116"/>
        <v>1707</v>
      </c>
      <c r="J357" s="6">
        <f t="shared" si="136"/>
        <v>0</v>
      </c>
      <c r="K357" s="6">
        <f t="shared" si="117"/>
        <v>1707</v>
      </c>
      <c r="L357" s="6">
        <f t="shared" si="118"/>
        <v>1707</v>
      </c>
      <c r="M357" s="6">
        <f t="shared" si="119"/>
        <v>276</v>
      </c>
      <c r="N357" s="6">
        <f t="shared" si="120"/>
        <v>0</v>
      </c>
      <c r="O357" s="5">
        <v>2.5000000000000001E-2</v>
      </c>
      <c r="P357" s="6">
        <f t="shared" si="121"/>
        <v>0</v>
      </c>
      <c r="Q357" s="6">
        <f t="shared" si="122"/>
        <v>0</v>
      </c>
      <c r="R357" s="6">
        <v>209</v>
      </c>
      <c r="S357" s="6">
        <f t="shared" si="123"/>
        <v>1906</v>
      </c>
      <c r="T357" s="5">
        <v>1.0052212995602938</v>
      </c>
      <c r="U357" s="6">
        <f t="shared" si="124"/>
        <v>1916</v>
      </c>
      <c r="V357" s="6">
        <f t="shared" si="137"/>
        <v>45</v>
      </c>
      <c r="W357" s="6">
        <f t="shared" si="125"/>
        <v>1961</v>
      </c>
      <c r="X357" s="6">
        <f t="shared" si="126"/>
        <v>1961</v>
      </c>
      <c r="Y357" s="6">
        <f t="shared" si="127"/>
        <v>22</v>
      </c>
      <c r="Z357" s="6">
        <f t="shared" si="128"/>
        <v>0</v>
      </c>
      <c r="AA357" s="6">
        <f t="shared" si="129"/>
        <v>0</v>
      </c>
      <c r="AB357" s="6">
        <f t="shared" si="130"/>
        <v>0</v>
      </c>
      <c r="AC357" s="5">
        <f t="shared" si="131"/>
        <v>0.12153303076147251</v>
      </c>
      <c r="AD357" s="5">
        <f t="shared" si="132"/>
        <v>0.86081694402420572</v>
      </c>
      <c r="AE357" s="5">
        <f t="shared" si="133"/>
        <v>0.98890569843671206</v>
      </c>
      <c r="AF357" s="5">
        <f t="shared" si="134"/>
        <v>0.75866666666666671</v>
      </c>
      <c r="AG357" s="5">
        <f t="shared" si="135"/>
        <v>0.85155555555555551</v>
      </c>
    </row>
    <row r="358" spans="1:33">
      <c r="A358" s="4">
        <v>46233</v>
      </c>
      <c r="B358" s="3" t="s">
        <v>61</v>
      </c>
      <c r="C358" s="3">
        <v>2</v>
      </c>
      <c r="D358" s="6">
        <v>871</v>
      </c>
      <c r="E358" s="6">
        <v>790</v>
      </c>
      <c r="F358" s="6">
        <v>1200</v>
      </c>
      <c r="G358" s="6">
        <f t="shared" si="115"/>
        <v>845</v>
      </c>
      <c r="H358" s="5">
        <v>1.0162860746970079</v>
      </c>
      <c r="I358" s="6">
        <f t="shared" si="116"/>
        <v>859</v>
      </c>
      <c r="J358" s="6">
        <f t="shared" si="136"/>
        <v>169</v>
      </c>
      <c r="K358" s="6">
        <f t="shared" si="117"/>
        <v>1028</v>
      </c>
      <c r="L358" s="6">
        <f t="shared" si="118"/>
        <v>790</v>
      </c>
      <c r="M358" s="6">
        <f t="shared" si="119"/>
        <v>0</v>
      </c>
      <c r="N358" s="6">
        <f t="shared" si="120"/>
        <v>238</v>
      </c>
      <c r="O358" s="5">
        <v>0.03</v>
      </c>
      <c r="P358" s="6">
        <f t="shared" si="121"/>
        <v>7</v>
      </c>
      <c r="Q358" s="6">
        <f t="shared" si="122"/>
        <v>231</v>
      </c>
      <c r="R358" s="6">
        <v>105</v>
      </c>
      <c r="S358" s="6">
        <f t="shared" si="123"/>
        <v>729</v>
      </c>
      <c r="T358" s="5">
        <v>1.0092491460477648</v>
      </c>
      <c r="U358" s="6">
        <f t="shared" si="124"/>
        <v>736</v>
      </c>
      <c r="V358" s="6">
        <f t="shared" si="137"/>
        <v>247</v>
      </c>
      <c r="W358" s="6">
        <f t="shared" si="125"/>
        <v>983</v>
      </c>
      <c r="X358" s="6">
        <f t="shared" si="126"/>
        <v>790</v>
      </c>
      <c r="Y358" s="6">
        <f t="shared" si="127"/>
        <v>0</v>
      </c>
      <c r="Z358" s="6">
        <f t="shared" si="128"/>
        <v>193</v>
      </c>
      <c r="AA358" s="6">
        <f t="shared" si="129"/>
        <v>6</v>
      </c>
      <c r="AB358" s="6">
        <f t="shared" si="130"/>
        <v>187</v>
      </c>
      <c r="AC358" s="5">
        <f t="shared" si="131"/>
        <v>0.10253164556962026</v>
      </c>
      <c r="AD358" s="5">
        <f t="shared" si="132"/>
        <v>1</v>
      </c>
      <c r="AE358" s="5">
        <f t="shared" si="133"/>
        <v>1</v>
      </c>
      <c r="AF358" s="5">
        <f t="shared" si="134"/>
        <v>0.71583333333333332</v>
      </c>
      <c r="AG358" s="5">
        <f t="shared" si="135"/>
        <v>0.61333333333333329</v>
      </c>
    </row>
    <row r="359" spans="1:33">
      <c r="A359" s="4">
        <v>46233</v>
      </c>
      <c r="B359" s="3" t="s">
        <v>62</v>
      </c>
      <c r="C359" s="3">
        <v>7</v>
      </c>
      <c r="D359" s="6">
        <v>512</v>
      </c>
      <c r="E359" s="6">
        <v>532</v>
      </c>
      <c r="F359" s="6">
        <v>700</v>
      </c>
      <c r="G359" s="6">
        <f t="shared" si="115"/>
        <v>497</v>
      </c>
      <c r="H359" s="5">
        <v>0.98621263504882395</v>
      </c>
      <c r="I359" s="6">
        <f t="shared" si="116"/>
        <v>490</v>
      </c>
      <c r="J359" s="6">
        <f t="shared" si="136"/>
        <v>0</v>
      </c>
      <c r="K359" s="6">
        <f t="shared" si="117"/>
        <v>490</v>
      </c>
      <c r="L359" s="6">
        <f t="shared" si="118"/>
        <v>490</v>
      </c>
      <c r="M359" s="6">
        <f t="shared" si="119"/>
        <v>42</v>
      </c>
      <c r="N359" s="6">
        <f t="shared" si="120"/>
        <v>0</v>
      </c>
      <c r="O359" s="5">
        <v>1.7999999999999999E-2</v>
      </c>
      <c r="P359" s="6">
        <f t="shared" si="121"/>
        <v>0</v>
      </c>
      <c r="Q359" s="6">
        <f t="shared" si="122"/>
        <v>0</v>
      </c>
      <c r="R359" s="6">
        <v>92</v>
      </c>
      <c r="S359" s="6">
        <f t="shared" si="123"/>
        <v>578</v>
      </c>
      <c r="T359" s="5">
        <v>1.0038333686162331</v>
      </c>
      <c r="U359" s="6">
        <f t="shared" si="124"/>
        <v>580</v>
      </c>
      <c r="V359" s="6">
        <f t="shared" si="137"/>
        <v>26</v>
      </c>
      <c r="W359" s="6">
        <f t="shared" si="125"/>
        <v>606</v>
      </c>
      <c r="X359" s="6">
        <f t="shared" si="126"/>
        <v>532</v>
      </c>
      <c r="Y359" s="6">
        <f t="shared" si="127"/>
        <v>0</v>
      </c>
      <c r="Z359" s="6">
        <f t="shared" si="128"/>
        <v>74</v>
      </c>
      <c r="AA359" s="6">
        <f t="shared" si="129"/>
        <v>1</v>
      </c>
      <c r="AB359" s="6">
        <f t="shared" si="130"/>
        <v>73</v>
      </c>
      <c r="AC359" s="5">
        <f t="shared" si="131"/>
        <v>3.7593984962406013E-2</v>
      </c>
      <c r="AD359" s="5">
        <f t="shared" si="132"/>
        <v>0.92105263157894735</v>
      </c>
      <c r="AE359" s="5">
        <f t="shared" si="133"/>
        <v>1</v>
      </c>
      <c r="AF359" s="5">
        <f t="shared" si="134"/>
        <v>0.7</v>
      </c>
      <c r="AG359" s="5">
        <f t="shared" si="135"/>
        <v>0.82857142857142863</v>
      </c>
    </row>
    <row r="360" spans="1:33">
      <c r="A360" s="4">
        <v>46233</v>
      </c>
      <c r="B360" s="3" t="s">
        <v>63</v>
      </c>
      <c r="C360" s="3">
        <v>7</v>
      </c>
      <c r="D360" s="6">
        <v>410</v>
      </c>
      <c r="E360" s="6">
        <v>439</v>
      </c>
      <c r="F360" s="6">
        <v>560</v>
      </c>
      <c r="G360" s="6">
        <f t="shared" si="115"/>
        <v>398</v>
      </c>
      <c r="H360" s="5">
        <v>1.0039381730315029</v>
      </c>
      <c r="I360" s="6">
        <f t="shared" si="116"/>
        <v>400</v>
      </c>
      <c r="J360" s="6">
        <f t="shared" si="136"/>
        <v>22</v>
      </c>
      <c r="K360" s="6">
        <f t="shared" si="117"/>
        <v>422</v>
      </c>
      <c r="L360" s="6">
        <f t="shared" si="118"/>
        <v>422</v>
      </c>
      <c r="M360" s="6">
        <f t="shared" si="119"/>
        <v>17</v>
      </c>
      <c r="N360" s="6">
        <f t="shared" si="120"/>
        <v>0</v>
      </c>
      <c r="O360" s="5">
        <v>0.02</v>
      </c>
      <c r="P360" s="6">
        <f t="shared" si="121"/>
        <v>0</v>
      </c>
      <c r="Q360" s="6">
        <f t="shared" si="122"/>
        <v>0</v>
      </c>
      <c r="R360" s="6">
        <v>74</v>
      </c>
      <c r="S360" s="6">
        <f t="shared" si="123"/>
        <v>457</v>
      </c>
      <c r="T360" s="5">
        <v>1.0020474429161776</v>
      </c>
      <c r="U360" s="6">
        <f t="shared" si="124"/>
        <v>458</v>
      </c>
      <c r="V360" s="6">
        <f t="shared" si="137"/>
        <v>27</v>
      </c>
      <c r="W360" s="6">
        <f t="shared" si="125"/>
        <v>485</v>
      </c>
      <c r="X360" s="6">
        <f t="shared" si="126"/>
        <v>439</v>
      </c>
      <c r="Y360" s="6">
        <f t="shared" si="127"/>
        <v>0</v>
      </c>
      <c r="Z360" s="6">
        <f t="shared" si="128"/>
        <v>46</v>
      </c>
      <c r="AA360" s="6">
        <f t="shared" si="129"/>
        <v>1</v>
      </c>
      <c r="AB360" s="6">
        <f t="shared" si="130"/>
        <v>45</v>
      </c>
      <c r="AC360" s="5">
        <f t="shared" si="131"/>
        <v>6.6059225512528477E-2</v>
      </c>
      <c r="AD360" s="5">
        <f t="shared" si="132"/>
        <v>0.96127562642369024</v>
      </c>
      <c r="AE360" s="5">
        <f t="shared" si="133"/>
        <v>1</v>
      </c>
      <c r="AF360" s="5">
        <f t="shared" si="134"/>
        <v>0.7142857142857143</v>
      </c>
      <c r="AG360" s="5">
        <f t="shared" si="135"/>
        <v>0.81785714285714284</v>
      </c>
    </row>
    <row r="361" spans="1:33">
      <c r="A361" s="4">
        <v>46233</v>
      </c>
      <c r="B361" s="3" t="s">
        <v>64</v>
      </c>
      <c r="C361" s="3">
        <v>5</v>
      </c>
      <c r="D361" s="6">
        <v>164</v>
      </c>
      <c r="E361" s="6">
        <v>180</v>
      </c>
      <c r="F361" s="6">
        <v>230</v>
      </c>
      <c r="G361" s="6">
        <f t="shared" si="115"/>
        <v>159</v>
      </c>
      <c r="H361" s="5">
        <v>0.9806346122446884</v>
      </c>
      <c r="I361" s="6">
        <f t="shared" si="116"/>
        <v>156</v>
      </c>
      <c r="J361" s="6">
        <f t="shared" si="136"/>
        <v>58</v>
      </c>
      <c r="K361" s="6">
        <f t="shared" si="117"/>
        <v>214</v>
      </c>
      <c r="L361" s="6">
        <f t="shared" si="118"/>
        <v>180</v>
      </c>
      <c r="M361" s="6">
        <f t="shared" si="119"/>
        <v>0</v>
      </c>
      <c r="N361" s="6">
        <f t="shared" si="120"/>
        <v>34</v>
      </c>
      <c r="O361" s="5">
        <v>2.5000000000000001E-2</v>
      </c>
      <c r="P361" s="6">
        <f t="shared" si="121"/>
        <v>1</v>
      </c>
      <c r="Q361" s="6">
        <f t="shared" si="122"/>
        <v>33</v>
      </c>
      <c r="R361" s="6">
        <v>33</v>
      </c>
      <c r="S361" s="6">
        <f t="shared" si="123"/>
        <v>141</v>
      </c>
      <c r="T361" s="5">
        <v>0.99018454908212394</v>
      </c>
      <c r="U361" s="6">
        <f t="shared" si="124"/>
        <v>140</v>
      </c>
      <c r="V361" s="6">
        <f t="shared" si="137"/>
        <v>56</v>
      </c>
      <c r="W361" s="6">
        <f t="shared" si="125"/>
        <v>196</v>
      </c>
      <c r="X361" s="6">
        <f t="shared" si="126"/>
        <v>180</v>
      </c>
      <c r="Y361" s="6">
        <f t="shared" si="127"/>
        <v>0</v>
      </c>
      <c r="Z361" s="6">
        <f t="shared" si="128"/>
        <v>16</v>
      </c>
      <c r="AA361" s="6">
        <f t="shared" si="129"/>
        <v>0</v>
      </c>
      <c r="AB361" s="6">
        <f t="shared" si="130"/>
        <v>16</v>
      </c>
      <c r="AC361" s="5">
        <f t="shared" si="131"/>
        <v>8.8888888888888892E-2</v>
      </c>
      <c r="AD361" s="5">
        <f t="shared" si="132"/>
        <v>1</v>
      </c>
      <c r="AE361" s="5">
        <f t="shared" si="133"/>
        <v>1</v>
      </c>
      <c r="AF361" s="5">
        <f t="shared" si="134"/>
        <v>0.67826086956521736</v>
      </c>
      <c r="AG361" s="5">
        <f t="shared" si="135"/>
        <v>0.60869565217391308</v>
      </c>
    </row>
    <row r="362" spans="1:33">
      <c r="A362" s="4">
        <v>46234</v>
      </c>
      <c r="B362" s="3" t="s">
        <v>60</v>
      </c>
      <c r="C362" s="3">
        <v>2</v>
      </c>
      <c r="D362" s="6">
        <v>1813</v>
      </c>
      <c r="E362" s="6">
        <v>1964</v>
      </c>
      <c r="F362" s="6">
        <v>2250</v>
      </c>
      <c r="G362" s="6">
        <f t="shared" si="115"/>
        <v>1759</v>
      </c>
      <c r="H362" s="5">
        <v>0.99833718509034564</v>
      </c>
      <c r="I362" s="6">
        <f t="shared" si="116"/>
        <v>1756</v>
      </c>
      <c r="J362" s="6">
        <f t="shared" si="136"/>
        <v>0</v>
      </c>
      <c r="K362" s="6">
        <f t="shared" si="117"/>
        <v>1756</v>
      </c>
      <c r="L362" s="6">
        <f t="shared" si="118"/>
        <v>1756</v>
      </c>
      <c r="M362" s="6">
        <f t="shared" si="119"/>
        <v>208</v>
      </c>
      <c r="N362" s="6">
        <f t="shared" si="120"/>
        <v>0</v>
      </c>
      <c r="O362" s="5">
        <v>2.5000000000000001E-2</v>
      </c>
      <c r="P362" s="6">
        <f t="shared" si="121"/>
        <v>0</v>
      </c>
      <c r="Q362" s="6">
        <f t="shared" si="122"/>
        <v>0</v>
      </c>
      <c r="R362" s="6">
        <v>218</v>
      </c>
      <c r="S362" s="6">
        <f t="shared" si="123"/>
        <v>2031</v>
      </c>
      <c r="T362" s="5">
        <v>1.0191885242522118</v>
      </c>
      <c r="U362" s="6">
        <f t="shared" si="124"/>
        <v>2070</v>
      </c>
      <c r="V362" s="6">
        <f t="shared" si="137"/>
        <v>0</v>
      </c>
      <c r="W362" s="6">
        <f t="shared" si="125"/>
        <v>2070</v>
      </c>
      <c r="X362" s="6">
        <f t="shared" si="126"/>
        <v>1964</v>
      </c>
      <c r="Y362" s="6">
        <f t="shared" si="127"/>
        <v>0</v>
      </c>
      <c r="Z362" s="6">
        <f t="shared" si="128"/>
        <v>106</v>
      </c>
      <c r="AA362" s="6">
        <f t="shared" si="129"/>
        <v>3</v>
      </c>
      <c r="AB362" s="6">
        <f t="shared" si="130"/>
        <v>103</v>
      </c>
      <c r="AC362" s="5">
        <f t="shared" si="131"/>
        <v>7.6883910386965376E-2</v>
      </c>
      <c r="AD362" s="5">
        <f t="shared" si="132"/>
        <v>0.8940936863543788</v>
      </c>
      <c r="AE362" s="5">
        <f t="shared" si="133"/>
        <v>1</v>
      </c>
      <c r="AF362" s="5">
        <f t="shared" si="134"/>
        <v>0.7804444444444445</v>
      </c>
      <c r="AG362" s="5">
        <f t="shared" si="135"/>
        <v>0.92</v>
      </c>
    </row>
    <row r="363" spans="1:33">
      <c r="A363" s="4">
        <v>46234</v>
      </c>
      <c r="B363" s="3" t="s">
        <v>61</v>
      </c>
      <c r="C363" s="3">
        <v>2</v>
      </c>
      <c r="D363" s="6">
        <v>906</v>
      </c>
      <c r="E363" s="6">
        <v>851</v>
      </c>
      <c r="F363" s="6">
        <v>1200</v>
      </c>
      <c r="G363" s="6">
        <f t="shared" si="115"/>
        <v>879</v>
      </c>
      <c r="H363" s="5">
        <v>1.0175463104696605</v>
      </c>
      <c r="I363" s="6">
        <f t="shared" si="116"/>
        <v>894</v>
      </c>
      <c r="J363" s="6">
        <f t="shared" si="136"/>
        <v>231</v>
      </c>
      <c r="K363" s="6">
        <f t="shared" si="117"/>
        <v>1125</v>
      </c>
      <c r="L363" s="6">
        <f t="shared" si="118"/>
        <v>851</v>
      </c>
      <c r="M363" s="6">
        <f t="shared" si="119"/>
        <v>0</v>
      </c>
      <c r="N363" s="6">
        <f t="shared" si="120"/>
        <v>274</v>
      </c>
      <c r="O363" s="5">
        <v>0.03</v>
      </c>
      <c r="P363" s="6">
        <f t="shared" si="121"/>
        <v>8</v>
      </c>
      <c r="Q363" s="6">
        <f t="shared" si="122"/>
        <v>266</v>
      </c>
      <c r="R363" s="6">
        <v>109</v>
      </c>
      <c r="S363" s="6">
        <f t="shared" si="123"/>
        <v>828</v>
      </c>
      <c r="T363" s="5">
        <v>1.0086441336149303</v>
      </c>
      <c r="U363" s="6">
        <f t="shared" si="124"/>
        <v>835</v>
      </c>
      <c r="V363" s="6">
        <f t="shared" si="137"/>
        <v>187</v>
      </c>
      <c r="W363" s="6">
        <f t="shared" si="125"/>
        <v>1022</v>
      </c>
      <c r="X363" s="6">
        <f t="shared" si="126"/>
        <v>851</v>
      </c>
      <c r="Y363" s="6">
        <f t="shared" si="127"/>
        <v>0</v>
      </c>
      <c r="Z363" s="6">
        <f t="shared" si="128"/>
        <v>171</v>
      </c>
      <c r="AA363" s="6">
        <f t="shared" si="129"/>
        <v>5</v>
      </c>
      <c r="AB363" s="6">
        <f t="shared" si="130"/>
        <v>166</v>
      </c>
      <c r="AC363" s="5">
        <f t="shared" si="131"/>
        <v>6.4629847238542884E-2</v>
      </c>
      <c r="AD363" s="5">
        <f t="shared" si="132"/>
        <v>1</v>
      </c>
      <c r="AE363" s="5">
        <f t="shared" si="133"/>
        <v>1</v>
      </c>
      <c r="AF363" s="5">
        <f t="shared" si="134"/>
        <v>0.745</v>
      </c>
      <c r="AG363" s="5">
        <f t="shared" si="135"/>
        <v>0.6958333333333333</v>
      </c>
    </row>
    <row r="364" spans="1:33">
      <c r="A364" s="4">
        <v>46234</v>
      </c>
      <c r="B364" s="3" t="s">
        <v>62</v>
      </c>
      <c r="C364" s="3">
        <v>7</v>
      </c>
      <c r="D364" s="6">
        <v>533</v>
      </c>
      <c r="E364" s="6">
        <v>574</v>
      </c>
      <c r="F364" s="6">
        <v>700</v>
      </c>
      <c r="G364" s="6">
        <f t="shared" si="115"/>
        <v>517</v>
      </c>
      <c r="H364" s="5">
        <v>1.0000584947659259</v>
      </c>
      <c r="I364" s="6">
        <f t="shared" si="116"/>
        <v>517</v>
      </c>
      <c r="J364" s="6">
        <f t="shared" si="136"/>
        <v>0</v>
      </c>
      <c r="K364" s="6">
        <f t="shared" si="117"/>
        <v>517</v>
      </c>
      <c r="L364" s="6">
        <f t="shared" si="118"/>
        <v>517</v>
      </c>
      <c r="M364" s="6">
        <f t="shared" si="119"/>
        <v>57</v>
      </c>
      <c r="N364" s="6">
        <f t="shared" si="120"/>
        <v>0</v>
      </c>
      <c r="O364" s="5">
        <v>1.7999999999999999E-2</v>
      </c>
      <c r="P364" s="6">
        <f t="shared" si="121"/>
        <v>0</v>
      </c>
      <c r="Q364" s="6">
        <f t="shared" si="122"/>
        <v>0</v>
      </c>
      <c r="R364" s="6">
        <v>96</v>
      </c>
      <c r="S364" s="6">
        <f t="shared" si="123"/>
        <v>556</v>
      </c>
      <c r="T364" s="5">
        <v>1.0109408656356786</v>
      </c>
      <c r="U364" s="6">
        <f t="shared" si="124"/>
        <v>562</v>
      </c>
      <c r="V364" s="6">
        <f t="shared" si="137"/>
        <v>73</v>
      </c>
      <c r="W364" s="6">
        <f t="shared" si="125"/>
        <v>635</v>
      </c>
      <c r="X364" s="6">
        <f t="shared" si="126"/>
        <v>574</v>
      </c>
      <c r="Y364" s="6">
        <f t="shared" si="127"/>
        <v>0</v>
      </c>
      <c r="Z364" s="6">
        <f t="shared" si="128"/>
        <v>61</v>
      </c>
      <c r="AA364" s="6">
        <f t="shared" si="129"/>
        <v>1</v>
      </c>
      <c r="AB364" s="6">
        <f t="shared" si="130"/>
        <v>60</v>
      </c>
      <c r="AC364" s="5">
        <f t="shared" si="131"/>
        <v>7.1428571428571425E-2</v>
      </c>
      <c r="AD364" s="5">
        <f t="shared" si="132"/>
        <v>0.9006968641114983</v>
      </c>
      <c r="AE364" s="5">
        <f t="shared" si="133"/>
        <v>1</v>
      </c>
      <c r="AF364" s="5">
        <f t="shared" si="134"/>
        <v>0.73857142857142855</v>
      </c>
      <c r="AG364" s="5">
        <f t="shared" si="135"/>
        <v>0.80285714285714282</v>
      </c>
    </row>
    <row r="365" spans="1:33">
      <c r="A365" s="4">
        <v>46234</v>
      </c>
      <c r="B365" s="3" t="s">
        <v>63</v>
      </c>
      <c r="C365" s="3">
        <v>7</v>
      </c>
      <c r="D365" s="6">
        <v>426</v>
      </c>
      <c r="E365" s="6">
        <v>353</v>
      </c>
      <c r="F365" s="6">
        <v>560</v>
      </c>
      <c r="G365" s="6">
        <f t="shared" si="115"/>
        <v>413</v>
      </c>
      <c r="H365" s="5">
        <v>1.0078327150338557</v>
      </c>
      <c r="I365" s="6">
        <f t="shared" si="116"/>
        <v>416</v>
      </c>
      <c r="J365" s="6">
        <f t="shared" si="136"/>
        <v>0</v>
      </c>
      <c r="K365" s="6">
        <f t="shared" si="117"/>
        <v>416</v>
      </c>
      <c r="L365" s="6">
        <f t="shared" si="118"/>
        <v>353</v>
      </c>
      <c r="M365" s="6">
        <f t="shared" si="119"/>
        <v>0</v>
      </c>
      <c r="N365" s="6">
        <f t="shared" si="120"/>
        <v>63</v>
      </c>
      <c r="O365" s="5">
        <v>0.02</v>
      </c>
      <c r="P365" s="6">
        <f t="shared" si="121"/>
        <v>1</v>
      </c>
      <c r="Q365" s="6">
        <f t="shared" si="122"/>
        <v>62</v>
      </c>
      <c r="R365" s="6">
        <v>77</v>
      </c>
      <c r="S365" s="6">
        <f t="shared" si="123"/>
        <v>458</v>
      </c>
      <c r="T365" s="5">
        <v>1.0161262435048695</v>
      </c>
      <c r="U365" s="6">
        <f t="shared" si="124"/>
        <v>465</v>
      </c>
      <c r="V365" s="6">
        <f t="shared" si="137"/>
        <v>45</v>
      </c>
      <c r="W365" s="6">
        <f t="shared" si="125"/>
        <v>510</v>
      </c>
      <c r="X365" s="6">
        <f t="shared" si="126"/>
        <v>353</v>
      </c>
      <c r="Y365" s="6">
        <f t="shared" si="127"/>
        <v>0</v>
      </c>
      <c r="Z365" s="6">
        <f t="shared" si="128"/>
        <v>157</v>
      </c>
      <c r="AA365" s="6">
        <f t="shared" si="129"/>
        <v>3</v>
      </c>
      <c r="AB365" s="6">
        <f t="shared" si="130"/>
        <v>154</v>
      </c>
      <c r="AC365" s="5">
        <f t="shared" si="131"/>
        <v>0.20679886685552407</v>
      </c>
      <c r="AD365" s="5">
        <f t="shared" si="132"/>
        <v>1</v>
      </c>
      <c r="AE365" s="5">
        <f t="shared" si="133"/>
        <v>1</v>
      </c>
      <c r="AF365" s="5">
        <f t="shared" si="134"/>
        <v>0.74285714285714288</v>
      </c>
      <c r="AG365" s="5">
        <f t="shared" si="135"/>
        <v>0.8303571428571429</v>
      </c>
    </row>
    <row r="366" spans="1:33">
      <c r="A366" s="4">
        <v>46234</v>
      </c>
      <c r="B366" s="3" t="s">
        <v>64</v>
      </c>
      <c r="C366" s="3">
        <v>5</v>
      </c>
      <c r="D366" s="6">
        <v>171</v>
      </c>
      <c r="E366" s="6">
        <v>179</v>
      </c>
      <c r="F366" s="6">
        <v>230</v>
      </c>
      <c r="G366" s="6">
        <f t="shared" si="115"/>
        <v>166</v>
      </c>
      <c r="H366" s="5">
        <v>0.99374928338758095</v>
      </c>
      <c r="I366" s="6">
        <f t="shared" si="116"/>
        <v>165</v>
      </c>
      <c r="J366" s="6">
        <f t="shared" si="136"/>
        <v>33</v>
      </c>
      <c r="K366" s="6">
        <f t="shared" si="117"/>
        <v>198</v>
      </c>
      <c r="L366" s="6">
        <f t="shared" si="118"/>
        <v>179</v>
      </c>
      <c r="M366" s="6">
        <f t="shared" si="119"/>
        <v>0</v>
      </c>
      <c r="N366" s="6">
        <f t="shared" si="120"/>
        <v>19</v>
      </c>
      <c r="O366" s="5">
        <v>2.5000000000000001E-2</v>
      </c>
      <c r="P366" s="6">
        <f t="shared" si="121"/>
        <v>0</v>
      </c>
      <c r="Q366" s="6">
        <f t="shared" si="122"/>
        <v>19</v>
      </c>
      <c r="R366" s="6">
        <v>34</v>
      </c>
      <c r="S366" s="6">
        <f t="shared" si="123"/>
        <v>189</v>
      </c>
      <c r="T366" s="5">
        <v>1.0082515693207268</v>
      </c>
      <c r="U366" s="6">
        <f t="shared" si="124"/>
        <v>191</v>
      </c>
      <c r="V366" s="6">
        <f t="shared" si="137"/>
        <v>16</v>
      </c>
      <c r="W366" s="6">
        <f t="shared" si="125"/>
        <v>207</v>
      </c>
      <c r="X366" s="6">
        <f t="shared" si="126"/>
        <v>179</v>
      </c>
      <c r="Y366" s="6">
        <f t="shared" si="127"/>
        <v>0</v>
      </c>
      <c r="Z366" s="6">
        <f t="shared" si="128"/>
        <v>28</v>
      </c>
      <c r="AA366" s="6">
        <f t="shared" si="129"/>
        <v>1</v>
      </c>
      <c r="AB366" s="6">
        <f t="shared" si="130"/>
        <v>27</v>
      </c>
      <c r="AC366" s="5">
        <f t="shared" si="131"/>
        <v>4.4692737430167599E-2</v>
      </c>
      <c r="AD366" s="5">
        <f t="shared" si="132"/>
        <v>1</v>
      </c>
      <c r="AE366" s="5">
        <f t="shared" si="133"/>
        <v>1</v>
      </c>
      <c r="AF366" s="5">
        <f t="shared" si="134"/>
        <v>0.71739130434782605</v>
      </c>
      <c r="AG366" s="5">
        <f t="shared" si="135"/>
        <v>0.83043478260869563</v>
      </c>
    </row>
    <row r="367" spans="1:33">
      <c r="A367" s="4">
        <v>46235</v>
      </c>
      <c r="B367" s="3" t="s">
        <v>60</v>
      </c>
      <c r="C367" s="3">
        <v>2</v>
      </c>
      <c r="D367" s="6">
        <v>1988</v>
      </c>
      <c r="E367" s="6">
        <v>2134</v>
      </c>
      <c r="F367" s="6">
        <v>2250</v>
      </c>
      <c r="G367" s="6">
        <f t="shared" si="115"/>
        <v>1928</v>
      </c>
      <c r="H367" s="5">
        <v>1.0007159655551066</v>
      </c>
      <c r="I367" s="6">
        <f t="shared" si="116"/>
        <v>1929</v>
      </c>
      <c r="J367" s="6">
        <f t="shared" si="136"/>
        <v>0</v>
      </c>
      <c r="K367" s="6">
        <f t="shared" si="117"/>
        <v>1929</v>
      </c>
      <c r="L367" s="6">
        <f t="shared" si="118"/>
        <v>1929</v>
      </c>
      <c r="M367" s="6">
        <f t="shared" si="119"/>
        <v>205</v>
      </c>
      <c r="N367" s="6">
        <f t="shared" si="120"/>
        <v>0</v>
      </c>
      <c r="O367" s="5">
        <v>2.5000000000000001E-2</v>
      </c>
      <c r="P367" s="6">
        <f t="shared" si="121"/>
        <v>0</v>
      </c>
      <c r="Q367" s="6">
        <f t="shared" si="122"/>
        <v>0</v>
      </c>
      <c r="R367" s="6">
        <v>239</v>
      </c>
      <c r="S367" s="6">
        <f t="shared" si="123"/>
        <v>2124</v>
      </c>
      <c r="T367" s="5">
        <v>1.013258761257573</v>
      </c>
      <c r="U367" s="6">
        <f t="shared" si="124"/>
        <v>2152</v>
      </c>
      <c r="V367" s="6">
        <f t="shared" si="137"/>
        <v>103</v>
      </c>
      <c r="W367" s="6">
        <f t="shared" si="125"/>
        <v>2255</v>
      </c>
      <c r="X367" s="6">
        <f t="shared" si="126"/>
        <v>2134</v>
      </c>
      <c r="Y367" s="6">
        <f t="shared" si="127"/>
        <v>0</v>
      </c>
      <c r="Z367" s="6">
        <f t="shared" si="128"/>
        <v>121</v>
      </c>
      <c r="AA367" s="6">
        <f t="shared" si="129"/>
        <v>3</v>
      </c>
      <c r="AB367" s="6">
        <f t="shared" si="130"/>
        <v>118</v>
      </c>
      <c r="AC367" s="5">
        <f t="shared" si="131"/>
        <v>6.8416119962511721E-2</v>
      </c>
      <c r="AD367" s="5">
        <f t="shared" si="132"/>
        <v>0.90393626991565135</v>
      </c>
      <c r="AE367" s="5">
        <f t="shared" si="133"/>
        <v>1</v>
      </c>
      <c r="AF367" s="5">
        <f t="shared" si="134"/>
        <v>0.85733333333333328</v>
      </c>
      <c r="AG367" s="5">
        <f t="shared" si="135"/>
        <v>0.95644444444444443</v>
      </c>
    </row>
    <row r="368" spans="1:33">
      <c r="A368" s="4">
        <v>46235</v>
      </c>
      <c r="B368" s="3" t="s">
        <v>61</v>
      </c>
      <c r="C368" s="3">
        <v>2</v>
      </c>
      <c r="D368" s="6">
        <v>994</v>
      </c>
      <c r="E368" s="6">
        <v>1125</v>
      </c>
      <c r="F368" s="6">
        <v>1200</v>
      </c>
      <c r="G368" s="6">
        <f t="shared" si="115"/>
        <v>964</v>
      </c>
      <c r="H368" s="5">
        <v>1.0003263709922752</v>
      </c>
      <c r="I368" s="6">
        <f t="shared" si="116"/>
        <v>964</v>
      </c>
      <c r="J368" s="6">
        <f t="shared" si="136"/>
        <v>266</v>
      </c>
      <c r="K368" s="6">
        <f t="shared" si="117"/>
        <v>1230</v>
      </c>
      <c r="L368" s="6">
        <f t="shared" si="118"/>
        <v>1125</v>
      </c>
      <c r="M368" s="6">
        <f t="shared" si="119"/>
        <v>0</v>
      </c>
      <c r="N368" s="6">
        <f t="shared" si="120"/>
        <v>105</v>
      </c>
      <c r="O368" s="5">
        <v>0.03</v>
      </c>
      <c r="P368" s="6">
        <f t="shared" si="121"/>
        <v>3</v>
      </c>
      <c r="Q368" s="6">
        <f t="shared" si="122"/>
        <v>102</v>
      </c>
      <c r="R368" s="6">
        <v>119</v>
      </c>
      <c r="S368" s="6">
        <f t="shared" si="123"/>
        <v>947</v>
      </c>
      <c r="T368" s="5">
        <v>1.0019984941037672</v>
      </c>
      <c r="U368" s="6">
        <f t="shared" si="124"/>
        <v>949</v>
      </c>
      <c r="V368" s="6">
        <f t="shared" si="137"/>
        <v>166</v>
      </c>
      <c r="W368" s="6">
        <f t="shared" si="125"/>
        <v>1115</v>
      </c>
      <c r="X368" s="6">
        <f t="shared" si="126"/>
        <v>1115</v>
      </c>
      <c r="Y368" s="6">
        <f t="shared" si="127"/>
        <v>10</v>
      </c>
      <c r="Z368" s="6">
        <f t="shared" si="128"/>
        <v>0</v>
      </c>
      <c r="AA368" s="6">
        <f t="shared" si="129"/>
        <v>0</v>
      </c>
      <c r="AB368" s="6">
        <f t="shared" si="130"/>
        <v>0</v>
      </c>
      <c r="AC368" s="5">
        <f t="shared" si="131"/>
        <v>0.11644444444444445</v>
      </c>
      <c r="AD368" s="5">
        <f t="shared" si="132"/>
        <v>1</v>
      </c>
      <c r="AE368" s="5">
        <f t="shared" si="133"/>
        <v>0.99111111111111116</v>
      </c>
      <c r="AF368" s="5">
        <f t="shared" si="134"/>
        <v>0.80333333333333334</v>
      </c>
      <c r="AG368" s="5">
        <f t="shared" si="135"/>
        <v>0.79083333333333339</v>
      </c>
    </row>
    <row r="369" spans="1:33">
      <c r="A369" s="4">
        <v>46235</v>
      </c>
      <c r="B369" s="3" t="s">
        <v>62</v>
      </c>
      <c r="C369" s="3">
        <v>7</v>
      </c>
      <c r="D369" s="6">
        <v>585</v>
      </c>
      <c r="E369" s="6">
        <v>609</v>
      </c>
      <c r="F369" s="6">
        <v>700</v>
      </c>
      <c r="G369" s="6">
        <f t="shared" si="115"/>
        <v>567</v>
      </c>
      <c r="H369" s="5">
        <v>1.0021833033701393</v>
      </c>
      <c r="I369" s="6">
        <f t="shared" si="116"/>
        <v>568</v>
      </c>
      <c r="J369" s="6">
        <f t="shared" si="136"/>
        <v>0</v>
      </c>
      <c r="K369" s="6">
        <f t="shared" si="117"/>
        <v>568</v>
      </c>
      <c r="L369" s="6">
        <f t="shared" si="118"/>
        <v>568</v>
      </c>
      <c r="M369" s="6">
        <f t="shared" si="119"/>
        <v>41</v>
      </c>
      <c r="N369" s="6">
        <f t="shared" si="120"/>
        <v>0</v>
      </c>
      <c r="O369" s="5">
        <v>1.7999999999999999E-2</v>
      </c>
      <c r="P369" s="6">
        <f t="shared" si="121"/>
        <v>0</v>
      </c>
      <c r="Q369" s="6">
        <f t="shared" si="122"/>
        <v>0</v>
      </c>
      <c r="R369" s="6">
        <v>105</v>
      </c>
      <c r="S369" s="6">
        <f t="shared" si="123"/>
        <v>630</v>
      </c>
      <c r="T369" s="5">
        <v>1.0193968158810807</v>
      </c>
      <c r="U369" s="6">
        <f t="shared" si="124"/>
        <v>642</v>
      </c>
      <c r="V369" s="6">
        <f t="shared" si="137"/>
        <v>60</v>
      </c>
      <c r="W369" s="6">
        <f t="shared" si="125"/>
        <v>702</v>
      </c>
      <c r="X369" s="6">
        <f t="shared" si="126"/>
        <v>609</v>
      </c>
      <c r="Y369" s="6">
        <f t="shared" si="127"/>
        <v>0</v>
      </c>
      <c r="Z369" s="6">
        <f t="shared" si="128"/>
        <v>93</v>
      </c>
      <c r="AA369" s="6">
        <f t="shared" si="129"/>
        <v>2</v>
      </c>
      <c r="AB369" s="6">
        <f t="shared" si="130"/>
        <v>91</v>
      </c>
      <c r="AC369" s="5">
        <f t="shared" si="131"/>
        <v>3.9408866995073892E-2</v>
      </c>
      <c r="AD369" s="5">
        <f t="shared" si="132"/>
        <v>0.93267651888341541</v>
      </c>
      <c r="AE369" s="5">
        <f t="shared" si="133"/>
        <v>1</v>
      </c>
      <c r="AF369" s="5">
        <f t="shared" si="134"/>
        <v>0.81142857142857139</v>
      </c>
      <c r="AG369" s="5">
        <f t="shared" si="135"/>
        <v>0.91714285714285715</v>
      </c>
    </row>
    <row r="370" spans="1:33">
      <c r="A370" s="4">
        <v>46235</v>
      </c>
      <c r="B370" s="3" t="s">
        <v>63</v>
      </c>
      <c r="C370" s="3">
        <v>7</v>
      </c>
      <c r="D370" s="6">
        <v>464</v>
      </c>
      <c r="E370" s="6">
        <v>426</v>
      </c>
      <c r="F370" s="6">
        <v>560</v>
      </c>
      <c r="G370" s="6">
        <f t="shared" si="115"/>
        <v>450</v>
      </c>
      <c r="H370" s="5">
        <v>1.0096715261203602</v>
      </c>
      <c r="I370" s="6">
        <f t="shared" si="116"/>
        <v>454</v>
      </c>
      <c r="J370" s="6">
        <f t="shared" si="136"/>
        <v>62</v>
      </c>
      <c r="K370" s="6">
        <f t="shared" si="117"/>
        <v>516</v>
      </c>
      <c r="L370" s="6">
        <f t="shared" si="118"/>
        <v>426</v>
      </c>
      <c r="M370" s="6">
        <f t="shared" si="119"/>
        <v>0</v>
      </c>
      <c r="N370" s="6">
        <f t="shared" si="120"/>
        <v>90</v>
      </c>
      <c r="O370" s="5">
        <v>0.02</v>
      </c>
      <c r="P370" s="6">
        <f t="shared" si="121"/>
        <v>2</v>
      </c>
      <c r="Q370" s="6">
        <f t="shared" si="122"/>
        <v>88</v>
      </c>
      <c r="R370" s="6">
        <v>84</v>
      </c>
      <c r="S370" s="6">
        <f t="shared" si="123"/>
        <v>394</v>
      </c>
      <c r="T370" s="5">
        <v>1.003472780033738</v>
      </c>
      <c r="U370" s="6">
        <f t="shared" si="124"/>
        <v>395</v>
      </c>
      <c r="V370" s="6">
        <f t="shared" si="137"/>
        <v>154</v>
      </c>
      <c r="W370" s="6">
        <f t="shared" si="125"/>
        <v>549</v>
      </c>
      <c r="X370" s="6">
        <f t="shared" si="126"/>
        <v>426</v>
      </c>
      <c r="Y370" s="6">
        <f t="shared" si="127"/>
        <v>0</v>
      </c>
      <c r="Z370" s="6">
        <f t="shared" si="128"/>
        <v>123</v>
      </c>
      <c r="AA370" s="6">
        <f t="shared" si="129"/>
        <v>2</v>
      </c>
      <c r="AB370" s="6">
        <f t="shared" si="130"/>
        <v>121</v>
      </c>
      <c r="AC370" s="5">
        <f t="shared" si="131"/>
        <v>8.9201877934272297E-2</v>
      </c>
      <c r="AD370" s="5">
        <f t="shared" si="132"/>
        <v>1</v>
      </c>
      <c r="AE370" s="5">
        <f t="shared" si="133"/>
        <v>1</v>
      </c>
      <c r="AF370" s="5">
        <f t="shared" si="134"/>
        <v>0.81071428571428572</v>
      </c>
      <c r="AG370" s="5">
        <f t="shared" si="135"/>
        <v>0.7053571428571429</v>
      </c>
    </row>
    <row r="371" spans="1:33">
      <c r="A371" s="4">
        <v>46235</v>
      </c>
      <c r="B371" s="3" t="s">
        <v>64</v>
      </c>
      <c r="C371" s="3">
        <v>5</v>
      </c>
      <c r="D371" s="6">
        <v>184</v>
      </c>
      <c r="E371" s="6">
        <v>203</v>
      </c>
      <c r="F371" s="6">
        <v>230</v>
      </c>
      <c r="G371" s="6">
        <f t="shared" si="115"/>
        <v>178</v>
      </c>
      <c r="H371" s="5">
        <v>1.0084629127278721</v>
      </c>
      <c r="I371" s="6">
        <f t="shared" si="116"/>
        <v>180</v>
      </c>
      <c r="J371" s="6">
        <f t="shared" si="136"/>
        <v>19</v>
      </c>
      <c r="K371" s="6">
        <f t="shared" si="117"/>
        <v>199</v>
      </c>
      <c r="L371" s="6">
        <f t="shared" si="118"/>
        <v>199</v>
      </c>
      <c r="M371" s="6">
        <f t="shared" si="119"/>
        <v>4</v>
      </c>
      <c r="N371" s="6">
        <f t="shared" si="120"/>
        <v>0</v>
      </c>
      <c r="O371" s="5">
        <v>2.5000000000000001E-2</v>
      </c>
      <c r="P371" s="6">
        <f t="shared" si="121"/>
        <v>0</v>
      </c>
      <c r="Q371" s="6">
        <f t="shared" si="122"/>
        <v>0</v>
      </c>
      <c r="R371" s="6">
        <v>37</v>
      </c>
      <c r="S371" s="6">
        <f t="shared" si="123"/>
        <v>194</v>
      </c>
      <c r="T371" s="5">
        <v>0.9910281640470856</v>
      </c>
      <c r="U371" s="6">
        <f t="shared" si="124"/>
        <v>192</v>
      </c>
      <c r="V371" s="6">
        <f t="shared" si="137"/>
        <v>27</v>
      </c>
      <c r="W371" s="6">
        <f t="shared" si="125"/>
        <v>219</v>
      </c>
      <c r="X371" s="6">
        <f t="shared" si="126"/>
        <v>203</v>
      </c>
      <c r="Y371" s="6">
        <f t="shared" si="127"/>
        <v>0</v>
      </c>
      <c r="Z371" s="6">
        <f t="shared" si="128"/>
        <v>16</v>
      </c>
      <c r="AA371" s="6">
        <f t="shared" si="129"/>
        <v>0</v>
      </c>
      <c r="AB371" s="6">
        <f t="shared" si="130"/>
        <v>16</v>
      </c>
      <c r="AC371" s="5">
        <f t="shared" si="131"/>
        <v>9.3596059113300489E-2</v>
      </c>
      <c r="AD371" s="5">
        <f t="shared" si="132"/>
        <v>0.98029556650246308</v>
      </c>
      <c r="AE371" s="5">
        <f t="shared" si="133"/>
        <v>1</v>
      </c>
      <c r="AF371" s="5">
        <f t="shared" si="134"/>
        <v>0.78260869565217395</v>
      </c>
      <c r="AG371" s="5">
        <f t="shared" si="135"/>
        <v>0.83478260869565213</v>
      </c>
    </row>
    <row r="372" spans="1:33">
      <c r="A372" s="4">
        <v>46236</v>
      </c>
      <c r="B372" s="3" t="s">
        <v>60</v>
      </c>
      <c r="C372" s="3">
        <v>2</v>
      </c>
      <c r="D372" s="6">
        <v>1953</v>
      </c>
      <c r="E372" s="6">
        <v>1821</v>
      </c>
      <c r="F372" s="6">
        <v>2250</v>
      </c>
      <c r="G372" s="6">
        <f t="shared" si="115"/>
        <v>1894</v>
      </c>
      <c r="H372" s="5">
        <v>0.99074141944448468</v>
      </c>
      <c r="I372" s="6">
        <f t="shared" si="116"/>
        <v>1876</v>
      </c>
      <c r="J372" s="6">
        <f t="shared" si="136"/>
        <v>0</v>
      </c>
      <c r="K372" s="6">
        <f t="shared" si="117"/>
        <v>1876</v>
      </c>
      <c r="L372" s="6">
        <f t="shared" si="118"/>
        <v>1821</v>
      </c>
      <c r="M372" s="6">
        <f t="shared" si="119"/>
        <v>0</v>
      </c>
      <c r="N372" s="6">
        <f t="shared" si="120"/>
        <v>55</v>
      </c>
      <c r="O372" s="5">
        <v>2.5000000000000001E-2</v>
      </c>
      <c r="P372" s="6">
        <f t="shared" si="121"/>
        <v>1</v>
      </c>
      <c r="Q372" s="6">
        <f t="shared" si="122"/>
        <v>54</v>
      </c>
      <c r="R372" s="6">
        <v>234</v>
      </c>
      <c r="S372" s="6">
        <f t="shared" si="123"/>
        <v>2069</v>
      </c>
      <c r="T372" s="5">
        <v>1.0144380312078243</v>
      </c>
      <c r="U372" s="6">
        <f t="shared" si="124"/>
        <v>2099</v>
      </c>
      <c r="V372" s="6">
        <f t="shared" si="137"/>
        <v>118</v>
      </c>
      <c r="W372" s="6">
        <f t="shared" si="125"/>
        <v>2217</v>
      </c>
      <c r="X372" s="6">
        <f t="shared" si="126"/>
        <v>1821</v>
      </c>
      <c r="Y372" s="6">
        <f t="shared" si="127"/>
        <v>0</v>
      </c>
      <c r="Z372" s="6">
        <f t="shared" si="128"/>
        <v>396</v>
      </c>
      <c r="AA372" s="6">
        <f t="shared" si="129"/>
        <v>10</v>
      </c>
      <c r="AB372" s="6">
        <f t="shared" si="130"/>
        <v>386</v>
      </c>
      <c r="AC372" s="5">
        <f t="shared" si="131"/>
        <v>7.248764415156507E-2</v>
      </c>
      <c r="AD372" s="5">
        <f t="shared" si="132"/>
        <v>1</v>
      </c>
      <c r="AE372" s="5">
        <f t="shared" si="133"/>
        <v>1</v>
      </c>
      <c r="AF372" s="5">
        <f t="shared" si="134"/>
        <v>0.83377777777777773</v>
      </c>
      <c r="AG372" s="5">
        <f t="shared" si="135"/>
        <v>0.93288888888888888</v>
      </c>
    </row>
    <row r="373" spans="1:33">
      <c r="A373" s="4">
        <v>46236</v>
      </c>
      <c r="B373" s="3" t="s">
        <v>61</v>
      </c>
      <c r="C373" s="3">
        <v>2</v>
      </c>
      <c r="D373" s="6">
        <v>977</v>
      </c>
      <c r="E373" s="6">
        <v>1137</v>
      </c>
      <c r="F373" s="6">
        <v>1200</v>
      </c>
      <c r="G373" s="6">
        <f t="shared" si="115"/>
        <v>948</v>
      </c>
      <c r="H373" s="5">
        <v>1.0115038240598042</v>
      </c>
      <c r="I373" s="6">
        <f t="shared" si="116"/>
        <v>959</v>
      </c>
      <c r="J373" s="6">
        <f t="shared" si="136"/>
        <v>102</v>
      </c>
      <c r="K373" s="6">
        <f t="shared" si="117"/>
        <v>1061</v>
      </c>
      <c r="L373" s="6">
        <f t="shared" si="118"/>
        <v>1061</v>
      </c>
      <c r="M373" s="6">
        <f t="shared" si="119"/>
        <v>76</v>
      </c>
      <c r="N373" s="6">
        <f t="shared" si="120"/>
        <v>0</v>
      </c>
      <c r="O373" s="5">
        <v>0.03</v>
      </c>
      <c r="P373" s="6">
        <f t="shared" si="121"/>
        <v>0</v>
      </c>
      <c r="Q373" s="6">
        <f t="shared" si="122"/>
        <v>0</v>
      </c>
      <c r="R373" s="6">
        <v>117</v>
      </c>
      <c r="S373" s="6">
        <f t="shared" si="123"/>
        <v>1094</v>
      </c>
      <c r="T373" s="5">
        <v>1.0074795146934701</v>
      </c>
      <c r="U373" s="6">
        <f t="shared" si="124"/>
        <v>1102</v>
      </c>
      <c r="V373" s="6">
        <f t="shared" si="137"/>
        <v>0</v>
      </c>
      <c r="W373" s="6">
        <f t="shared" si="125"/>
        <v>1102</v>
      </c>
      <c r="X373" s="6">
        <f t="shared" si="126"/>
        <v>1102</v>
      </c>
      <c r="Y373" s="6">
        <f t="shared" si="127"/>
        <v>35</v>
      </c>
      <c r="Z373" s="6">
        <f t="shared" si="128"/>
        <v>0</v>
      </c>
      <c r="AA373" s="6">
        <f t="shared" si="129"/>
        <v>0</v>
      </c>
      <c r="AB373" s="6">
        <f t="shared" si="130"/>
        <v>0</v>
      </c>
      <c r="AC373" s="5">
        <f t="shared" si="131"/>
        <v>0.14072119613016712</v>
      </c>
      <c r="AD373" s="5">
        <f t="shared" si="132"/>
        <v>0.93315743183817057</v>
      </c>
      <c r="AE373" s="5">
        <f t="shared" si="133"/>
        <v>0.96921723834652596</v>
      </c>
      <c r="AF373" s="5">
        <f t="shared" si="134"/>
        <v>0.79916666666666669</v>
      </c>
      <c r="AG373" s="5">
        <f t="shared" si="135"/>
        <v>0.91833333333333333</v>
      </c>
    </row>
    <row r="374" spans="1:33">
      <c r="A374" s="4">
        <v>46236</v>
      </c>
      <c r="B374" s="3" t="s">
        <v>62</v>
      </c>
      <c r="C374" s="3">
        <v>7</v>
      </c>
      <c r="D374" s="6">
        <v>595</v>
      </c>
      <c r="E374" s="6">
        <v>590</v>
      </c>
      <c r="F374" s="6">
        <v>700</v>
      </c>
      <c r="G374" s="6">
        <f t="shared" si="115"/>
        <v>577</v>
      </c>
      <c r="H374" s="5">
        <v>0.99255793286967764</v>
      </c>
      <c r="I374" s="6">
        <f t="shared" si="116"/>
        <v>573</v>
      </c>
      <c r="J374" s="6">
        <f t="shared" si="136"/>
        <v>0</v>
      </c>
      <c r="K374" s="6">
        <f t="shared" si="117"/>
        <v>573</v>
      </c>
      <c r="L374" s="6">
        <f t="shared" si="118"/>
        <v>573</v>
      </c>
      <c r="M374" s="6">
        <f t="shared" si="119"/>
        <v>17</v>
      </c>
      <c r="N374" s="6">
        <f t="shared" si="120"/>
        <v>0</v>
      </c>
      <c r="O374" s="5">
        <v>1.7999999999999999E-2</v>
      </c>
      <c r="P374" s="6">
        <f t="shared" si="121"/>
        <v>0</v>
      </c>
      <c r="Q374" s="6">
        <f t="shared" si="122"/>
        <v>0</v>
      </c>
      <c r="R374" s="6">
        <v>107</v>
      </c>
      <c r="S374" s="6">
        <f t="shared" si="123"/>
        <v>611</v>
      </c>
      <c r="T374" s="5">
        <v>0.9977367996826868</v>
      </c>
      <c r="U374" s="6">
        <f t="shared" si="124"/>
        <v>610</v>
      </c>
      <c r="V374" s="6">
        <f t="shared" si="137"/>
        <v>91</v>
      </c>
      <c r="W374" s="6">
        <f t="shared" si="125"/>
        <v>701</v>
      </c>
      <c r="X374" s="6">
        <f t="shared" si="126"/>
        <v>590</v>
      </c>
      <c r="Y374" s="6">
        <f t="shared" si="127"/>
        <v>0</v>
      </c>
      <c r="Z374" s="6">
        <f t="shared" si="128"/>
        <v>111</v>
      </c>
      <c r="AA374" s="6">
        <f t="shared" si="129"/>
        <v>2</v>
      </c>
      <c r="AB374" s="6">
        <f t="shared" si="130"/>
        <v>109</v>
      </c>
      <c r="AC374" s="5">
        <f t="shared" si="131"/>
        <v>8.4745762711864406E-3</v>
      </c>
      <c r="AD374" s="5">
        <f t="shared" si="132"/>
        <v>0.97118644067796611</v>
      </c>
      <c r="AE374" s="5">
        <f t="shared" si="133"/>
        <v>1</v>
      </c>
      <c r="AF374" s="5">
        <f t="shared" si="134"/>
        <v>0.81857142857142862</v>
      </c>
      <c r="AG374" s="5">
        <f t="shared" si="135"/>
        <v>0.87142857142857144</v>
      </c>
    </row>
    <row r="375" spans="1:33">
      <c r="A375" s="4">
        <v>46236</v>
      </c>
      <c r="B375" s="3" t="s">
        <v>63</v>
      </c>
      <c r="C375" s="3">
        <v>7</v>
      </c>
      <c r="D375" s="6">
        <v>476</v>
      </c>
      <c r="E375" s="6">
        <v>461</v>
      </c>
      <c r="F375" s="6">
        <v>560</v>
      </c>
      <c r="G375" s="6">
        <f t="shared" si="115"/>
        <v>462</v>
      </c>
      <c r="H375" s="5">
        <v>0.98788384667872653</v>
      </c>
      <c r="I375" s="6">
        <f t="shared" si="116"/>
        <v>456</v>
      </c>
      <c r="J375" s="6">
        <f t="shared" si="136"/>
        <v>88</v>
      </c>
      <c r="K375" s="6">
        <f t="shared" si="117"/>
        <v>544</v>
      </c>
      <c r="L375" s="6">
        <f t="shared" si="118"/>
        <v>461</v>
      </c>
      <c r="M375" s="6">
        <f t="shared" si="119"/>
        <v>0</v>
      </c>
      <c r="N375" s="6">
        <f t="shared" si="120"/>
        <v>83</v>
      </c>
      <c r="O375" s="5">
        <v>0.02</v>
      </c>
      <c r="P375" s="6">
        <f t="shared" si="121"/>
        <v>2</v>
      </c>
      <c r="Q375" s="6">
        <f t="shared" si="122"/>
        <v>81</v>
      </c>
      <c r="R375" s="6">
        <v>86</v>
      </c>
      <c r="S375" s="6">
        <f t="shared" si="123"/>
        <v>441</v>
      </c>
      <c r="T375" s="5">
        <v>0.99063811624441656</v>
      </c>
      <c r="U375" s="6">
        <f t="shared" si="124"/>
        <v>437</v>
      </c>
      <c r="V375" s="6">
        <f t="shared" si="137"/>
        <v>121</v>
      </c>
      <c r="W375" s="6">
        <f t="shared" si="125"/>
        <v>558</v>
      </c>
      <c r="X375" s="6">
        <f t="shared" si="126"/>
        <v>461</v>
      </c>
      <c r="Y375" s="6">
        <f t="shared" si="127"/>
        <v>0</v>
      </c>
      <c r="Z375" s="6">
        <f t="shared" si="128"/>
        <v>97</v>
      </c>
      <c r="AA375" s="6">
        <f t="shared" si="129"/>
        <v>2</v>
      </c>
      <c r="AB375" s="6">
        <f t="shared" si="130"/>
        <v>95</v>
      </c>
      <c r="AC375" s="5">
        <f t="shared" si="131"/>
        <v>3.2537960954446853E-2</v>
      </c>
      <c r="AD375" s="5">
        <f t="shared" si="132"/>
        <v>1</v>
      </c>
      <c r="AE375" s="5">
        <f t="shared" si="133"/>
        <v>1</v>
      </c>
      <c r="AF375" s="5">
        <f t="shared" si="134"/>
        <v>0.81428571428571428</v>
      </c>
      <c r="AG375" s="5">
        <f t="shared" si="135"/>
        <v>0.78035714285714286</v>
      </c>
    </row>
    <row r="376" spans="1:33">
      <c r="A376" s="4">
        <v>46236</v>
      </c>
      <c r="B376" s="3" t="s">
        <v>64</v>
      </c>
      <c r="C376" s="3">
        <v>5</v>
      </c>
      <c r="D376" s="6">
        <v>189</v>
      </c>
      <c r="E376" s="6">
        <v>170</v>
      </c>
      <c r="F376" s="6">
        <v>230</v>
      </c>
      <c r="G376" s="6">
        <f t="shared" si="115"/>
        <v>183</v>
      </c>
      <c r="H376" s="5">
        <v>1.0007067774291143</v>
      </c>
      <c r="I376" s="6">
        <f t="shared" si="116"/>
        <v>183</v>
      </c>
      <c r="J376" s="6">
        <f t="shared" si="136"/>
        <v>0</v>
      </c>
      <c r="K376" s="6">
        <f t="shared" si="117"/>
        <v>183</v>
      </c>
      <c r="L376" s="6">
        <f t="shared" si="118"/>
        <v>170</v>
      </c>
      <c r="M376" s="6">
        <f t="shared" si="119"/>
        <v>0</v>
      </c>
      <c r="N376" s="6">
        <f t="shared" si="120"/>
        <v>13</v>
      </c>
      <c r="O376" s="5">
        <v>2.5000000000000001E-2</v>
      </c>
      <c r="P376" s="6">
        <f t="shared" si="121"/>
        <v>0</v>
      </c>
      <c r="Q376" s="6">
        <f t="shared" si="122"/>
        <v>13</v>
      </c>
      <c r="R376" s="6">
        <v>38</v>
      </c>
      <c r="S376" s="6">
        <f t="shared" si="123"/>
        <v>211</v>
      </c>
      <c r="T376" s="5">
        <v>0.99563189231752025</v>
      </c>
      <c r="U376" s="6">
        <f t="shared" si="124"/>
        <v>210</v>
      </c>
      <c r="V376" s="6">
        <f t="shared" si="137"/>
        <v>16</v>
      </c>
      <c r="W376" s="6">
        <f t="shared" si="125"/>
        <v>226</v>
      </c>
      <c r="X376" s="6">
        <f t="shared" si="126"/>
        <v>170</v>
      </c>
      <c r="Y376" s="6">
        <f t="shared" si="127"/>
        <v>0</v>
      </c>
      <c r="Z376" s="6">
        <f t="shared" si="128"/>
        <v>56</v>
      </c>
      <c r="AA376" s="6">
        <f t="shared" si="129"/>
        <v>1</v>
      </c>
      <c r="AB376" s="6">
        <f t="shared" si="130"/>
        <v>55</v>
      </c>
      <c r="AC376" s="5">
        <f t="shared" si="131"/>
        <v>0.11176470588235295</v>
      </c>
      <c r="AD376" s="5">
        <f t="shared" si="132"/>
        <v>1</v>
      </c>
      <c r="AE376" s="5">
        <f t="shared" si="133"/>
        <v>1</v>
      </c>
      <c r="AF376" s="5">
        <f t="shared" si="134"/>
        <v>0.79565217391304344</v>
      </c>
      <c r="AG376" s="5">
        <f t="shared" si="135"/>
        <v>0.91304347826086951</v>
      </c>
    </row>
    <row r="377" spans="1:33">
      <c r="A377" s="4">
        <v>46237</v>
      </c>
      <c r="B377" s="3" t="s">
        <v>60</v>
      </c>
      <c r="C377" s="3">
        <v>2</v>
      </c>
      <c r="D377" s="6">
        <v>1675</v>
      </c>
      <c r="E377" s="6">
        <v>1867</v>
      </c>
      <c r="F377" s="6">
        <v>2250</v>
      </c>
      <c r="G377" s="6">
        <f t="shared" si="115"/>
        <v>1625</v>
      </c>
      <c r="H377" s="5">
        <v>0.9803467488765516</v>
      </c>
      <c r="I377" s="6">
        <f t="shared" si="116"/>
        <v>1593</v>
      </c>
      <c r="J377" s="6">
        <f t="shared" si="136"/>
        <v>54</v>
      </c>
      <c r="K377" s="6">
        <f t="shared" si="117"/>
        <v>1647</v>
      </c>
      <c r="L377" s="6">
        <f t="shared" si="118"/>
        <v>1647</v>
      </c>
      <c r="M377" s="6">
        <f t="shared" si="119"/>
        <v>220</v>
      </c>
      <c r="N377" s="6">
        <f t="shared" si="120"/>
        <v>0</v>
      </c>
      <c r="O377" s="5">
        <v>2.5000000000000001E-2</v>
      </c>
      <c r="P377" s="6">
        <f t="shared" si="121"/>
        <v>0</v>
      </c>
      <c r="Q377" s="6">
        <f t="shared" si="122"/>
        <v>0</v>
      </c>
      <c r="R377" s="6">
        <v>201</v>
      </c>
      <c r="S377" s="6">
        <f t="shared" si="123"/>
        <v>1490</v>
      </c>
      <c r="T377" s="5">
        <v>1.0062274123083388</v>
      </c>
      <c r="U377" s="6">
        <f t="shared" si="124"/>
        <v>1499</v>
      </c>
      <c r="V377" s="6">
        <f t="shared" si="137"/>
        <v>386</v>
      </c>
      <c r="W377" s="6">
        <f t="shared" si="125"/>
        <v>1885</v>
      </c>
      <c r="X377" s="6">
        <f t="shared" si="126"/>
        <v>1867</v>
      </c>
      <c r="Y377" s="6">
        <f t="shared" si="127"/>
        <v>0</v>
      </c>
      <c r="Z377" s="6">
        <f t="shared" si="128"/>
        <v>18</v>
      </c>
      <c r="AA377" s="6">
        <f t="shared" si="129"/>
        <v>0</v>
      </c>
      <c r="AB377" s="6">
        <f t="shared" si="130"/>
        <v>18</v>
      </c>
      <c r="AC377" s="5">
        <f t="shared" si="131"/>
        <v>0.10283877878950187</v>
      </c>
      <c r="AD377" s="5">
        <f t="shared" si="132"/>
        <v>0.88216389930369576</v>
      </c>
      <c r="AE377" s="5">
        <f t="shared" si="133"/>
        <v>1</v>
      </c>
      <c r="AF377" s="5">
        <f t="shared" si="134"/>
        <v>0.70799999999999996</v>
      </c>
      <c r="AG377" s="5">
        <f t="shared" si="135"/>
        <v>0.66622222222222227</v>
      </c>
    </row>
    <row r="378" spans="1:33">
      <c r="A378" s="4">
        <v>46237</v>
      </c>
      <c r="B378" s="3" t="s">
        <v>61</v>
      </c>
      <c r="C378" s="3">
        <v>2</v>
      </c>
      <c r="D378" s="6">
        <v>829</v>
      </c>
      <c r="E378" s="6">
        <v>882</v>
      </c>
      <c r="F378" s="6">
        <v>1200</v>
      </c>
      <c r="G378" s="6">
        <f t="shared" si="115"/>
        <v>804</v>
      </c>
      <c r="H378" s="5">
        <v>1.0061897027790558</v>
      </c>
      <c r="I378" s="6">
        <f t="shared" si="116"/>
        <v>809</v>
      </c>
      <c r="J378" s="6">
        <f t="shared" si="136"/>
        <v>0</v>
      </c>
      <c r="K378" s="6">
        <f t="shared" si="117"/>
        <v>809</v>
      </c>
      <c r="L378" s="6">
        <f t="shared" si="118"/>
        <v>809</v>
      </c>
      <c r="M378" s="6">
        <f t="shared" si="119"/>
        <v>73</v>
      </c>
      <c r="N378" s="6">
        <f t="shared" si="120"/>
        <v>0</v>
      </c>
      <c r="O378" s="5">
        <v>0.03</v>
      </c>
      <c r="P378" s="6">
        <f t="shared" si="121"/>
        <v>0</v>
      </c>
      <c r="Q378" s="6">
        <f t="shared" si="122"/>
        <v>0</v>
      </c>
      <c r="R378" s="6">
        <v>99</v>
      </c>
      <c r="S378" s="6">
        <f t="shared" si="123"/>
        <v>928</v>
      </c>
      <c r="T378" s="5">
        <v>1.0061827031482804</v>
      </c>
      <c r="U378" s="6">
        <f t="shared" si="124"/>
        <v>934</v>
      </c>
      <c r="V378" s="6">
        <f t="shared" si="137"/>
        <v>0</v>
      </c>
      <c r="W378" s="6">
        <f t="shared" si="125"/>
        <v>934</v>
      </c>
      <c r="X378" s="6">
        <f t="shared" si="126"/>
        <v>882</v>
      </c>
      <c r="Y378" s="6">
        <f t="shared" si="127"/>
        <v>0</v>
      </c>
      <c r="Z378" s="6">
        <f t="shared" si="128"/>
        <v>52</v>
      </c>
      <c r="AA378" s="6">
        <f t="shared" si="129"/>
        <v>2</v>
      </c>
      <c r="AB378" s="6">
        <f t="shared" si="130"/>
        <v>50</v>
      </c>
      <c r="AC378" s="5">
        <f t="shared" si="131"/>
        <v>6.0090702947845805E-2</v>
      </c>
      <c r="AD378" s="5">
        <f t="shared" si="132"/>
        <v>0.91723356009070289</v>
      </c>
      <c r="AE378" s="5">
        <f t="shared" si="133"/>
        <v>1</v>
      </c>
      <c r="AF378" s="5">
        <f t="shared" si="134"/>
        <v>0.67416666666666669</v>
      </c>
      <c r="AG378" s="5">
        <f t="shared" si="135"/>
        <v>0.77833333333333332</v>
      </c>
    </row>
    <row r="379" spans="1:33">
      <c r="A379" s="4">
        <v>46237</v>
      </c>
      <c r="B379" s="3" t="s">
        <v>62</v>
      </c>
      <c r="C379" s="3">
        <v>7</v>
      </c>
      <c r="D379" s="6">
        <v>477</v>
      </c>
      <c r="E379" s="6">
        <v>467</v>
      </c>
      <c r="F379" s="6">
        <v>700</v>
      </c>
      <c r="G379" s="6">
        <f t="shared" si="115"/>
        <v>463</v>
      </c>
      <c r="H379" s="5">
        <v>1.0060629894652846</v>
      </c>
      <c r="I379" s="6">
        <f t="shared" si="116"/>
        <v>466</v>
      </c>
      <c r="J379" s="6">
        <f t="shared" si="136"/>
        <v>0</v>
      </c>
      <c r="K379" s="6">
        <f t="shared" si="117"/>
        <v>466</v>
      </c>
      <c r="L379" s="6">
        <f t="shared" si="118"/>
        <v>466</v>
      </c>
      <c r="M379" s="6">
        <f t="shared" si="119"/>
        <v>1</v>
      </c>
      <c r="N379" s="6">
        <f t="shared" si="120"/>
        <v>0</v>
      </c>
      <c r="O379" s="5">
        <v>1.7999999999999999E-2</v>
      </c>
      <c r="P379" s="6">
        <f t="shared" si="121"/>
        <v>0</v>
      </c>
      <c r="Q379" s="6">
        <f t="shared" si="122"/>
        <v>0</v>
      </c>
      <c r="R379" s="6">
        <v>86</v>
      </c>
      <c r="S379" s="6">
        <f t="shared" si="123"/>
        <v>454</v>
      </c>
      <c r="T379" s="5">
        <v>1.0136089739379053</v>
      </c>
      <c r="U379" s="6">
        <f t="shared" si="124"/>
        <v>460</v>
      </c>
      <c r="V379" s="6">
        <f t="shared" si="137"/>
        <v>109</v>
      </c>
      <c r="W379" s="6">
        <f t="shared" si="125"/>
        <v>569</v>
      </c>
      <c r="X379" s="6">
        <f t="shared" si="126"/>
        <v>467</v>
      </c>
      <c r="Y379" s="6">
        <f t="shared" si="127"/>
        <v>0</v>
      </c>
      <c r="Z379" s="6">
        <f t="shared" si="128"/>
        <v>102</v>
      </c>
      <c r="AA379" s="6">
        <f t="shared" si="129"/>
        <v>2</v>
      </c>
      <c r="AB379" s="6">
        <f t="shared" si="130"/>
        <v>100</v>
      </c>
      <c r="AC379" s="5">
        <f t="shared" si="131"/>
        <v>2.1413276231263382E-2</v>
      </c>
      <c r="AD379" s="5">
        <f t="shared" si="132"/>
        <v>0.99785867237687365</v>
      </c>
      <c r="AE379" s="5">
        <f t="shared" si="133"/>
        <v>1</v>
      </c>
      <c r="AF379" s="5">
        <f t="shared" si="134"/>
        <v>0.6657142857142857</v>
      </c>
      <c r="AG379" s="5">
        <f t="shared" si="135"/>
        <v>0.65714285714285714</v>
      </c>
    </row>
    <row r="380" spans="1:33">
      <c r="A380" s="4">
        <v>46237</v>
      </c>
      <c r="B380" s="3" t="s">
        <v>63</v>
      </c>
      <c r="C380" s="3">
        <v>7</v>
      </c>
      <c r="D380" s="6">
        <v>369</v>
      </c>
      <c r="E380" s="6">
        <v>343</v>
      </c>
      <c r="F380" s="6">
        <v>560</v>
      </c>
      <c r="G380" s="6">
        <f t="shared" si="115"/>
        <v>358</v>
      </c>
      <c r="H380" s="5">
        <v>1.0014199184172443</v>
      </c>
      <c r="I380" s="6">
        <f t="shared" si="116"/>
        <v>359</v>
      </c>
      <c r="J380" s="6">
        <f t="shared" si="136"/>
        <v>81</v>
      </c>
      <c r="K380" s="6">
        <f t="shared" si="117"/>
        <v>440</v>
      </c>
      <c r="L380" s="6">
        <f t="shared" si="118"/>
        <v>343</v>
      </c>
      <c r="M380" s="6">
        <f t="shared" si="119"/>
        <v>0</v>
      </c>
      <c r="N380" s="6">
        <f t="shared" si="120"/>
        <v>97</v>
      </c>
      <c r="O380" s="5">
        <v>0.02</v>
      </c>
      <c r="P380" s="6">
        <f t="shared" si="121"/>
        <v>2</v>
      </c>
      <c r="Q380" s="6">
        <f t="shared" si="122"/>
        <v>95</v>
      </c>
      <c r="R380" s="6">
        <v>66</v>
      </c>
      <c r="S380" s="6">
        <f t="shared" si="123"/>
        <v>340</v>
      </c>
      <c r="T380" s="5">
        <v>1.0090609289439343</v>
      </c>
      <c r="U380" s="6">
        <f t="shared" si="124"/>
        <v>343</v>
      </c>
      <c r="V380" s="6">
        <f t="shared" si="137"/>
        <v>95</v>
      </c>
      <c r="W380" s="6">
        <f t="shared" si="125"/>
        <v>438</v>
      </c>
      <c r="X380" s="6">
        <f t="shared" si="126"/>
        <v>343</v>
      </c>
      <c r="Y380" s="6">
        <f t="shared" si="127"/>
        <v>0</v>
      </c>
      <c r="Z380" s="6">
        <f t="shared" si="128"/>
        <v>95</v>
      </c>
      <c r="AA380" s="6">
        <f t="shared" si="129"/>
        <v>2</v>
      </c>
      <c r="AB380" s="6">
        <f t="shared" si="130"/>
        <v>93</v>
      </c>
      <c r="AC380" s="5">
        <f t="shared" si="131"/>
        <v>7.5801749271137031E-2</v>
      </c>
      <c r="AD380" s="5">
        <f t="shared" si="132"/>
        <v>1</v>
      </c>
      <c r="AE380" s="5">
        <f t="shared" si="133"/>
        <v>1</v>
      </c>
      <c r="AF380" s="5">
        <f t="shared" si="134"/>
        <v>0.64107142857142863</v>
      </c>
      <c r="AG380" s="5">
        <f t="shared" si="135"/>
        <v>0.61250000000000004</v>
      </c>
    </row>
    <row r="381" spans="1:33">
      <c r="A381" s="4">
        <v>46237</v>
      </c>
      <c r="B381" s="3" t="s">
        <v>64</v>
      </c>
      <c r="C381" s="3">
        <v>5</v>
      </c>
      <c r="D381" s="6">
        <v>151</v>
      </c>
      <c r="E381" s="6">
        <v>163</v>
      </c>
      <c r="F381" s="6">
        <v>230</v>
      </c>
      <c r="G381" s="6">
        <f t="shared" si="115"/>
        <v>146</v>
      </c>
      <c r="H381" s="5">
        <v>0.98149487786426759</v>
      </c>
      <c r="I381" s="6">
        <f t="shared" si="116"/>
        <v>143</v>
      </c>
      <c r="J381" s="6">
        <f t="shared" si="136"/>
        <v>13</v>
      </c>
      <c r="K381" s="6">
        <f t="shared" si="117"/>
        <v>156</v>
      </c>
      <c r="L381" s="6">
        <f t="shared" si="118"/>
        <v>156</v>
      </c>
      <c r="M381" s="6">
        <f t="shared" si="119"/>
        <v>7</v>
      </c>
      <c r="N381" s="6">
        <f t="shared" si="120"/>
        <v>0</v>
      </c>
      <c r="O381" s="5">
        <v>2.5000000000000001E-2</v>
      </c>
      <c r="P381" s="6">
        <f t="shared" si="121"/>
        <v>0</v>
      </c>
      <c r="Q381" s="6">
        <f t="shared" si="122"/>
        <v>0</v>
      </c>
      <c r="R381" s="6">
        <v>30</v>
      </c>
      <c r="S381" s="6">
        <f t="shared" si="123"/>
        <v>126</v>
      </c>
      <c r="T381" s="5">
        <v>0.99329321867438836</v>
      </c>
      <c r="U381" s="6">
        <f t="shared" si="124"/>
        <v>125</v>
      </c>
      <c r="V381" s="6">
        <f t="shared" si="137"/>
        <v>55</v>
      </c>
      <c r="W381" s="6">
        <f t="shared" si="125"/>
        <v>180</v>
      </c>
      <c r="X381" s="6">
        <f t="shared" si="126"/>
        <v>163</v>
      </c>
      <c r="Y381" s="6">
        <f t="shared" si="127"/>
        <v>0</v>
      </c>
      <c r="Z381" s="6">
        <f t="shared" si="128"/>
        <v>17</v>
      </c>
      <c r="AA381" s="6">
        <f t="shared" si="129"/>
        <v>0</v>
      </c>
      <c r="AB381" s="6">
        <f t="shared" si="130"/>
        <v>17</v>
      </c>
      <c r="AC381" s="5">
        <f t="shared" si="131"/>
        <v>7.3619631901840496E-2</v>
      </c>
      <c r="AD381" s="5">
        <f t="shared" si="132"/>
        <v>0.95705521472392641</v>
      </c>
      <c r="AE381" s="5">
        <f t="shared" si="133"/>
        <v>1</v>
      </c>
      <c r="AF381" s="5">
        <f t="shared" si="134"/>
        <v>0.62173913043478257</v>
      </c>
      <c r="AG381" s="5">
        <f t="shared" si="135"/>
        <v>0.54347826086956519</v>
      </c>
    </row>
    <row r="382" spans="1:33">
      <c r="A382" s="4">
        <v>46238</v>
      </c>
      <c r="B382" s="3" t="s">
        <v>60</v>
      </c>
      <c r="C382" s="3">
        <v>2</v>
      </c>
      <c r="D382" s="6">
        <v>1710</v>
      </c>
      <c r="E382" s="6">
        <v>1833</v>
      </c>
      <c r="F382" s="6">
        <v>2250</v>
      </c>
      <c r="G382" s="6">
        <f t="shared" si="115"/>
        <v>1659</v>
      </c>
      <c r="H382" s="5">
        <v>0.99786529124776202</v>
      </c>
      <c r="I382" s="6">
        <f t="shared" si="116"/>
        <v>1655</v>
      </c>
      <c r="J382" s="6">
        <f t="shared" si="136"/>
        <v>0</v>
      </c>
      <c r="K382" s="6">
        <f t="shared" si="117"/>
        <v>1655</v>
      </c>
      <c r="L382" s="6">
        <f t="shared" si="118"/>
        <v>1655</v>
      </c>
      <c r="M382" s="6">
        <f t="shared" si="119"/>
        <v>178</v>
      </c>
      <c r="N382" s="6">
        <f t="shared" si="120"/>
        <v>0</v>
      </c>
      <c r="O382" s="5">
        <v>2.5000000000000001E-2</v>
      </c>
      <c r="P382" s="6">
        <f t="shared" si="121"/>
        <v>0</v>
      </c>
      <c r="Q382" s="6">
        <f t="shared" si="122"/>
        <v>0</v>
      </c>
      <c r="R382" s="6">
        <v>205</v>
      </c>
      <c r="S382" s="6">
        <f t="shared" si="123"/>
        <v>1897</v>
      </c>
      <c r="T382" s="5">
        <v>0.99419243499958965</v>
      </c>
      <c r="U382" s="6">
        <f t="shared" si="124"/>
        <v>1886</v>
      </c>
      <c r="V382" s="6">
        <f t="shared" si="137"/>
        <v>18</v>
      </c>
      <c r="W382" s="6">
        <f t="shared" si="125"/>
        <v>1904</v>
      </c>
      <c r="X382" s="6">
        <f t="shared" si="126"/>
        <v>1833</v>
      </c>
      <c r="Y382" s="6">
        <f t="shared" si="127"/>
        <v>0</v>
      </c>
      <c r="Z382" s="6">
        <f t="shared" si="128"/>
        <v>71</v>
      </c>
      <c r="AA382" s="6">
        <f t="shared" si="129"/>
        <v>2</v>
      </c>
      <c r="AB382" s="6">
        <f t="shared" si="130"/>
        <v>69</v>
      </c>
      <c r="AC382" s="5">
        <f t="shared" si="131"/>
        <v>6.7103109656301146E-2</v>
      </c>
      <c r="AD382" s="5">
        <f t="shared" si="132"/>
        <v>0.90289143480632839</v>
      </c>
      <c r="AE382" s="5">
        <f t="shared" si="133"/>
        <v>1</v>
      </c>
      <c r="AF382" s="5">
        <f t="shared" si="134"/>
        <v>0.73555555555555552</v>
      </c>
      <c r="AG382" s="5">
        <f t="shared" si="135"/>
        <v>0.8382222222222222</v>
      </c>
    </row>
    <row r="383" spans="1:33">
      <c r="A383" s="4">
        <v>46238</v>
      </c>
      <c r="B383" s="3" t="s">
        <v>61</v>
      </c>
      <c r="C383" s="3">
        <v>2</v>
      </c>
      <c r="D383" s="6">
        <v>855</v>
      </c>
      <c r="E383" s="6">
        <v>782</v>
      </c>
      <c r="F383" s="6">
        <v>1200</v>
      </c>
      <c r="G383" s="6">
        <f t="shared" si="115"/>
        <v>829</v>
      </c>
      <c r="H383" s="5">
        <v>1.0097300674516834</v>
      </c>
      <c r="I383" s="6">
        <f t="shared" si="116"/>
        <v>837</v>
      </c>
      <c r="J383" s="6">
        <f t="shared" si="136"/>
        <v>0</v>
      </c>
      <c r="K383" s="6">
        <f t="shared" si="117"/>
        <v>837</v>
      </c>
      <c r="L383" s="6">
        <f t="shared" si="118"/>
        <v>782</v>
      </c>
      <c r="M383" s="6">
        <f t="shared" si="119"/>
        <v>0</v>
      </c>
      <c r="N383" s="6">
        <f t="shared" si="120"/>
        <v>55</v>
      </c>
      <c r="O383" s="5">
        <v>0.03</v>
      </c>
      <c r="P383" s="6">
        <f t="shared" si="121"/>
        <v>2</v>
      </c>
      <c r="Q383" s="6">
        <f t="shared" si="122"/>
        <v>53</v>
      </c>
      <c r="R383" s="6">
        <v>103</v>
      </c>
      <c r="S383" s="6">
        <f t="shared" si="123"/>
        <v>908</v>
      </c>
      <c r="T383" s="5">
        <v>0.98913551628049179</v>
      </c>
      <c r="U383" s="6">
        <f t="shared" si="124"/>
        <v>898</v>
      </c>
      <c r="V383" s="6">
        <f t="shared" si="137"/>
        <v>50</v>
      </c>
      <c r="W383" s="6">
        <f t="shared" si="125"/>
        <v>948</v>
      </c>
      <c r="X383" s="6">
        <f t="shared" si="126"/>
        <v>782</v>
      </c>
      <c r="Y383" s="6">
        <f t="shared" si="127"/>
        <v>0</v>
      </c>
      <c r="Z383" s="6">
        <f t="shared" si="128"/>
        <v>166</v>
      </c>
      <c r="AA383" s="6">
        <f t="shared" si="129"/>
        <v>5</v>
      </c>
      <c r="AB383" s="6">
        <f t="shared" si="130"/>
        <v>161</v>
      </c>
      <c r="AC383" s="5">
        <f t="shared" si="131"/>
        <v>9.3350383631713552E-2</v>
      </c>
      <c r="AD383" s="5">
        <f t="shared" si="132"/>
        <v>1</v>
      </c>
      <c r="AE383" s="5">
        <f t="shared" si="133"/>
        <v>1</v>
      </c>
      <c r="AF383" s="5">
        <f t="shared" si="134"/>
        <v>0.69750000000000001</v>
      </c>
      <c r="AG383" s="5">
        <f t="shared" si="135"/>
        <v>0.74833333333333329</v>
      </c>
    </row>
    <row r="384" spans="1:33">
      <c r="A384" s="4">
        <v>46238</v>
      </c>
      <c r="B384" s="3" t="s">
        <v>62</v>
      </c>
      <c r="C384" s="3">
        <v>7</v>
      </c>
      <c r="D384" s="6">
        <v>493</v>
      </c>
      <c r="E384" s="6">
        <v>486</v>
      </c>
      <c r="F384" s="6">
        <v>700</v>
      </c>
      <c r="G384" s="6">
        <f t="shared" si="115"/>
        <v>478</v>
      </c>
      <c r="H384" s="5">
        <v>0.99716838727423207</v>
      </c>
      <c r="I384" s="6">
        <f t="shared" si="116"/>
        <v>477</v>
      </c>
      <c r="J384" s="6">
        <f t="shared" si="136"/>
        <v>0</v>
      </c>
      <c r="K384" s="6">
        <f t="shared" si="117"/>
        <v>477</v>
      </c>
      <c r="L384" s="6">
        <f t="shared" si="118"/>
        <v>477</v>
      </c>
      <c r="M384" s="6">
        <f t="shared" si="119"/>
        <v>9</v>
      </c>
      <c r="N384" s="6">
        <f t="shared" si="120"/>
        <v>0</v>
      </c>
      <c r="O384" s="5">
        <v>1.7999999999999999E-2</v>
      </c>
      <c r="P384" s="6">
        <f t="shared" si="121"/>
        <v>0</v>
      </c>
      <c r="Q384" s="6">
        <f t="shared" si="122"/>
        <v>0</v>
      </c>
      <c r="R384" s="6">
        <v>89</v>
      </c>
      <c r="S384" s="6">
        <f t="shared" si="123"/>
        <v>482</v>
      </c>
      <c r="T384" s="5">
        <v>0.99654410133749316</v>
      </c>
      <c r="U384" s="6">
        <f t="shared" si="124"/>
        <v>480</v>
      </c>
      <c r="V384" s="6">
        <f t="shared" si="137"/>
        <v>100</v>
      </c>
      <c r="W384" s="6">
        <f t="shared" si="125"/>
        <v>580</v>
      </c>
      <c r="X384" s="6">
        <f t="shared" si="126"/>
        <v>486</v>
      </c>
      <c r="Y384" s="6">
        <f t="shared" si="127"/>
        <v>0</v>
      </c>
      <c r="Z384" s="6">
        <f t="shared" si="128"/>
        <v>94</v>
      </c>
      <c r="AA384" s="6">
        <f t="shared" si="129"/>
        <v>2</v>
      </c>
      <c r="AB384" s="6">
        <f t="shared" si="130"/>
        <v>92</v>
      </c>
      <c r="AC384" s="5">
        <f t="shared" si="131"/>
        <v>1.4403292181069959E-2</v>
      </c>
      <c r="AD384" s="5">
        <f t="shared" si="132"/>
        <v>0.98148148148148151</v>
      </c>
      <c r="AE384" s="5">
        <f t="shared" si="133"/>
        <v>1</v>
      </c>
      <c r="AF384" s="5">
        <f t="shared" si="134"/>
        <v>0.68142857142857138</v>
      </c>
      <c r="AG384" s="5">
        <f t="shared" si="135"/>
        <v>0.68571428571428572</v>
      </c>
    </row>
    <row r="385" spans="1:33">
      <c r="A385" s="4">
        <v>46238</v>
      </c>
      <c r="B385" s="3" t="s">
        <v>63</v>
      </c>
      <c r="C385" s="3">
        <v>7</v>
      </c>
      <c r="D385" s="6">
        <v>386</v>
      </c>
      <c r="E385" s="6">
        <v>331</v>
      </c>
      <c r="F385" s="6">
        <v>560</v>
      </c>
      <c r="G385" s="6">
        <f t="shared" si="115"/>
        <v>374</v>
      </c>
      <c r="H385" s="5">
        <v>0.99562806906568879</v>
      </c>
      <c r="I385" s="6">
        <f t="shared" si="116"/>
        <v>372</v>
      </c>
      <c r="J385" s="6">
        <f t="shared" si="136"/>
        <v>95</v>
      </c>
      <c r="K385" s="6">
        <f t="shared" si="117"/>
        <v>467</v>
      </c>
      <c r="L385" s="6">
        <f t="shared" si="118"/>
        <v>331</v>
      </c>
      <c r="M385" s="6">
        <f t="shared" si="119"/>
        <v>0</v>
      </c>
      <c r="N385" s="6">
        <f t="shared" si="120"/>
        <v>136</v>
      </c>
      <c r="O385" s="5">
        <v>0.02</v>
      </c>
      <c r="P385" s="6">
        <f t="shared" si="121"/>
        <v>3</v>
      </c>
      <c r="Q385" s="6">
        <f t="shared" si="122"/>
        <v>133</v>
      </c>
      <c r="R385" s="6">
        <v>69</v>
      </c>
      <c r="S385" s="6">
        <f t="shared" si="123"/>
        <v>362</v>
      </c>
      <c r="T385" s="5">
        <v>0.98597619594911734</v>
      </c>
      <c r="U385" s="6">
        <f t="shared" si="124"/>
        <v>357</v>
      </c>
      <c r="V385" s="6">
        <f t="shared" si="137"/>
        <v>93</v>
      </c>
      <c r="W385" s="6">
        <f t="shared" si="125"/>
        <v>450</v>
      </c>
      <c r="X385" s="6">
        <f t="shared" si="126"/>
        <v>331</v>
      </c>
      <c r="Y385" s="6">
        <f t="shared" si="127"/>
        <v>0</v>
      </c>
      <c r="Z385" s="6">
        <f t="shared" si="128"/>
        <v>119</v>
      </c>
      <c r="AA385" s="6">
        <f t="shared" si="129"/>
        <v>2</v>
      </c>
      <c r="AB385" s="6">
        <f t="shared" si="130"/>
        <v>117</v>
      </c>
      <c r="AC385" s="5">
        <f t="shared" si="131"/>
        <v>0.16616314199395771</v>
      </c>
      <c r="AD385" s="5">
        <f t="shared" si="132"/>
        <v>1</v>
      </c>
      <c r="AE385" s="5">
        <f t="shared" si="133"/>
        <v>1</v>
      </c>
      <c r="AF385" s="5">
        <f t="shared" si="134"/>
        <v>0.66428571428571426</v>
      </c>
      <c r="AG385" s="5">
        <f t="shared" si="135"/>
        <v>0.63749999999999996</v>
      </c>
    </row>
    <row r="386" spans="1:33">
      <c r="A386" s="4">
        <v>46238</v>
      </c>
      <c r="B386" s="3" t="s">
        <v>64</v>
      </c>
      <c r="C386" s="3">
        <v>5</v>
      </c>
      <c r="D386" s="6">
        <v>156</v>
      </c>
      <c r="E386" s="6">
        <v>183</v>
      </c>
      <c r="F386" s="6">
        <v>230</v>
      </c>
      <c r="G386" s="6">
        <f t="shared" ref="G386:G421" si="138">ROUND(D386*0.97,0)</f>
        <v>151</v>
      </c>
      <c r="H386" s="5">
        <v>1.0135020916737236</v>
      </c>
      <c r="I386" s="6">
        <f t="shared" ref="I386:I449" si="139">MIN(F386,ROUND(G386*H386,0))</f>
        <v>153</v>
      </c>
      <c r="J386" s="6">
        <f t="shared" si="136"/>
        <v>0</v>
      </c>
      <c r="K386" s="6">
        <f t="shared" ref="K386:K449" si="140">I386+J386</f>
        <v>153</v>
      </c>
      <c r="L386" s="6">
        <f t="shared" ref="L386:L449" si="141">MIN(E386,K386)</f>
        <v>153</v>
      </c>
      <c r="M386" s="6">
        <f t="shared" ref="M386:M421" si="142">MAX(E386-K386,0)</f>
        <v>30</v>
      </c>
      <c r="N386" s="6">
        <f t="shared" ref="N386:N421" si="143">MAX(K386-L386,0)</f>
        <v>0</v>
      </c>
      <c r="O386" s="5">
        <v>2.5000000000000001E-2</v>
      </c>
      <c r="P386" s="6">
        <f t="shared" ref="P386:P449" si="144">MIN(N386,ROUND(N386*O386,0))</f>
        <v>0</v>
      </c>
      <c r="Q386" s="6">
        <f t="shared" ref="Q386:Q449" si="145">N386-P386</f>
        <v>0</v>
      </c>
      <c r="R386" s="6">
        <v>31</v>
      </c>
      <c r="S386" s="6">
        <f t="shared" ref="S386:S449" si="146">MIN(F386,MAX(0,ROUND(D386+R386-V386,0)))</f>
        <v>170</v>
      </c>
      <c r="T386" s="5">
        <v>0.98047574766273582</v>
      </c>
      <c r="U386" s="6">
        <f t="shared" ref="U386:U449" si="147">MIN(F386,MAX(0,ROUND(S386*T386,0)))</f>
        <v>167</v>
      </c>
      <c r="V386" s="6">
        <f t="shared" si="137"/>
        <v>17</v>
      </c>
      <c r="W386" s="6">
        <f t="shared" ref="W386:W449" si="148">U386+V386</f>
        <v>184</v>
      </c>
      <c r="X386" s="6">
        <f t="shared" ref="X386:X449" si="149">MIN(E386,W386)</f>
        <v>183</v>
      </c>
      <c r="Y386" s="6">
        <f t="shared" ref="Y386:Y421" si="150">MAX(E386-W386,0)</f>
        <v>0</v>
      </c>
      <c r="Z386" s="6">
        <f t="shared" ref="Z386:Z421" si="151">MAX(W386-X386,0)</f>
        <v>1</v>
      </c>
      <c r="AA386" s="6">
        <f t="shared" ref="AA386:AA449" si="152">MIN(Z386,ROUND(Z386*O386,0))</f>
        <v>0</v>
      </c>
      <c r="AB386" s="6">
        <f t="shared" ref="AB386:AB449" si="153">Z386-AA386</f>
        <v>1</v>
      </c>
      <c r="AC386" s="5">
        <f t="shared" ref="AC386:AC421" si="154">IFERROR(ABS(E386-D386)/E386,0)</f>
        <v>0.14754098360655737</v>
      </c>
      <c r="AD386" s="5">
        <f t="shared" ref="AD386:AD421" si="155">IFERROR(L386/E386,1)</f>
        <v>0.83606557377049184</v>
      </c>
      <c r="AE386" s="5">
        <f t="shared" ref="AE386:AE421" si="156">IFERROR(X386/E386,1)</f>
        <v>1</v>
      </c>
      <c r="AF386" s="5">
        <f t="shared" ref="AF386:AF421" si="157">IFERROR(I386/F386,0)</f>
        <v>0.66521739130434787</v>
      </c>
      <c r="AG386" s="5">
        <f t="shared" ref="AG386:AG421" si="158">IFERROR(U386/F386,0)</f>
        <v>0.72608695652173916</v>
      </c>
    </row>
    <row r="387" spans="1:33">
      <c r="A387" s="4">
        <v>46239</v>
      </c>
      <c r="B387" s="3" t="s">
        <v>60</v>
      </c>
      <c r="C387" s="3">
        <v>2</v>
      </c>
      <c r="D387" s="6">
        <v>1728</v>
      </c>
      <c r="E387" s="6">
        <v>2011</v>
      </c>
      <c r="F387" s="6">
        <v>2250</v>
      </c>
      <c r="G387" s="6">
        <f t="shared" si="138"/>
        <v>1676</v>
      </c>
      <c r="H387" s="5">
        <v>1.0008780341858035</v>
      </c>
      <c r="I387" s="6">
        <f t="shared" si="139"/>
        <v>1677</v>
      </c>
      <c r="J387" s="6">
        <f t="shared" si="136"/>
        <v>0</v>
      </c>
      <c r="K387" s="6">
        <f t="shared" si="140"/>
        <v>1677</v>
      </c>
      <c r="L387" s="6">
        <f t="shared" si="141"/>
        <v>1677</v>
      </c>
      <c r="M387" s="6">
        <f t="shared" si="142"/>
        <v>334</v>
      </c>
      <c r="N387" s="6">
        <f t="shared" si="143"/>
        <v>0</v>
      </c>
      <c r="O387" s="5">
        <v>2.5000000000000001E-2</v>
      </c>
      <c r="P387" s="6">
        <f t="shared" si="144"/>
        <v>0</v>
      </c>
      <c r="Q387" s="6">
        <f t="shared" si="145"/>
        <v>0</v>
      </c>
      <c r="R387" s="6">
        <v>207</v>
      </c>
      <c r="S387" s="6">
        <f t="shared" si="146"/>
        <v>1866</v>
      </c>
      <c r="T387" s="5">
        <v>1.0029778082231358</v>
      </c>
      <c r="U387" s="6">
        <f t="shared" si="147"/>
        <v>1872</v>
      </c>
      <c r="V387" s="6">
        <f t="shared" si="137"/>
        <v>69</v>
      </c>
      <c r="W387" s="6">
        <f t="shared" si="148"/>
        <v>1941</v>
      </c>
      <c r="X387" s="6">
        <f t="shared" si="149"/>
        <v>1941</v>
      </c>
      <c r="Y387" s="6">
        <f t="shared" si="150"/>
        <v>70</v>
      </c>
      <c r="Z387" s="6">
        <f t="shared" si="151"/>
        <v>0</v>
      </c>
      <c r="AA387" s="6">
        <f t="shared" si="152"/>
        <v>0</v>
      </c>
      <c r="AB387" s="6">
        <f t="shared" si="153"/>
        <v>0</v>
      </c>
      <c r="AC387" s="5">
        <f t="shared" si="154"/>
        <v>0.14072600696171059</v>
      </c>
      <c r="AD387" s="5">
        <f t="shared" si="155"/>
        <v>0.83391347588264542</v>
      </c>
      <c r="AE387" s="5">
        <f t="shared" si="156"/>
        <v>0.96519144704127302</v>
      </c>
      <c r="AF387" s="5">
        <f t="shared" si="157"/>
        <v>0.74533333333333329</v>
      </c>
      <c r="AG387" s="5">
        <f t="shared" si="158"/>
        <v>0.83199999999999996</v>
      </c>
    </row>
    <row r="388" spans="1:33">
      <c r="A388" s="4">
        <v>46239</v>
      </c>
      <c r="B388" s="3" t="s">
        <v>61</v>
      </c>
      <c r="C388" s="3">
        <v>2</v>
      </c>
      <c r="D388" s="6">
        <v>864</v>
      </c>
      <c r="E388" s="6">
        <v>877</v>
      </c>
      <c r="F388" s="6">
        <v>1200</v>
      </c>
      <c r="G388" s="6">
        <f t="shared" si="138"/>
        <v>838</v>
      </c>
      <c r="H388" s="5">
        <v>1.018003522923792</v>
      </c>
      <c r="I388" s="6">
        <f t="shared" si="139"/>
        <v>853</v>
      </c>
      <c r="J388" s="6">
        <f t="shared" si="136"/>
        <v>53</v>
      </c>
      <c r="K388" s="6">
        <f t="shared" si="140"/>
        <v>906</v>
      </c>
      <c r="L388" s="6">
        <f t="shared" si="141"/>
        <v>877</v>
      </c>
      <c r="M388" s="6">
        <f t="shared" si="142"/>
        <v>0</v>
      </c>
      <c r="N388" s="6">
        <f t="shared" si="143"/>
        <v>29</v>
      </c>
      <c r="O388" s="5">
        <v>0.03</v>
      </c>
      <c r="P388" s="6">
        <f t="shared" si="144"/>
        <v>1</v>
      </c>
      <c r="Q388" s="6">
        <f t="shared" si="145"/>
        <v>28</v>
      </c>
      <c r="R388" s="6">
        <v>104</v>
      </c>
      <c r="S388" s="6">
        <f t="shared" si="146"/>
        <v>807</v>
      </c>
      <c r="T388" s="5">
        <v>1.0045054748119153</v>
      </c>
      <c r="U388" s="6">
        <f t="shared" si="147"/>
        <v>811</v>
      </c>
      <c r="V388" s="6">
        <f t="shared" si="137"/>
        <v>161</v>
      </c>
      <c r="W388" s="6">
        <f t="shared" si="148"/>
        <v>972</v>
      </c>
      <c r="X388" s="6">
        <f t="shared" si="149"/>
        <v>877</v>
      </c>
      <c r="Y388" s="6">
        <f t="shared" si="150"/>
        <v>0</v>
      </c>
      <c r="Z388" s="6">
        <f t="shared" si="151"/>
        <v>95</v>
      </c>
      <c r="AA388" s="6">
        <f t="shared" si="152"/>
        <v>3</v>
      </c>
      <c r="AB388" s="6">
        <f t="shared" si="153"/>
        <v>92</v>
      </c>
      <c r="AC388" s="5">
        <f t="shared" si="154"/>
        <v>1.4823261117445839E-2</v>
      </c>
      <c r="AD388" s="5">
        <f t="shared" si="155"/>
        <v>1</v>
      </c>
      <c r="AE388" s="5">
        <f t="shared" si="156"/>
        <v>1</v>
      </c>
      <c r="AF388" s="5">
        <f t="shared" si="157"/>
        <v>0.71083333333333332</v>
      </c>
      <c r="AG388" s="5">
        <f t="shared" si="158"/>
        <v>0.67583333333333329</v>
      </c>
    </row>
    <row r="389" spans="1:33">
      <c r="A389" s="4">
        <v>46239</v>
      </c>
      <c r="B389" s="3" t="s">
        <v>62</v>
      </c>
      <c r="C389" s="3">
        <v>7</v>
      </c>
      <c r="D389" s="6">
        <v>503</v>
      </c>
      <c r="E389" s="6">
        <v>454</v>
      </c>
      <c r="F389" s="6">
        <v>700</v>
      </c>
      <c r="G389" s="6">
        <f t="shared" si="138"/>
        <v>488</v>
      </c>
      <c r="H389" s="5">
        <v>1.009371210872861</v>
      </c>
      <c r="I389" s="6">
        <f t="shared" si="139"/>
        <v>493</v>
      </c>
      <c r="J389" s="6">
        <f t="shared" si="136"/>
        <v>0</v>
      </c>
      <c r="K389" s="6">
        <f t="shared" si="140"/>
        <v>493</v>
      </c>
      <c r="L389" s="6">
        <f t="shared" si="141"/>
        <v>454</v>
      </c>
      <c r="M389" s="6">
        <f t="shared" si="142"/>
        <v>0</v>
      </c>
      <c r="N389" s="6">
        <f t="shared" si="143"/>
        <v>39</v>
      </c>
      <c r="O389" s="5">
        <v>1.7999999999999999E-2</v>
      </c>
      <c r="P389" s="6">
        <f t="shared" si="144"/>
        <v>1</v>
      </c>
      <c r="Q389" s="6">
        <f t="shared" si="145"/>
        <v>38</v>
      </c>
      <c r="R389" s="6">
        <v>91</v>
      </c>
      <c r="S389" s="6">
        <f t="shared" si="146"/>
        <v>502</v>
      </c>
      <c r="T389" s="5">
        <v>0.99376152807901907</v>
      </c>
      <c r="U389" s="6">
        <f t="shared" si="147"/>
        <v>499</v>
      </c>
      <c r="V389" s="6">
        <f t="shared" si="137"/>
        <v>92</v>
      </c>
      <c r="W389" s="6">
        <f t="shared" si="148"/>
        <v>591</v>
      </c>
      <c r="X389" s="6">
        <f t="shared" si="149"/>
        <v>454</v>
      </c>
      <c r="Y389" s="6">
        <f t="shared" si="150"/>
        <v>0</v>
      </c>
      <c r="Z389" s="6">
        <f t="shared" si="151"/>
        <v>137</v>
      </c>
      <c r="AA389" s="6">
        <f t="shared" si="152"/>
        <v>2</v>
      </c>
      <c r="AB389" s="6">
        <f t="shared" si="153"/>
        <v>135</v>
      </c>
      <c r="AC389" s="5">
        <f t="shared" si="154"/>
        <v>0.10792951541850221</v>
      </c>
      <c r="AD389" s="5">
        <f t="shared" si="155"/>
        <v>1</v>
      </c>
      <c r="AE389" s="5">
        <f t="shared" si="156"/>
        <v>1</v>
      </c>
      <c r="AF389" s="5">
        <f t="shared" si="157"/>
        <v>0.70428571428571429</v>
      </c>
      <c r="AG389" s="5">
        <f t="shared" si="158"/>
        <v>0.71285714285714286</v>
      </c>
    </row>
    <row r="390" spans="1:33">
      <c r="A390" s="4">
        <v>46239</v>
      </c>
      <c r="B390" s="3" t="s">
        <v>63</v>
      </c>
      <c r="C390" s="3">
        <v>7</v>
      </c>
      <c r="D390" s="6">
        <v>403</v>
      </c>
      <c r="E390" s="6">
        <v>455</v>
      </c>
      <c r="F390" s="6">
        <v>560</v>
      </c>
      <c r="G390" s="6">
        <f t="shared" si="138"/>
        <v>391</v>
      </c>
      <c r="H390" s="5">
        <v>0.99396046034695185</v>
      </c>
      <c r="I390" s="6">
        <f t="shared" si="139"/>
        <v>389</v>
      </c>
      <c r="J390" s="6">
        <f t="shared" si="136"/>
        <v>133</v>
      </c>
      <c r="K390" s="6">
        <f t="shared" si="140"/>
        <v>522</v>
      </c>
      <c r="L390" s="6">
        <f t="shared" si="141"/>
        <v>455</v>
      </c>
      <c r="M390" s="6">
        <f t="shared" si="142"/>
        <v>0</v>
      </c>
      <c r="N390" s="6">
        <f t="shared" si="143"/>
        <v>67</v>
      </c>
      <c r="O390" s="5">
        <v>0.02</v>
      </c>
      <c r="P390" s="6">
        <f t="shared" si="144"/>
        <v>1</v>
      </c>
      <c r="Q390" s="6">
        <f t="shared" si="145"/>
        <v>66</v>
      </c>
      <c r="R390" s="6">
        <v>73</v>
      </c>
      <c r="S390" s="6">
        <f t="shared" si="146"/>
        <v>359</v>
      </c>
      <c r="T390" s="5">
        <v>1.001214902997547</v>
      </c>
      <c r="U390" s="6">
        <f t="shared" si="147"/>
        <v>359</v>
      </c>
      <c r="V390" s="6">
        <f t="shared" si="137"/>
        <v>117</v>
      </c>
      <c r="W390" s="6">
        <f t="shared" si="148"/>
        <v>476</v>
      </c>
      <c r="X390" s="6">
        <f t="shared" si="149"/>
        <v>455</v>
      </c>
      <c r="Y390" s="6">
        <f t="shared" si="150"/>
        <v>0</v>
      </c>
      <c r="Z390" s="6">
        <f t="shared" si="151"/>
        <v>21</v>
      </c>
      <c r="AA390" s="6">
        <f t="shared" si="152"/>
        <v>0</v>
      </c>
      <c r="AB390" s="6">
        <f t="shared" si="153"/>
        <v>21</v>
      </c>
      <c r="AC390" s="5">
        <f t="shared" si="154"/>
        <v>0.11428571428571428</v>
      </c>
      <c r="AD390" s="5">
        <f t="shared" si="155"/>
        <v>1</v>
      </c>
      <c r="AE390" s="5">
        <f t="shared" si="156"/>
        <v>1</v>
      </c>
      <c r="AF390" s="5">
        <f t="shared" si="157"/>
        <v>0.69464285714285712</v>
      </c>
      <c r="AG390" s="5">
        <f t="shared" si="158"/>
        <v>0.64107142857142863</v>
      </c>
    </row>
    <row r="391" spans="1:33">
      <c r="A391" s="4">
        <v>46239</v>
      </c>
      <c r="B391" s="3" t="s">
        <v>64</v>
      </c>
      <c r="C391" s="3">
        <v>5</v>
      </c>
      <c r="D391" s="6">
        <v>161</v>
      </c>
      <c r="E391" s="6">
        <v>149</v>
      </c>
      <c r="F391" s="6">
        <v>230</v>
      </c>
      <c r="G391" s="6">
        <f t="shared" si="138"/>
        <v>156</v>
      </c>
      <c r="H391" s="5">
        <v>1.0123553293743064</v>
      </c>
      <c r="I391" s="6">
        <f t="shared" si="139"/>
        <v>158</v>
      </c>
      <c r="J391" s="6">
        <f t="shared" ref="J391:J454" si="159">Q386</f>
        <v>0</v>
      </c>
      <c r="K391" s="6">
        <f t="shared" si="140"/>
        <v>158</v>
      </c>
      <c r="L391" s="6">
        <f t="shared" si="141"/>
        <v>149</v>
      </c>
      <c r="M391" s="6">
        <f t="shared" si="142"/>
        <v>0</v>
      </c>
      <c r="N391" s="6">
        <f t="shared" si="143"/>
        <v>9</v>
      </c>
      <c r="O391" s="5">
        <v>2.5000000000000001E-2</v>
      </c>
      <c r="P391" s="6">
        <f t="shared" si="144"/>
        <v>0</v>
      </c>
      <c r="Q391" s="6">
        <f t="shared" si="145"/>
        <v>9</v>
      </c>
      <c r="R391" s="6">
        <v>32</v>
      </c>
      <c r="S391" s="6">
        <f t="shared" si="146"/>
        <v>192</v>
      </c>
      <c r="T391" s="5">
        <v>1.0185186205002317</v>
      </c>
      <c r="U391" s="6">
        <f t="shared" si="147"/>
        <v>196</v>
      </c>
      <c r="V391" s="6">
        <f t="shared" ref="V391:V454" si="160">AB386</f>
        <v>1</v>
      </c>
      <c r="W391" s="6">
        <f t="shared" si="148"/>
        <v>197</v>
      </c>
      <c r="X391" s="6">
        <f t="shared" si="149"/>
        <v>149</v>
      </c>
      <c r="Y391" s="6">
        <f t="shared" si="150"/>
        <v>0</v>
      </c>
      <c r="Z391" s="6">
        <f t="shared" si="151"/>
        <v>48</v>
      </c>
      <c r="AA391" s="6">
        <f t="shared" si="152"/>
        <v>1</v>
      </c>
      <c r="AB391" s="6">
        <f t="shared" si="153"/>
        <v>47</v>
      </c>
      <c r="AC391" s="5">
        <f t="shared" si="154"/>
        <v>8.0536912751677847E-2</v>
      </c>
      <c r="AD391" s="5">
        <f t="shared" si="155"/>
        <v>1</v>
      </c>
      <c r="AE391" s="5">
        <f t="shared" si="156"/>
        <v>1</v>
      </c>
      <c r="AF391" s="5">
        <f t="shared" si="157"/>
        <v>0.68695652173913047</v>
      </c>
      <c r="AG391" s="5">
        <f t="shared" si="158"/>
        <v>0.85217391304347823</v>
      </c>
    </row>
    <row r="392" spans="1:33">
      <c r="A392" s="4">
        <v>46240</v>
      </c>
      <c r="B392" s="3" t="s">
        <v>60</v>
      </c>
      <c r="C392" s="3">
        <v>2</v>
      </c>
      <c r="D392" s="6">
        <v>1746</v>
      </c>
      <c r="E392" s="6">
        <v>1512</v>
      </c>
      <c r="F392" s="6">
        <v>2250</v>
      </c>
      <c r="G392" s="6">
        <f t="shared" si="138"/>
        <v>1694</v>
      </c>
      <c r="H392" s="5">
        <v>0.98946748509835136</v>
      </c>
      <c r="I392" s="6">
        <f t="shared" si="139"/>
        <v>1676</v>
      </c>
      <c r="J392" s="6">
        <f t="shared" si="159"/>
        <v>0</v>
      </c>
      <c r="K392" s="6">
        <f t="shared" si="140"/>
        <v>1676</v>
      </c>
      <c r="L392" s="6">
        <f t="shared" si="141"/>
        <v>1512</v>
      </c>
      <c r="M392" s="6">
        <f t="shared" si="142"/>
        <v>0</v>
      </c>
      <c r="N392" s="6">
        <f t="shared" si="143"/>
        <v>164</v>
      </c>
      <c r="O392" s="5">
        <v>2.5000000000000001E-2</v>
      </c>
      <c r="P392" s="6">
        <f t="shared" si="144"/>
        <v>4</v>
      </c>
      <c r="Q392" s="6">
        <f t="shared" si="145"/>
        <v>160</v>
      </c>
      <c r="R392" s="6">
        <v>210</v>
      </c>
      <c r="S392" s="6">
        <f t="shared" si="146"/>
        <v>1956</v>
      </c>
      <c r="T392" s="5">
        <v>0.98502402110037823</v>
      </c>
      <c r="U392" s="6">
        <f t="shared" si="147"/>
        <v>1927</v>
      </c>
      <c r="V392" s="6">
        <f t="shared" si="160"/>
        <v>0</v>
      </c>
      <c r="W392" s="6">
        <f t="shared" si="148"/>
        <v>1927</v>
      </c>
      <c r="X392" s="6">
        <f t="shared" si="149"/>
        <v>1512</v>
      </c>
      <c r="Y392" s="6">
        <f t="shared" si="150"/>
        <v>0</v>
      </c>
      <c r="Z392" s="6">
        <f t="shared" si="151"/>
        <v>415</v>
      </c>
      <c r="AA392" s="6">
        <f t="shared" si="152"/>
        <v>10</v>
      </c>
      <c r="AB392" s="6">
        <f t="shared" si="153"/>
        <v>405</v>
      </c>
      <c r="AC392" s="5">
        <f t="shared" si="154"/>
        <v>0.15476190476190477</v>
      </c>
      <c r="AD392" s="5">
        <f t="shared" si="155"/>
        <v>1</v>
      </c>
      <c r="AE392" s="5">
        <f t="shared" si="156"/>
        <v>1</v>
      </c>
      <c r="AF392" s="5">
        <f t="shared" si="157"/>
        <v>0.74488888888888893</v>
      </c>
      <c r="AG392" s="5">
        <f t="shared" si="158"/>
        <v>0.85644444444444445</v>
      </c>
    </row>
    <row r="393" spans="1:33">
      <c r="A393" s="4">
        <v>46240</v>
      </c>
      <c r="B393" s="3" t="s">
        <v>61</v>
      </c>
      <c r="C393" s="3">
        <v>2</v>
      </c>
      <c r="D393" s="6">
        <v>873</v>
      </c>
      <c r="E393" s="6">
        <v>930</v>
      </c>
      <c r="F393" s="6">
        <v>1200</v>
      </c>
      <c r="G393" s="6">
        <f t="shared" si="138"/>
        <v>847</v>
      </c>
      <c r="H393" s="5">
        <v>0.99252977363342432</v>
      </c>
      <c r="I393" s="6">
        <f t="shared" si="139"/>
        <v>841</v>
      </c>
      <c r="J393" s="6">
        <f t="shared" si="159"/>
        <v>28</v>
      </c>
      <c r="K393" s="6">
        <f t="shared" si="140"/>
        <v>869</v>
      </c>
      <c r="L393" s="6">
        <f t="shared" si="141"/>
        <v>869</v>
      </c>
      <c r="M393" s="6">
        <f t="shared" si="142"/>
        <v>61</v>
      </c>
      <c r="N393" s="6">
        <f t="shared" si="143"/>
        <v>0</v>
      </c>
      <c r="O393" s="5">
        <v>0.03</v>
      </c>
      <c r="P393" s="6">
        <f t="shared" si="144"/>
        <v>0</v>
      </c>
      <c r="Q393" s="6">
        <f t="shared" si="145"/>
        <v>0</v>
      </c>
      <c r="R393" s="6">
        <v>105</v>
      </c>
      <c r="S393" s="6">
        <f t="shared" si="146"/>
        <v>886</v>
      </c>
      <c r="T393" s="5">
        <v>0.98241363728613074</v>
      </c>
      <c r="U393" s="6">
        <f t="shared" si="147"/>
        <v>870</v>
      </c>
      <c r="V393" s="6">
        <f t="shared" si="160"/>
        <v>92</v>
      </c>
      <c r="W393" s="6">
        <f t="shared" si="148"/>
        <v>962</v>
      </c>
      <c r="X393" s="6">
        <f t="shared" si="149"/>
        <v>930</v>
      </c>
      <c r="Y393" s="6">
        <f t="shared" si="150"/>
        <v>0</v>
      </c>
      <c r="Z393" s="6">
        <f t="shared" si="151"/>
        <v>32</v>
      </c>
      <c r="AA393" s="6">
        <f t="shared" si="152"/>
        <v>1</v>
      </c>
      <c r="AB393" s="6">
        <f t="shared" si="153"/>
        <v>31</v>
      </c>
      <c r="AC393" s="5">
        <f t="shared" si="154"/>
        <v>6.1290322580645158E-2</v>
      </c>
      <c r="AD393" s="5">
        <f t="shared" si="155"/>
        <v>0.93440860215053767</v>
      </c>
      <c r="AE393" s="5">
        <f t="shared" si="156"/>
        <v>1</v>
      </c>
      <c r="AF393" s="5">
        <f t="shared" si="157"/>
        <v>0.70083333333333331</v>
      </c>
      <c r="AG393" s="5">
        <f t="shared" si="158"/>
        <v>0.72499999999999998</v>
      </c>
    </row>
    <row r="394" spans="1:33">
      <c r="A394" s="4">
        <v>46240</v>
      </c>
      <c r="B394" s="3" t="s">
        <v>62</v>
      </c>
      <c r="C394" s="3">
        <v>7</v>
      </c>
      <c r="D394" s="6">
        <v>514</v>
      </c>
      <c r="E394" s="6">
        <v>580</v>
      </c>
      <c r="F394" s="6">
        <v>700</v>
      </c>
      <c r="G394" s="6">
        <f t="shared" si="138"/>
        <v>499</v>
      </c>
      <c r="H394" s="5">
        <v>0.99409852715463776</v>
      </c>
      <c r="I394" s="6">
        <f t="shared" si="139"/>
        <v>496</v>
      </c>
      <c r="J394" s="6">
        <f t="shared" si="159"/>
        <v>38</v>
      </c>
      <c r="K394" s="6">
        <f t="shared" si="140"/>
        <v>534</v>
      </c>
      <c r="L394" s="6">
        <f t="shared" si="141"/>
        <v>534</v>
      </c>
      <c r="M394" s="6">
        <f t="shared" si="142"/>
        <v>46</v>
      </c>
      <c r="N394" s="6">
        <f t="shared" si="143"/>
        <v>0</v>
      </c>
      <c r="O394" s="5">
        <v>1.7999999999999999E-2</v>
      </c>
      <c r="P394" s="6">
        <f t="shared" si="144"/>
        <v>0</v>
      </c>
      <c r="Q394" s="6">
        <f t="shared" si="145"/>
        <v>0</v>
      </c>
      <c r="R394" s="6">
        <v>93</v>
      </c>
      <c r="S394" s="6">
        <f t="shared" si="146"/>
        <v>472</v>
      </c>
      <c r="T394" s="5">
        <v>0.99585664976044541</v>
      </c>
      <c r="U394" s="6">
        <f t="shared" si="147"/>
        <v>470</v>
      </c>
      <c r="V394" s="6">
        <f t="shared" si="160"/>
        <v>135</v>
      </c>
      <c r="W394" s="6">
        <f t="shared" si="148"/>
        <v>605</v>
      </c>
      <c r="X394" s="6">
        <f t="shared" si="149"/>
        <v>580</v>
      </c>
      <c r="Y394" s="6">
        <f t="shared" si="150"/>
        <v>0</v>
      </c>
      <c r="Z394" s="6">
        <f t="shared" si="151"/>
        <v>25</v>
      </c>
      <c r="AA394" s="6">
        <f t="shared" si="152"/>
        <v>0</v>
      </c>
      <c r="AB394" s="6">
        <f t="shared" si="153"/>
        <v>25</v>
      </c>
      <c r="AC394" s="5">
        <f t="shared" si="154"/>
        <v>0.11379310344827587</v>
      </c>
      <c r="AD394" s="5">
        <f t="shared" si="155"/>
        <v>0.92068965517241375</v>
      </c>
      <c r="AE394" s="5">
        <f t="shared" si="156"/>
        <v>1</v>
      </c>
      <c r="AF394" s="5">
        <f t="shared" si="157"/>
        <v>0.70857142857142852</v>
      </c>
      <c r="AG394" s="5">
        <f t="shared" si="158"/>
        <v>0.67142857142857137</v>
      </c>
    </row>
    <row r="395" spans="1:33">
      <c r="A395" s="4">
        <v>46240</v>
      </c>
      <c r="B395" s="3" t="s">
        <v>63</v>
      </c>
      <c r="C395" s="3">
        <v>7</v>
      </c>
      <c r="D395" s="6">
        <v>411</v>
      </c>
      <c r="E395" s="6">
        <v>469</v>
      </c>
      <c r="F395" s="6">
        <v>560</v>
      </c>
      <c r="G395" s="6">
        <f t="shared" si="138"/>
        <v>399</v>
      </c>
      <c r="H395" s="5">
        <v>0.99831984450885514</v>
      </c>
      <c r="I395" s="6">
        <f t="shared" si="139"/>
        <v>398</v>
      </c>
      <c r="J395" s="6">
        <f t="shared" si="159"/>
        <v>66</v>
      </c>
      <c r="K395" s="6">
        <f t="shared" si="140"/>
        <v>464</v>
      </c>
      <c r="L395" s="6">
        <f t="shared" si="141"/>
        <v>464</v>
      </c>
      <c r="M395" s="6">
        <f t="shared" si="142"/>
        <v>5</v>
      </c>
      <c r="N395" s="6">
        <f t="shared" si="143"/>
        <v>0</v>
      </c>
      <c r="O395" s="5">
        <v>0.02</v>
      </c>
      <c r="P395" s="6">
        <f t="shared" si="144"/>
        <v>0</v>
      </c>
      <c r="Q395" s="6">
        <f t="shared" si="145"/>
        <v>0</v>
      </c>
      <c r="R395" s="6">
        <v>74</v>
      </c>
      <c r="S395" s="6">
        <f t="shared" si="146"/>
        <v>464</v>
      </c>
      <c r="T395" s="5">
        <v>1.0182010297587631</v>
      </c>
      <c r="U395" s="6">
        <f t="shared" si="147"/>
        <v>472</v>
      </c>
      <c r="V395" s="6">
        <f t="shared" si="160"/>
        <v>21</v>
      </c>
      <c r="W395" s="6">
        <f t="shared" si="148"/>
        <v>493</v>
      </c>
      <c r="X395" s="6">
        <f t="shared" si="149"/>
        <v>469</v>
      </c>
      <c r="Y395" s="6">
        <f t="shared" si="150"/>
        <v>0</v>
      </c>
      <c r="Z395" s="6">
        <f t="shared" si="151"/>
        <v>24</v>
      </c>
      <c r="AA395" s="6">
        <f t="shared" si="152"/>
        <v>0</v>
      </c>
      <c r="AB395" s="6">
        <f t="shared" si="153"/>
        <v>24</v>
      </c>
      <c r="AC395" s="5">
        <f t="shared" si="154"/>
        <v>0.12366737739872068</v>
      </c>
      <c r="AD395" s="5">
        <f t="shared" si="155"/>
        <v>0.98933901918976541</v>
      </c>
      <c r="AE395" s="5">
        <f t="shared" si="156"/>
        <v>1</v>
      </c>
      <c r="AF395" s="5">
        <f t="shared" si="157"/>
        <v>0.71071428571428574</v>
      </c>
      <c r="AG395" s="5">
        <f t="shared" si="158"/>
        <v>0.84285714285714286</v>
      </c>
    </row>
    <row r="396" spans="1:33">
      <c r="A396" s="4">
        <v>46240</v>
      </c>
      <c r="B396" s="3" t="s">
        <v>64</v>
      </c>
      <c r="C396" s="3">
        <v>5</v>
      </c>
      <c r="D396" s="6">
        <v>164</v>
      </c>
      <c r="E396" s="6">
        <v>157</v>
      </c>
      <c r="F396" s="6">
        <v>230</v>
      </c>
      <c r="G396" s="6">
        <f t="shared" si="138"/>
        <v>159</v>
      </c>
      <c r="H396" s="5">
        <v>0.99399868891395915</v>
      </c>
      <c r="I396" s="6">
        <f t="shared" si="139"/>
        <v>158</v>
      </c>
      <c r="J396" s="6">
        <f t="shared" si="159"/>
        <v>9</v>
      </c>
      <c r="K396" s="6">
        <f t="shared" si="140"/>
        <v>167</v>
      </c>
      <c r="L396" s="6">
        <f t="shared" si="141"/>
        <v>157</v>
      </c>
      <c r="M396" s="6">
        <f t="shared" si="142"/>
        <v>0</v>
      </c>
      <c r="N396" s="6">
        <f t="shared" si="143"/>
        <v>10</v>
      </c>
      <c r="O396" s="5">
        <v>2.5000000000000001E-2</v>
      </c>
      <c r="P396" s="6">
        <f t="shared" si="144"/>
        <v>0</v>
      </c>
      <c r="Q396" s="6">
        <f t="shared" si="145"/>
        <v>10</v>
      </c>
      <c r="R396" s="6">
        <v>33</v>
      </c>
      <c r="S396" s="6">
        <f t="shared" si="146"/>
        <v>150</v>
      </c>
      <c r="T396" s="5">
        <v>1.0017244017577089</v>
      </c>
      <c r="U396" s="6">
        <f t="shared" si="147"/>
        <v>150</v>
      </c>
      <c r="V396" s="6">
        <f t="shared" si="160"/>
        <v>47</v>
      </c>
      <c r="W396" s="6">
        <f t="shared" si="148"/>
        <v>197</v>
      </c>
      <c r="X396" s="6">
        <f t="shared" si="149"/>
        <v>157</v>
      </c>
      <c r="Y396" s="6">
        <f t="shared" si="150"/>
        <v>0</v>
      </c>
      <c r="Z396" s="6">
        <f t="shared" si="151"/>
        <v>40</v>
      </c>
      <c r="AA396" s="6">
        <f t="shared" si="152"/>
        <v>1</v>
      </c>
      <c r="AB396" s="6">
        <f t="shared" si="153"/>
        <v>39</v>
      </c>
      <c r="AC396" s="5">
        <f t="shared" si="154"/>
        <v>4.4585987261146494E-2</v>
      </c>
      <c r="AD396" s="5">
        <f t="shared" si="155"/>
        <v>1</v>
      </c>
      <c r="AE396" s="5">
        <f t="shared" si="156"/>
        <v>1</v>
      </c>
      <c r="AF396" s="5">
        <f t="shared" si="157"/>
        <v>0.68695652173913047</v>
      </c>
      <c r="AG396" s="5">
        <f t="shared" si="158"/>
        <v>0.65217391304347827</v>
      </c>
    </row>
    <row r="397" spans="1:33">
      <c r="A397" s="4">
        <v>46241</v>
      </c>
      <c r="B397" s="3" t="s">
        <v>60</v>
      </c>
      <c r="C397" s="3">
        <v>2</v>
      </c>
      <c r="D397" s="6">
        <v>1817</v>
      </c>
      <c r="E397" s="6">
        <v>2048</v>
      </c>
      <c r="F397" s="6">
        <v>2250</v>
      </c>
      <c r="G397" s="6">
        <f t="shared" si="138"/>
        <v>1762</v>
      </c>
      <c r="H397" s="5">
        <v>0.98368703642930067</v>
      </c>
      <c r="I397" s="6">
        <f t="shared" si="139"/>
        <v>1733</v>
      </c>
      <c r="J397" s="6">
        <f t="shared" si="159"/>
        <v>160</v>
      </c>
      <c r="K397" s="6">
        <f t="shared" si="140"/>
        <v>1893</v>
      </c>
      <c r="L397" s="6">
        <f t="shared" si="141"/>
        <v>1893</v>
      </c>
      <c r="M397" s="6">
        <f t="shared" si="142"/>
        <v>155</v>
      </c>
      <c r="N397" s="6">
        <f t="shared" si="143"/>
        <v>0</v>
      </c>
      <c r="O397" s="5">
        <v>2.5000000000000001E-2</v>
      </c>
      <c r="P397" s="6">
        <f t="shared" si="144"/>
        <v>0</v>
      </c>
      <c r="Q397" s="6">
        <f t="shared" si="145"/>
        <v>0</v>
      </c>
      <c r="R397" s="6">
        <v>218</v>
      </c>
      <c r="S397" s="6">
        <f t="shared" si="146"/>
        <v>1630</v>
      </c>
      <c r="T397" s="5">
        <v>1.0172078094707211</v>
      </c>
      <c r="U397" s="6">
        <f t="shared" si="147"/>
        <v>1658</v>
      </c>
      <c r="V397" s="6">
        <f t="shared" si="160"/>
        <v>405</v>
      </c>
      <c r="W397" s="6">
        <f t="shared" si="148"/>
        <v>2063</v>
      </c>
      <c r="X397" s="6">
        <f t="shared" si="149"/>
        <v>2048</v>
      </c>
      <c r="Y397" s="6">
        <f t="shared" si="150"/>
        <v>0</v>
      </c>
      <c r="Z397" s="6">
        <f t="shared" si="151"/>
        <v>15</v>
      </c>
      <c r="AA397" s="6">
        <f t="shared" si="152"/>
        <v>0</v>
      </c>
      <c r="AB397" s="6">
        <f t="shared" si="153"/>
        <v>15</v>
      </c>
      <c r="AC397" s="5">
        <f t="shared" si="154"/>
        <v>0.11279296875</v>
      </c>
      <c r="AD397" s="5">
        <f t="shared" si="155"/>
        <v>0.92431640625</v>
      </c>
      <c r="AE397" s="5">
        <f t="shared" si="156"/>
        <v>1</v>
      </c>
      <c r="AF397" s="5">
        <f t="shared" si="157"/>
        <v>0.77022222222222225</v>
      </c>
      <c r="AG397" s="5">
        <f t="shared" si="158"/>
        <v>0.73688888888888893</v>
      </c>
    </row>
    <row r="398" spans="1:33">
      <c r="A398" s="4">
        <v>46241</v>
      </c>
      <c r="B398" s="3" t="s">
        <v>61</v>
      </c>
      <c r="C398" s="3">
        <v>2</v>
      </c>
      <c r="D398" s="6">
        <v>908</v>
      </c>
      <c r="E398" s="6">
        <v>867</v>
      </c>
      <c r="F398" s="6">
        <v>1200</v>
      </c>
      <c r="G398" s="6">
        <f t="shared" si="138"/>
        <v>881</v>
      </c>
      <c r="H398" s="5">
        <v>1.0060648683268076</v>
      </c>
      <c r="I398" s="6">
        <f t="shared" si="139"/>
        <v>886</v>
      </c>
      <c r="J398" s="6">
        <f t="shared" si="159"/>
        <v>0</v>
      </c>
      <c r="K398" s="6">
        <f t="shared" si="140"/>
        <v>886</v>
      </c>
      <c r="L398" s="6">
        <f t="shared" si="141"/>
        <v>867</v>
      </c>
      <c r="M398" s="6">
        <f t="shared" si="142"/>
        <v>0</v>
      </c>
      <c r="N398" s="6">
        <f t="shared" si="143"/>
        <v>19</v>
      </c>
      <c r="O398" s="5">
        <v>0.03</v>
      </c>
      <c r="P398" s="6">
        <f t="shared" si="144"/>
        <v>1</v>
      </c>
      <c r="Q398" s="6">
        <f t="shared" si="145"/>
        <v>18</v>
      </c>
      <c r="R398" s="6">
        <v>109</v>
      </c>
      <c r="S398" s="6">
        <f t="shared" si="146"/>
        <v>986</v>
      </c>
      <c r="T398" s="5">
        <v>1.0012178633671729</v>
      </c>
      <c r="U398" s="6">
        <f t="shared" si="147"/>
        <v>987</v>
      </c>
      <c r="V398" s="6">
        <f t="shared" si="160"/>
        <v>31</v>
      </c>
      <c r="W398" s="6">
        <f t="shared" si="148"/>
        <v>1018</v>
      </c>
      <c r="X398" s="6">
        <f t="shared" si="149"/>
        <v>867</v>
      </c>
      <c r="Y398" s="6">
        <f t="shared" si="150"/>
        <v>0</v>
      </c>
      <c r="Z398" s="6">
        <f t="shared" si="151"/>
        <v>151</v>
      </c>
      <c r="AA398" s="6">
        <f t="shared" si="152"/>
        <v>5</v>
      </c>
      <c r="AB398" s="6">
        <f t="shared" si="153"/>
        <v>146</v>
      </c>
      <c r="AC398" s="5">
        <f t="shared" si="154"/>
        <v>4.7289504036908882E-2</v>
      </c>
      <c r="AD398" s="5">
        <f t="shared" si="155"/>
        <v>1</v>
      </c>
      <c r="AE398" s="5">
        <f t="shared" si="156"/>
        <v>1</v>
      </c>
      <c r="AF398" s="5">
        <f t="shared" si="157"/>
        <v>0.73833333333333329</v>
      </c>
      <c r="AG398" s="5">
        <f t="shared" si="158"/>
        <v>0.82250000000000001</v>
      </c>
    </row>
    <row r="399" spans="1:33">
      <c r="A399" s="4">
        <v>46241</v>
      </c>
      <c r="B399" s="3" t="s">
        <v>62</v>
      </c>
      <c r="C399" s="3">
        <v>7</v>
      </c>
      <c r="D399" s="6">
        <v>534</v>
      </c>
      <c r="E399" s="6">
        <v>500</v>
      </c>
      <c r="F399" s="6">
        <v>700</v>
      </c>
      <c r="G399" s="6">
        <f t="shared" si="138"/>
        <v>518</v>
      </c>
      <c r="H399" s="5">
        <v>0.99176847820337599</v>
      </c>
      <c r="I399" s="6">
        <f t="shared" si="139"/>
        <v>514</v>
      </c>
      <c r="J399" s="6">
        <f t="shared" si="159"/>
        <v>0</v>
      </c>
      <c r="K399" s="6">
        <f t="shared" si="140"/>
        <v>514</v>
      </c>
      <c r="L399" s="6">
        <f t="shared" si="141"/>
        <v>500</v>
      </c>
      <c r="M399" s="6">
        <f t="shared" si="142"/>
        <v>0</v>
      </c>
      <c r="N399" s="6">
        <f t="shared" si="143"/>
        <v>14</v>
      </c>
      <c r="O399" s="5">
        <v>1.7999999999999999E-2</v>
      </c>
      <c r="P399" s="6">
        <f t="shared" si="144"/>
        <v>0</v>
      </c>
      <c r="Q399" s="6">
        <f t="shared" si="145"/>
        <v>14</v>
      </c>
      <c r="R399" s="6">
        <v>96</v>
      </c>
      <c r="S399" s="6">
        <f t="shared" si="146"/>
        <v>605</v>
      </c>
      <c r="T399" s="5">
        <v>1.017680780284747</v>
      </c>
      <c r="U399" s="6">
        <f t="shared" si="147"/>
        <v>616</v>
      </c>
      <c r="V399" s="6">
        <f t="shared" si="160"/>
        <v>25</v>
      </c>
      <c r="W399" s="6">
        <f t="shared" si="148"/>
        <v>641</v>
      </c>
      <c r="X399" s="6">
        <f t="shared" si="149"/>
        <v>500</v>
      </c>
      <c r="Y399" s="6">
        <f t="shared" si="150"/>
        <v>0</v>
      </c>
      <c r="Z399" s="6">
        <f t="shared" si="151"/>
        <v>141</v>
      </c>
      <c r="AA399" s="6">
        <f t="shared" si="152"/>
        <v>3</v>
      </c>
      <c r="AB399" s="6">
        <f t="shared" si="153"/>
        <v>138</v>
      </c>
      <c r="AC399" s="5">
        <f t="shared" si="154"/>
        <v>6.8000000000000005E-2</v>
      </c>
      <c r="AD399" s="5">
        <f t="shared" si="155"/>
        <v>1</v>
      </c>
      <c r="AE399" s="5">
        <f t="shared" si="156"/>
        <v>1</v>
      </c>
      <c r="AF399" s="5">
        <f t="shared" si="157"/>
        <v>0.73428571428571432</v>
      </c>
      <c r="AG399" s="5">
        <f t="shared" si="158"/>
        <v>0.88</v>
      </c>
    </row>
    <row r="400" spans="1:33">
      <c r="A400" s="4">
        <v>46241</v>
      </c>
      <c r="B400" s="3" t="s">
        <v>63</v>
      </c>
      <c r="C400" s="3">
        <v>7</v>
      </c>
      <c r="D400" s="6">
        <v>428</v>
      </c>
      <c r="E400" s="6">
        <v>365</v>
      </c>
      <c r="F400" s="6">
        <v>560</v>
      </c>
      <c r="G400" s="6">
        <f t="shared" si="138"/>
        <v>415</v>
      </c>
      <c r="H400" s="5">
        <v>0.98288969973366858</v>
      </c>
      <c r="I400" s="6">
        <f t="shared" si="139"/>
        <v>408</v>
      </c>
      <c r="J400" s="6">
        <f t="shared" si="159"/>
        <v>0</v>
      </c>
      <c r="K400" s="6">
        <f t="shared" si="140"/>
        <v>408</v>
      </c>
      <c r="L400" s="6">
        <f t="shared" si="141"/>
        <v>365</v>
      </c>
      <c r="M400" s="6">
        <f t="shared" si="142"/>
        <v>0</v>
      </c>
      <c r="N400" s="6">
        <f t="shared" si="143"/>
        <v>43</v>
      </c>
      <c r="O400" s="5">
        <v>0.02</v>
      </c>
      <c r="P400" s="6">
        <f t="shared" si="144"/>
        <v>1</v>
      </c>
      <c r="Q400" s="6">
        <f t="shared" si="145"/>
        <v>42</v>
      </c>
      <c r="R400" s="6">
        <v>77</v>
      </c>
      <c r="S400" s="6">
        <f t="shared" si="146"/>
        <v>481</v>
      </c>
      <c r="T400" s="5">
        <v>1.010198890141758</v>
      </c>
      <c r="U400" s="6">
        <f t="shared" si="147"/>
        <v>486</v>
      </c>
      <c r="V400" s="6">
        <f t="shared" si="160"/>
        <v>24</v>
      </c>
      <c r="W400" s="6">
        <f t="shared" si="148"/>
        <v>510</v>
      </c>
      <c r="X400" s="6">
        <f t="shared" si="149"/>
        <v>365</v>
      </c>
      <c r="Y400" s="6">
        <f t="shared" si="150"/>
        <v>0</v>
      </c>
      <c r="Z400" s="6">
        <f t="shared" si="151"/>
        <v>145</v>
      </c>
      <c r="AA400" s="6">
        <f t="shared" si="152"/>
        <v>3</v>
      </c>
      <c r="AB400" s="6">
        <f t="shared" si="153"/>
        <v>142</v>
      </c>
      <c r="AC400" s="5">
        <f t="shared" si="154"/>
        <v>0.17260273972602741</v>
      </c>
      <c r="AD400" s="5">
        <f t="shared" si="155"/>
        <v>1</v>
      </c>
      <c r="AE400" s="5">
        <f t="shared" si="156"/>
        <v>1</v>
      </c>
      <c r="AF400" s="5">
        <f t="shared" si="157"/>
        <v>0.72857142857142854</v>
      </c>
      <c r="AG400" s="5">
        <f t="shared" si="158"/>
        <v>0.86785714285714288</v>
      </c>
    </row>
    <row r="401" spans="1:33">
      <c r="A401" s="4">
        <v>46241</v>
      </c>
      <c r="B401" s="3" t="s">
        <v>64</v>
      </c>
      <c r="C401" s="3">
        <v>5</v>
      </c>
      <c r="D401" s="6">
        <v>171</v>
      </c>
      <c r="E401" s="6">
        <v>158</v>
      </c>
      <c r="F401" s="6">
        <v>230</v>
      </c>
      <c r="G401" s="6">
        <f t="shared" si="138"/>
        <v>166</v>
      </c>
      <c r="H401" s="5">
        <v>0.99052392195178995</v>
      </c>
      <c r="I401" s="6">
        <f t="shared" si="139"/>
        <v>164</v>
      </c>
      <c r="J401" s="6">
        <f t="shared" si="159"/>
        <v>10</v>
      </c>
      <c r="K401" s="6">
        <f t="shared" si="140"/>
        <v>174</v>
      </c>
      <c r="L401" s="6">
        <f t="shared" si="141"/>
        <v>158</v>
      </c>
      <c r="M401" s="6">
        <f t="shared" si="142"/>
        <v>0</v>
      </c>
      <c r="N401" s="6">
        <f t="shared" si="143"/>
        <v>16</v>
      </c>
      <c r="O401" s="5">
        <v>2.5000000000000001E-2</v>
      </c>
      <c r="P401" s="6">
        <f t="shared" si="144"/>
        <v>0</v>
      </c>
      <c r="Q401" s="6">
        <f t="shared" si="145"/>
        <v>16</v>
      </c>
      <c r="R401" s="6">
        <v>34</v>
      </c>
      <c r="S401" s="6">
        <f t="shared" si="146"/>
        <v>166</v>
      </c>
      <c r="T401" s="5">
        <v>1.0058966780924996</v>
      </c>
      <c r="U401" s="6">
        <f t="shared" si="147"/>
        <v>167</v>
      </c>
      <c r="V401" s="6">
        <f t="shared" si="160"/>
        <v>39</v>
      </c>
      <c r="W401" s="6">
        <f t="shared" si="148"/>
        <v>206</v>
      </c>
      <c r="X401" s="6">
        <f t="shared" si="149"/>
        <v>158</v>
      </c>
      <c r="Y401" s="6">
        <f t="shared" si="150"/>
        <v>0</v>
      </c>
      <c r="Z401" s="6">
        <f t="shared" si="151"/>
        <v>48</v>
      </c>
      <c r="AA401" s="6">
        <f t="shared" si="152"/>
        <v>1</v>
      </c>
      <c r="AB401" s="6">
        <f t="shared" si="153"/>
        <v>47</v>
      </c>
      <c r="AC401" s="5">
        <f t="shared" si="154"/>
        <v>8.2278481012658222E-2</v>
      </c>
      <c r="AD401" s="5">
        <f t="shared" si="155"/>
        <v>1</v>
      </c>
      <c r="AE401" s="5">
        <f t="shared" si="156"/>
        <v>1</v>
      </c>
      <c r="AF401" s="5">
        <f t="shared" si="157"/>
        <v>0.71304347826086956</v>
      </c>
      <c r="AG401" s="5">
        <f t="shared" si="158"/>
        <v>0.72608695652173916</v>
      </c>
    </row>
    <row r="402" spans="1:33">
      <c r="A402" s="4">
        <v>46242</v>
      </c>
      <c r="B402" s="3" t="s">
        <v>60</v>
      </c>
      <c r="C402" s="3">
        <v>2</v>
      </c>
      <c r="D402" s="6">
        <v>1992</v>
      </c>
      <c r="E402" s="6">
        <v>1769</v>
      </c>
      <c r="F402" s="6">
        <v>2250</v>
      </c>
      <c r="G402" s="6">
        <f t="shared" si="138"/>
        <v>1932</v>
      </c>
      <c r="H402" s="5">
        <v>1.0084557971030363</v>
      </c>
      <c r="I402" s="6">
        <f t="shared" si="139"/>
        <v>1948</v>
      </c>
      <c r="J402" s="6">
        <f t="shared" si="159"/>
        <v>0</v>
      </c>
      <c r="K402" s="6">
        <f t="shared" si="140"/>
        <v>1948</v>
      </c>
      <c r="L402" s="6">
        <f t="shared" si="141"/>
        <v>1769</v>
      </c>
      <c r="M402" s="6">
        <f t="shared" si="142"/>
        <v>0</v>
      </c>
      <c r="N402" s="6">
        <f t="shared" si="143"/>
        <v>179</v>
      </c>
      <c r="O402" s="5">
        <v>2.5000000000000001E-2</v>
      </c>
      <c r="P402" s="6">
        <f t="shared" si="144"/>
        <v>4</v>
      </c>
      <c r="Q402" s="6">
        <f t="shared" si="145"/>
        <v>175</v>
      </c>
      <c r="R402" s="6">
        <v>239</v>
      </c>
      <c r="S402" s="6">
        <f t="shared" si="146"/>
        <v>2216</v>
      </c>
      <c r="T402" s="5">
        <v>1.0080594052898886</v>
      </c>
      <c r="U402" s="6">
        <f t="shared" si="147"/>
        <v>2234</v>
      </c>
      <c r="V402" s="6">
        <f t="shared" si="160"/>
        <v>15</v>
      </c>
      <c r="W402" s="6">
        <f t="shared" si="148"/>
        <v>2249</v>
      </c>
      <c r="X402" s="6">
        <f t="shared" si="149"/>
        <v>1769</v>
      </c>
      <c r="Y402" s="6">
        <f t="shared" si="150"/>
        <v>0</v>
      </c>
      <c r="Z402" s="6">
        <f t="shared" si="151"/>
        <v>480</v>
      </c>
      <c r="AA402" s="6">
        <f t="shared" si="152"/>
        <v>12</v>
      </c>
      <c r="AB402" s="6">
        <f t="shared" si="153"/>
        <v>468</v>
      </c>
      <c r="AC402" s="5">
        <f t="shared" si="154"/>
        <v>0.1260599208592425</v>
      </c>
      <c r="AD402" s="5">
        <f t="shared" si="155"/>
        <v>1</v>
      </c>
      <c r="AE402" s="5">
        <f t="shared" si="156"/>
        <v>1</v>
      </c>
      <c r="AF402" s="5">
        <f t="shared" si="157"/>
        <v>0.86577777777777776</v>
      </c>
      <c r="AG402" s="5">
        <f t="shared" si="158"/>
        <v>0.99288888888888893</v>
      </c>
    </row>
    <row r="403" spans="1:33">
      <c r="A403" s="4">
        <v>46242</v>
      </c>
      <c r="B403" s="3" t="s">
        <v>61</v>
      </c>
      <c r="C403" s="3">
        <v>2</v>
      </c>
      <c r="D403" s="6">
        <v>996</v>
      </c>
      <c r="E403" s="6">
        <v>1153</v>
      </c>
      <c r="F403" s="6">
        <v>1200</v>
      </c>
      <c r="G403" s="6">
        <f t="shared" si="138"/>
        <v>966</v>
      </c>
      <c r="H403" s="5">
        <v>1.01211342534239</v>
      </c>
      <c r="I403" s="6">
        <f t="shared" si="139"/>
        <v>978</v>
      </c>
      <c r="J403" s="6">
        <f t="shared" si="159"/>
        <v>18</v>
      </c>
      <c r="K403" s="6">
        <f t="shared" si="140"/>
        <v>996</v>
      </c>
      <c r="L403" s="6">
        <f t="shared" si="141"/>
        <v>996</v>
      </c>
      <c r="M403" s="6">
        <f t="shared" si="142"/>
        <v>157</v>
      </c>
      <c r="N403" s="6">
        <f t="shared" si="143"/>
        <v>0</v>
      </c>
      <c r="O403" s="5">
        <v>0.03</v>
      </c>
      <c r="P403" s="6">
        <f t="shared" si="144"/>
        <v>0</v>
      </c>
      <c r="Q403" s="6">
        <f t="shared" si="145"/>
        <v>0</v>
      </c>
      <c r="R403" s="6">
        <v>120</v>
      </c>
      <c r="S403" s="6">
        <f t="shared" si="146"/>
        <v>970</v>
      </c>
      <c r="T403" s="5">
        <v>0.99177803646647922</v>
      </c>
      <c r="U403" s="6">
        <f t="shared" si="147"/>
        <v>962</v>
      </c>
      <c r="V403" s="6">
        <f t="shared" si="160"/>
        <v>146</v>
      </c>
      <c r="W403" s="6">
        <f t="shared" si="148"/>
        <v>1108</v>
      </c>
      <c r="X403" s="6">
        <f t="shared" si="149"/>
        <v>1108</v>
      </c>
      <c r="Y403" s="6">
        <f t="shared" si="150"/>
        <v>45</v>
      </c>
      <c r="Z403" s="6">
        <f t="shared" si="151"/>
        <v>0</v>
      </c>
      <c r="AA403" s="6">
        <f t="shared" si="152"/>
        <v>0</v>
      </c>
      <c r="AB403" s="6">
        <f t="shared" si="153"/>
        <v>0</v>
      </c>
      <c r="AC403" s="5">
        <f t="shared" si="154"/>
        <v>0.13616652211621855</v>
      </c>
      <c r="AD403" s="5">
        <f t="shared" si="155"/>
        <v>0.8638334778837814</v>
      </c>
      <c r="AE403" s="5">
        <f t="shared" si="156"/>
        <v>0.96097137901127494</v>
      </c>
      <c r="AF403" s="5">
        <f t="shared" si="157"/>
        <v>0.81499999999999995</v>
      </c>
      <c r="AG403" s="5">
        <f t="shared" si="158"/>
        <v>0.80166666666666664</v>
      </c>
    </row>
    <row r="404" spans="1:33">
      <c r="A404" s="4">
        <v>46242</v>
      </c>
      <c r="B404" s="3" t="s">
        <v>62</v>
      </c>
      <c r="C404" s="3">
        <v>7</v>
      </c>
      <c r="D404" s="6">
        <v>586</v>
      </c>
      <c r="E404" s="6">
        <v>564</v>
      </c>
      <c r="F404" s="6">
        <v>700</v>
      </c>
      <c r="G404" s="6">
        <f t="shared" si="138"/>
        <v>568</v>
      </c>
      <c r="H404" s="5">
        <v>0.99097468655696186</v>
      </c>
      <c r="I404" s="6">
        <f t="shared" si="139"/>
        <v>563</v>
      </c>
      <c r="J404" s="6">
        <f t="shared" si="159"/>
        <v>14</v>
      </c>
      <c r="K404" s="6">
        <f t="shared" si="140"/>
        <v>577</v>
      </c>
      <c r="L404" s="6">
        <f t="shared" si="141"/>
        <v>564</v>
      </c>
      <c r="M404" s="6">
        <f t="shared" si="142"/>
        <v>0</v>
      </c>
      <c r="N404" s="6">
        <f t="shared" si="143"/>
        <v>13</v>
      </c>
      <c r="O404" s="5">
        <v>1.7999999999999999E-2</v>
      </c>
      <c r="P404" s="6">
        <f t="shared" si="144"/>
        <v>0</v>
      </c>
      <c r="Q404" s="6">
        <f t="shared" si="145"/>
        <v>13</v>
      </c>
      <c r="R404" s="6">
        <v>105</v>
      </c>
      <c r="S404" s="6">
        <f t="shared" si="146"/>
        <v>553</v>
      </c>
      <c r="T404" s="5">
        <v>1.008867274574007</v>
      </c>
      <c r="U404" s="6">
        <f t="shared" si="147"/>
        <v>558</v>
      </c>
      <c r="V404" s="6">
        <f t="shared" si="160"/>
        <v>138</v>
      </c>
      <c r="W404" s="6">
        <f t="shared" si="148"/>
        <v>696</v>
      </c>
      <c r="X404" s="6">
        <f t="shared" si="149"/>
        <v>564</v>
      </c>
      <c r="Y404" s="6">
        <f t="shared" si="150"/>
        <v>0</v>
      </c>
      <c r="Z404" s="6">
        <f t="shared" si="151"/>
        <v>132</v>
      </c>
      <c r="AA404" s="6">
        <f t="shared" si="152"/>
        <v>2</v>
      </c>
      <c r="AB404" s="6">
        <f t="shared" si="153"/>
        <v>130</v>
      </c>
      <c r="AC404" s="5">
        <f t="shared" si="154"/>
        <v>3.9007092198581561E-2</v>
      </c>
      <c r="AD404" s="5">
        <f t="shared" si="155"/>
        <v>1</v>
      </c>
      <c r="AE404" s="5">
        <f t="shared" si="156"/>
        <v>1</v>
      </c>
      <c r="AF404" s="5">
        <f t="shared" si="157"/>
        <v>0.80428571428571427</v>
      </c>
      <c r="AG404" s="5">
        <f t="shared" si="158"/>
        <v>0.79714285714285715</v>
      </c>
    </row>
    <row r="405" spans="1:33">
      <c r="A405" s="4">
        <v>46242</v>
      </c>
      <c r="B405" s="3" t="s">
        <v>63</v>
      </c>
      <c r="C405" s="3">
        <v>7</v>
      </c>
      <c r="D405" s="6">
        <v>465</v>
      </c>
      <c r="E405" s="6">
        <v>464</v>
      </c>
      <c r="F405" s="6">
        <v>560</v>
      </c>
      <c r="G405" s="6">
        <f t="shared" si="138"/>
        <v>451</v>
      </c>
      <c r="H405" s="5">
        <v>1.0000981261200508</v>
      </c>
      <c r="I405" s="6">
        <f t="shared" si="139"/>
        <v>451</v>
      </c>
      <c r="J405" s="6">
        <f t="shared" si="159"/>
        <v>42</v>
      </c>
      <c r="K405" s="6">
        <f t="shared" si="140"/>
        <v>493</v>
      </c>
      <c r="L405" s="6">
        <f t="shared" si="141"/>
        <v>464</v>
      </c>
      <c r="M405" s="6">
        <f t="shared" si="142"/>
        <v>0</v>
      </c>
      <c r="N405" s="6">
        <f t="shared" si="143"/>
        <v>29</v>
      </c>
      <c r="O405" s="5">
        <v>0.02</v>
      </c>
      <c r="P405" s="6">
        <f t="shared" si="144"/>
        <v>1</v>
      </c>
      <c r="Q405" s="6">
        <f t="shared" si="145"/>
        <v>28</v>
      </c>
      <c r="R405" s="6">
        <v>84</v>
      </c>
      <c r="S405" s="6">
        <f t="shared" si="146"/>
        <v>407</v>
      </c>
      <c r="T405" s="5">
        <v>0.98136208520733303</v>
      </c>
      <c r="U405" s="6">
        <f t="shared" si="147"/>
        <v>399</v>
      </c>
      <c r="V405" s="6">
        <f t="shared" si="160"/>
        <v>142</v>
      </c>
      <c r="W405" s="6">
        <f t="shared" si="148"/>
        <v>541</v>
      </c>
      <c r="X405" s="6">
        <f t="shared" si="149"/>
        <v>464</v>
      </c>
      <c r="Y405" s="6">
        <f t="shared" si="150"/>
        <v>0</v>
      </c>
      <c r="Z405" s="6">
        <f t="shared" si="151"/>
        <v>77</v>
      </c>
      <c r="AA405" s="6">
        <f t="shared" si="152"/>
        <v>2</v>
      </c>
      <c r="AB405" s="6">
        <f t="shared" si="153"/>
        <v>75</v>
      </c>
      <c r="AC405" s="5">
        <f t="shared" si="154"/>
        <v>2.1551724137931034E-3</v>
      </c>
      <c r="AD405" s="5">
        <f t="shared" si="155"/>
        <v>1</v>
      </c>
      <c r="AE405" s="5">
        <f t="shared" si="156"/>
        <v>1</v>
      </c>
      <c r="AF405" s="5">
        <f t="shared" si="157"/>
        <v>0.80535714285714288</v>
      </c>
      <c r="AG405" s="5">
        <f t="shared" si="158"/>
        <v>0.71250000000000002</v>
      </c>
    </row>
    <row r="406" spans="1:33">
      <c r="A406" s="4">
        <v>46242</v>
      </c>
      <c r="B406" s="3" t="s">
        <v>64</v>
      </c>
      <c r="C406" s="3">
        <v>5</v>
      </c>
      <c r="D406" s="6">
        <v>184</v>
      </c>
      <c r="E406" s="6">
        <v>171</v>
      </c>
      <c r="F406" s="6">
        <v>230</v>
      </c>
      <c r="G406" s="6">
        <f t="shared" si="138"/>
        <v>178</v>
      </c>
      <c r="H406" s="5">
        <v>0.98356639086425868</v>
      </c>
      <c r="I406" s="6">
        <f t="shared" si="139"/>
        <v>175</v>
      </c>
      <c r="J406" s="6">
        <f t="shared" si="159"/>
        <v>16</v>
      </c>
      <c r="K406" s="6">
        <f t="shared" si="140"/>
        <v>191</v>
      </c>
      <c r="L406" s="6">
        <f t="shared" si="141"/>
        <v>171</v>
      </c>
      <c r="M406" s="6">
        <f t="shared" si="142"/>
        <v>0</v>
      </c>
      <c r="N406" s="6">
        <f t="shared" si="143"/>
        <v>20</v>
      </c>
      <c r="O406" s="5">
        <v>2.5000000000000001E-2</v>
      </c>
      <c r="P406" s="6">
        <f t="shared" si="144"/>
        <v>1</v>
      </c>
      <c r="Q406" s="6">
        <f t="shared" si="145"/>
        <v>19</v>
      </c>
      <c r="R406" s="6">
        <v>37</v>
      </c>
      <c r="S406" s="6">
        <f t="shared" si="146"/>
        <v>174</v>
      </c>
      <c r="T406" s="5">
        <v>1.0126115825665916</v>
      </c>
      <c r="U406" s="6">
        <f t="shared" si="147"/>
        <v>176</v>
      </c>
      <c r="V406" s="6">
        <f t="shared" si="160"/>
        <v>47</v>
      </c>
      <c r="W406" s="6">
        <f t="shared" si="148"/>
        <v>223</v>
      </c>
      <c r="X406" s="6">
        <f t="shared" si="149"/>
        <v>171</v>
      </c>
      <c r="Y406" s="6">
        <f t="shared" si="150"/>
        <v>0</v>
      </c>
      <c r="Z406" s="6">
        <f t="shared" si="151"/>
        <v>52</v>
      </c>
      <c r="AA406" s="6">
        <f t="shared" si="152"/>
        <v>1</v>
      </c>
      <c r="AB406" s="6">
        <f t="shared" si="153"/>
        <v>51</v>
      </c>
      <c r="AC406" s="5">
        <f t="shared" si="154"/>
        <v>7.6023391812865493E-2</v>
      </c>
      <c r="AD406" s="5">
        <f t="shared" si="155"/>
        <v>1</v>
      </c>
      <c r="AE406" s="5">
        <f t="shared" si="156"/>
        <v>1</v>
      </c>
      <c r="AF406" s="5">
        <f t="shared" si="157"/>
        <v>0.76086956521739135</v>
      </c>
      <c r="AG406" s="5">
        <f t="shared" si="158"/>
        <v>0.76521739130434785</v>
      </c>
    </row>
    <row r="407" spans="1:33">
      <c r="A407" s="4">
        <v>46243</v>
      </c>
      <c r="B407" s="3" t="s">
        <v>60</v>
      </c>
      <c r="C407" s="3">
        <v>2</v>
      </c>
      <c r="D407" s="6">
        <v>1958</v>
      </c>
      <c r="E407" s="6">
        <v>1751</v>
      </c>
      <c r="F407" s="6">
        <v>2250</v>
      </c>
      <c r="G407" s="6">
        <f t="shared" si="138"/>
        <v>1899</v>
      </c>
      <c r="H407" s="5">
        <v>0.9977742255941906</v>
      </c>
      <c r="I407" s="6">
        <f t="shared" si="139"/>
        <v>1895</v>
      </c>
      <c r="J407" s="6">
        <f t="shared" si="159"/>
        <v>175</v>
      </c>
      <c r="K407" s="6">
        <f t="shared" si="140"/>
        <v>2070</v>
      </c>
      <c r="L407" s="6">
        <f t="shared" si="141"/>
        <v>1751</v>
      </c>
      <c r="M407" s="6">
        <f t="shared" si="142"/>
        <v>0</v>
      </c>
      <c r="N407" s="6">
        <f t="shared" si="143"/>
        <v>319</v>
      </c>
      <c r="O407" s="5">
        <v>2.5000000000000001E-2</v>
      </c>
      <c r="P407" s="6">
        <f t="shared" si="144"/>
        <v>8</v>
      </c>
      <c r="Q407" s="6">
        <f t="shared" si="145"/>
        <v>311</v>
      </c>
      <c r="R407" s="6">
        <v>235</v>
      </c>
      <c r="S407" s="6">
        <f t="shared" si="146"/>
        <v>1725</v>
      </c>
      <c r="T407" s="5">
        <v>1.0028708599663363</v>
      </c>
      <c r="U407" s="6">
        <f t="shared" si="147"/>
        <v>1730</v>
      </c>
      <c r="V407" s="6">
        <f t="shared" si="160"/>
        <v>468</v>
      </c>
      <c r="W407" s="6">
        <f t="shared" si="148"/>
        <v>2198</v>
      </c>
      <c r="X407" s="6">
        <f t="shared" si="149"/>
        <v>1751</v>
      </c>
      <c r="Y407" s="6">
        <f t="shared" si="150"/>
        <v>0</v>
      </c>
      <c r="Z407" s="6">
        <f t="shared" si="151"/>
        <v>447</v>
      </c>
      <c r="AA407" s="6">
        <f t="shared" si="152"/>
        <v>11</v>
      </c>
      <c r="AB407" s="6">
        <f t="shared" si="153"/>
        <v>436</v>
      </c>
      <c r="AC407" s="5">
        <f t="shared" si="154"/>
        <v>0.11821816105082809</v>
      </c>
      <c r="AD407" s="5">
        <f t="shared" si="155"/>
        <v>1</v>
      </c>
      <c r="AE407" s="5">
        <f t="shared" si="156"/>
        <v>1</v>
      </c>
      <c r="AF407" s="5">
        <f t="shared" si="157"/>
        <v>0.84222222222222221</v>
      </c>
      <c r="AG407" s="5">
        <f t="shared" si="158"/>
        <v>0.76888888888888884</v>
      </c>
    </row>
    <row r="408" spans="1:33">
      <c r="A408" s="4">
        <v>46243</v>
      </c>
      <c r="B408" s="3" t="s">
        <v>61</v>
      </c>
      <c r="C408" s="3">
        <v>2</v>
      </c>
      <c r="D408" s="6">
        <v>979</v>
      </c>
      <c r="E408" s="6">
        <v>913</v>
      </c>
      <c r="F408" s="6">
        <v>1200</v>
      </c>
      <c r="G408" s="6">
        <f t="shared" si="138"/>
        <v>950</v>
      </c>
      <c r="H408" s="5">
        <v>0.98131500312955144</v>
      </c>
      <c r="I408" s="6">
        <f t="shared" si="139"/>
        <v>932</v>
      </c>
      <c r="J408" s="6">
        <f t="shared" si="159"/>
        <v>0</v>
      </c>
      <c r="K408" s="6">
        <f t="shared" si="140"/>
        <v>932</v>
      </c>
      <c r="L408" s="6">
        <f t="shared" si="141"/>
        <v>913</v>
      </c>
      <c r="M408" s="6">
        <f t="shared" si="142"/>
        <v>0</v>
      </c>
      <c r="N408" s="6">
        <f t="shared" si="143"/>
        <v>19</v>
      </c>
      <c r="O408" s="5">
        <v>0.03</v>
      </c>
      <c r="P408" s="6">
        <f t="shared" si="144"/>
        <v>1</v>
      </c>
      <c r="Q408" s="6">
        <f t="shared" si="145"/>
        <v>18</v>
      </c>
      <c r="R408" s="6">
        <v>117</v>
      </c>
      <c r="S408" s="6">
        <f t="shared" si="146"/>
        <v>1096</v>
      </c>
      <c r="T408" s="5">
        <v>0.98949027493818043</v>
      </c>
      <c r="U408" s="6">
        <f t="shared" si="147"/>
        <v>1084</v>
      </c>
      <c r="V408" s="6">
        <f t="shared" si="160"/>
        <v>0</v>
      </c>
      <c r="W408" s="6">
        <f t="shared" si="148"/>
        <v>1084</v>
      </c>
      <c r="X408" s="6">
        <f t="shared" si="149"/>
        <v>913</v>
      </c>
      <c r="Y408" s="6">
        <f t="shared" si="150"/>
        <v>0</v>
      </c>
      <c r="Z408" s="6">
        <f t="shared" si="151"/>
        <v>171</v>
      </c>
      <c r="AA408" s="6">
        <f t="shared" si="152"/>
        <v>5</v>
      </c>
      <c r="AB408" s="6">
        <f t="shared" si="153"/>
        <v>166</v>
      </c>
      <c r="AC408" s="5">
        <f t="shared" si="154"/>
        <v>7.2289156626506021E-2</v>
      </c>
      <c r="AD408" s="5">
        <f t="shared" si="155"/>
        <v>1</v>
      </c>
      <c r="AE408" s="5">
        <f t="shared" si="156"/>
        <v>1</v>
      </c>
      <c r="AF408" s="5">
        <f t="shared" si="157"/>
        <v>0.77666666666666662</v>
      </c>
      <c r="AG408" s="5">
        <f t="shared" si="158"/>
        <v>0.90333333333333332</v>
      </c>
    </row>
    <row r="409" spans="1:33">
      <c r="A409" s="4">
        <v>46243</v>
      </c>
      <c r="B409" s="3" t="s">
        <v>62</v>
      </c>
      <c r="C409" s="3">
        <v>7</v>
      </c>
      <c r="D409" s="6">
        <v>596</v>
      </c>
      <c r="E409" s="6">
        <v>649</v>
      </c>
      <c r="F409" s="6">
        <v>700</v>
      </c>
      <c r="G409" s="6">
        <f t="shared" si="138"/>
        <v>578</v>
      </c>
      <c r="H409" s="5">
        <v>1.0179642448262234</v>
      </c>
      <c r="I409" s="6">
        <f t="shared" si="139"/>
        <v>588</v>
      </c>
      <c r="J409" s="6">
        <f t="shared" si="159"/>
        <v>13</v>
      </c>
      <c r="K409" s="6">
        <f t="shared" si="140"/>
        <v>601</v>
      </c>
      <c r="L409" s="6">
        <f t="shared" si="141"/>
        <v>601</v>
      </c>
      <c r="M409" s="6">
        <f t="shared" si="142"/>
        <v>48</v>
      </c>
      <c r="N409" s="6">
        <f t="shared" si="143"/>
        <v>0</v>
      </c>
      <c r="O409" s="5">
        <v>1.7999999999999999E-2</v>
      </c>
      <c r="P409" s="6">
        <f t="shared" si="144"/>
        <v>0</v>
      </c>
      <c r="Q409" s="6">
        <f t="shared" si="145"/>
        <v>0</v>
      </c>
      <c r="R409" s="6">
        <v>107</v>
      </c>
      <c r="S409" s="6">
        <f t="shared" si="146"/>
        <v>573</v>
      </c>
      <c r="T409" s="5">
        <v>1.0102898874153874</v>
      </c>
      <c r="U409" s="6">
        <f t="shared" si="147"/>
        <v>579</v>
      </c>
      <c r="V409" s="6">
        <f t="shared" si="160"/>
        <v>130</v>
      </c>
      <c r="W409" s="6">
        <f t="shared" si="148"/>
        <v>709</v>
      </c>
      <c r="X409" s="6">
        <f t="shared" si="149"/>
        <v>649</v>
      </c>
      <c r="Y409" s="6">
        <f t="shared" si="150"/>
        <v>0</v>
      </c>
      <c r="Z409" s="6">
        <f t="shared" si="151"/>
        <v>60</v>
      </c>
      <c r="AA409" s="6">
        <f t="shared" si="152"/>
        <v>1</v>
      </c>
      <c r="AB409" s="6">
        <f t="shared" si="153"/>
        <v>59</v>
      </c>
      <c r="AC409" s="5">
        <f t="shared" si="154"/>
        <v>8.1664098613251149E-2</v>
      </c>
      <c r="AD409" s="5">
        <f t="shared" si="155"/>
        <v>0.92604006163328201</v>
      </c>
      <c r="AE409" s="5">
        <f t="shared" si="156"/>
        <v>1</v>
      </c>
      <c r="AF409" s="5">
        <f t="shared" si="157"/>
        <v>0.84</v>
      </c>
      <c r="AG409" s="5">
        <f t="shared" si="158"/>
        <v>0.82714285714285718</v>
      </c>
    </row>
    <row r="410" spans="1:33">
      <c r="A410" s="4">
        <v>46243</v>
      </c>
      <c r="B410" s="3" t="s">
        <v>63</v>
      </c>
      <c r="C410" s="3">
        <v>7</v>
      </c>
      <c r="D410" s="6">
        <v>477</v>
      </c>
      <c r="E410" s="6">
        <v>533</v>
      </c>
      <c r="F410" s="6">
        <v>560</v>
      </c>
      <c r="G410" s="6">
        <f t="shared" si="138"/>
        <v>463</v>
      </c>
      <c r="H410" s="5">
        <v>1.0161375916960877</v>
      </c>
      <c r="I410" s="6">
        <f t="shared" si="139"/>
        <v>470</v>
      </c>
      <c r="J410" s="6">
        <f t="shared" si="159"/>
        <v>28</v>
      </c>
      <c r="K410" s="6">
        <f t="shared" si="140"/>
        <v>498</v>
      </c>
      <c r="L410" s="6">
        <f t="shared" si="141"/>
        <v>498</v>
      </c>
      <c r="M410" s="6">
        <f t="shared" si="142"/>
        <v>35</v>
      </c>
      <c r="N410" s="6">
        <f t="shared" si="143"/>
        <v>0</v>
      </c>
      <c r="O410" s="5">
        <v>0.02</v>
      </c>
      <c r="P410" s="6">
        <f t="shared" si="144"/>
        <v>0</v>
      </c>
      <c r="Q410" s="6">
        <f t="shared" si="145"/>
        <v>0</v>
      </c>
      <c r="R410" s="6">
        <v>86</v>
      </c>
      <c r="S410" s="6">
        <f t="shared" si="146"/>
        <v>488</v>
      </c>
      <c r="T410" s="5">
        <v>1.0032197487182863</v>
      </c>
      <c r="U410" s="6">
        <f t="shared" si="147"/>
        <v>490</v>
      </c>
      <c r="V410" s="6">
        <f t="shared" si="160"/>
        <v>75</v>
      </c>
      <c r="W410" s="6">
        <f t="shared" si="148"/>
        <v>565</v>
      </c>
      <c r="X410" s="6">
        <f t="shared" si="149"/>
        <v>533</v>
      </c>
      <c r="Y410" s="6">
        <f t="shared" si="150"/>
        <v>0</v>
      </c>
      <c r="Z410" s="6">
        <f t="shared" si="151"/>
        <v>32</v>
      </c>
      <c r="AA410" s="6">
        <f t="shared" si="152"/>
        <v>1</v>
      </c>
      <c r="AB410" s="6">
        <f t="shared" si="153"/>
        <v>31</v>
      </c>
      <c r="AC410" s="5">
        <f t="shared" si="154"/>
        <v>0.1050656660412758</v>
      </c>
      <c r="AD410" s="5">
        <f t="shared" si="155"/>
        <v>0.93433395872420266</v>
      </c>
      <c r="AE410" s="5">
        <f t="shared" si="156"/>
        <v>1</v>
      </c>
      <c r="AF410" s="5">
        <f t="shared" si="157"/>
        <v>0.8392857142857143</v>
      </c>
      <c r="AG410" s="5">
        <f t="shared" si="158"/>
        <v>0.875</v>
      </c>
    </row>
    <row r="411" spans="1:33">
      <c r="A411" s="4">
        <v>46243</v>
      </c>
      <c r="B411" s="3" t="s">
        <v>64</v>
      </c>
      <c r="C411" s="3">
        <v>5</v>
      </c>
      <c r="D411" s="6">
        <v>189</v>
      </c>
      <c r="E411" s="6">
        <v>167</v>
      </c>
      <c r="F411" s="6">
        <v>230</v>
      </c>
      <c r="G411" s="6">
        <f t="shared" si="138"/>
        <v>183</v>
      </c>
      <c r="H411" s="5">
        <v>1.0056646526301229</v>
      </c>
      <c r="I411" s="6">
        <f t="shared" si="139"/>
        <v>184</v>
      </c>
      <c r="J411" s="6">
        <f t="shared" si="159"/>
        <v>19</v>
      </c>
      <c r="K411" s="6">
        <f t="shared" si="140"/>
        <v>203</v>
      </c>
      <c r="L411" s="6">
        <f t="shared" si="141"/>
        <v>167</v>
      </c>
      <c r="M411" s="6">
        <f t="shared" si="142"/>
        <v>0</v>
      </c>
      <c r="N411" s="6">
        <f t="shared" si="143"/>
        <v>36</v>
      </c>
      <c r="O411" s="5">
        <v>2.5000000000000001E-2</v>
      </c>
      <c r="P411" s="6">
        <f t="shared" si="144"/>
        <v>1</v>
      </c>
      <c r="Q411" s="6">
        <f t="shared" si="145"/>
        <v>35</v>
      </c>
      <c r="R411" s="6">
        <v>38</v>
      </c>
      <c r="S411" s="6">
        <f t="shared" si="146"/>
        <v>176</v>
      </c>
      <c r="T411" s="5">
        <v>1.0194159085931516</v>
      </c>
      <c r="U411" s="6">
        <f t="shared" si="147"/>
        <v>179</v>
      </c>
      <c r="V411" s="6">
        <f t="shared" si="160"/>
        <v>51</v>
      </c>
      <c r="W411" s="6">
        <f t="shared" si="148"/>
        <v>230</v>
      </c>
      <c r="X411" s="6">
        <f t="shared" si="149"/>
        <v>167</v>
      </c>
      <c r="Y411" s="6">
        <f t="shared" si="150"/>
        <v>0</v>
      </c>
      <c r="Z411" s="6">
        <f t="shared" si="151"/>
        <v>63</v>
      </c>
      <c r="AA411" s="6">
        <f t="shared" si="152"/>
        <v>2</v>
      </c>
      <c r="AB411" s="6">
        <f t="shared" si="153"/>
        <v>61</v>
      </c>
      <c r="AC411" s="5">
        <f t="shared" si="154"/>
        <v>0.1317365269461078</v>
      </c>
      <c r="AD411" s="5">
        <f t="shared" si="155"/>
        <v>1</v>
      </c>
      <c r="AE411" s="5">
        <f t="shared" si="156"/>
        <v>1</v>
      </c>
      <c r="AF411" s="5">
        <f t="shared" si="157"/>
        <v>0.8</v>
      </c>
      <c r="AG411" s="5">
        <f t="shared" si="158"/>
        <v>0.77826086956521734</v>
      </c>
    </row>
    <row r="412" spans="1:33">
      <c r="A412" s="4">
        <v>46244</v>
      </c>
      <c r="B412" s="3" t="s">
        <v>60</v>
      </c>
      <c r="C412" s="3">
        <v>2</v>
      </c>
      <c r="D412" s="6">
        <v>1679</v>
      </c>
      <c r="E412" s="6">
        <v>1842</v>
      </c>
      <c r="F412" s="6">
        <v>2250</v>
      </c>
      <c r="G412" s="6">
        <f t="shared" si="138"/>
        <v>1629</v>
      </c>
      <c r="H412" s="5">
        <v>1.0130368766067084</v>
      </c>
      <c r="I412" s="6">
        <f t="shared" si="139"/>
        <v>1650</v>
      </c>
      <c r="J412" s="6">
        <f t="shared" si="159"/>
        <v>311</v>
      </c>
      <c r="K412" s="6">
        <f t="shared" si="140"/>
        <v>1961</v>
      </c>
      <c r="L412" s="6">
        <f t="shared" si="141"/>
        <v>1842</v>
      </c>
      <c r="M412" s="6">
        <f t="shared" si="142"/>
        <v>0</v>
      </c>
      <c r="N412" s="6">
        <f t="shared" si="143"/>
        <v>119</v>
      </c>
      <c r="O412" s="5">
        <v>2.5000000000000001E-2</v>
      </c>
      <c r="P412" s="6">
        <f t="shared" si="144"/>
        <v>3</v>
      </c>
      <c r="Q412" s="6">
        <f t="shared" si="145"/>
        <v>116</v>
      </c>
      <c r="R412" s="6">
        <v>201</v>
      </c>
      <c r="S412" s="6">
        <f t="shared" si="146"/>
        <v>1444</v>
      </c>
      <c r="T412" s="5">
        <v>0.98554724156573659</v>
      </c>
      <c r="U412" s="6">
        <f t="shared" si="147"/>
        <v>1423</v>
      </c>
      <c r="V412" s="6">
        <f t="shared" si="160"/>
        <v>436</v>
      </c>
      <c r="W412" s="6">
        <f t="shared" si="148"/>
        <v>1859</v>
      </c>
      <c r="X412" s="6">
        <f t="shared" si="149"/>
        <v>1842</v>
      </c>
      <c r="Y412" s="6">
        <f t="shared" si="150"/>
        <v>0</v>
      </c>
      <c r="Z412" s="6">
        <f t="shared" si="151"/>
        <v>17</v>
      </c>
      <c r="AA412" s="6">
        <f t="shared" si="152"/>
        <v>0</v>
      </c>
      <c r="AB412" s="6">
        <f t="shared" si="153"/>
        <v>17</v>
      </c>
      <c r="AC412" s="5">
        <f t="shared" si="154"/>
        <v>8.8490770901194352E-2</v>
      </c>
      <c r="AD412" s="5">
        <f t="shared" si="155"/>
        <v>1</v>
      </c>
      <c r="AE412" s="5">
        <f t="shared" si="156"/>
        <v>1</v>
      </c>
      <c r="AF412" s="5">
        <f t="shared" si="157"/>
        <v>0.73333333333333328</v>
      </c>
      <c r="AG412" s="5">
        <f t="shared" si="158"/>
        <v>0.63244444444444448</v>
      </c>
    </row>
    <row r="413" spans="1:33">
      <c r="A413" s="4">
        <v>46244</v>
      </c>
      <c r="B413" s="3" t="s">
        <v>61</v>
      </c>
      <c r="C413" s="3">
        <v>2</v>
      </c>
      <c r="D413" s="6">
        <v>831</v>
      </c>
      <c r="E413" s="6">
        <v>766</v>
      </c>
      <c r="F413" s="6">
        <v>1200</v>
      </c>
      <c r="G413" s="6">
        <f t="shared" si="138"/>
        <v>806</v>
      </c>
      <c r="H413" s="5">
        <v>0.98299059404530487</v>
      </c>
      <c r="I413" s="6">
        <f t="shared" si="139"/>
        <v>792</v>
      </c>
      <c r="J413" s="6">
        <f t="shared" si="159"/>
        <v>18</v>
      </c>
      <c r="K413" s="6">
        <f t="shared" si="140"/>
        <v>810</v>
      </c>
      <c r="L413" s="6">
        <f t="shared" si="141"/>
        <v>766</v>
      </c>
      <c r="M413" s="6">
        <f t="shared" si="142"/>
        <v>0</v>
      </c>
      <c r="N413" s="6">
        <f t="shared" si="143"/>
        <v>44</v>
      </c>
      <c r="O413" s="5">
        <v>0.03</v>
      </c>
      <c r="P413" s="6">
        <f t="shared" si="144"/>
        <v>1</v>
      </c>
      <c r="Q413" s="6">
        <f t="shared" si="145"/>
        <v>43</v>
      </c>
      <c r="R413" s="6">
        <v>100</v>
      </c>
      <c r="S413" s="6">
        <f t="shared" si="146"/>
        <v>765</v>
      </c>
      <c r="T413" s="5">
        <v>1.0116301279021656</v>
      </c>
      <c r="U413" s="6">
        <f t="shared" si="147"/>
        <v>774</v>
      </c>
      <c r="V413" s="6">
        <f t="shared" si="160"/>
        <v>166</v>
      </c>
      <c r="W413" s="6">
        <f t="shared" si="148"/>
        <v>940</v>
      </c>
      <c r="X413" s="6">
        <f t="shared" si="149"/>
        <v>766</v>
      </c>
      <c r="Y413" s="6">
        <f t="shared" si="150"/>
        <v>0</v>
      </c>
      <c r="Z413" s="6">
        <f t="shared" si="151"/>
        <v>174</v>
      </c>
      <c r="AA413" s="6">
        <f t="shared" si="152"/>
        <v>5</v>
      </c>
      <c r="AB413" s="6">
        <f t="shared" si="153"/>
        <v>169</v>
      </c>
      <c r="AC413" s="5">
        <f t="shared" si="154"/>
        <v>8.4856396866840725E-2</v>
      </c>
      <c r="AD413" s="5">
        <f t="shared" si="155"/>
        <v>1</v>
      </c>
      <c r="AE413" s="5">
        <f t="shared" si="156"/>
        <v>1</v>
      </c>
      <c r="AF413" s="5">
        <f t="shared" si="157"/>
        <v>0.66</v>
      </c>
      <c r="AG413" s="5">
        <f t="shared" si="158"/>
        <v>0.64500000000000002</v>
      </c>
    </row>
    <row r="414" spans="1:33">
      <c r="A414" s="4">
        <v>46244</v>
      </c>
      <c r="B414" s="3" t="s">
        <v>62</v>
      </c>
      <c r="C414" s="3">
        <v>7</v>
      </c>
      <c r="D414" s="6">
        <v>478</v>
      </c>
      <c r="E414" s="6">
        <v>463</v>
      </c>
      <c r="F414" s="6">
        <v>700</v>
      </c>
      <c r="G414" s="6">
        <f t="shared" si="138"/>
        <v>464</v>
      </c>
      <c r="H414" s="5">
        <v>1.0184423406058973</v>
      </c>
      <c r="I414" s="6">
        <f t="shared" si="139"/>
        <v>473</v>
      </c>
      <c r="J414" s="6">
        <f t="shared" si="159"/>
        <v>0</v>
      </c>
      <c r="K414" s="6">
        <f t="shared" si="140"/>
        <v>473</v>
      </c>
      <c r="L414" s="6">
        <f t="shared" si="141"/>
        <v>463</v>
      </c>
      <c r="M414" s="6">
        <f t="shared" si="142"/>
        <v>0</v>
      </c>
      <c r="N414" s="6">
        <f t="shared" si="143"/>
        <v>10</v>
      </c>
      <c r="O414" s="5">
        <v>1.7999999999999999E-2</v>
      </c>
      <c r="P414" s="6">
        <f t="shared" si="144"/>
        <v>0</v>
      </c>
      <c r="Q414" s="6">
        <f t="shared" si="145"/>
        <v>10</v>
      </c>
      <c r="R414" s="6">
        <v>86</v>
      </c>
      <c r="S414" s="6">
        <f t="shared" si="146"/>
        <v>505</v>
      </c>
      <c r="T414" s="5">
        <v>0.99122572904991679</v>
      </c>
      <c r="U414" s="6">
        <f t="shared" si="147"/>
        <v>501</v>
      </c>
      <c r="V414" s="6">
        <f t="shared" si="160"/>
        <v>59</v>
      </c>
      <c r="W414" s="6">
        <f t="shared" si="148"/>
        <v>560</v>
      </c>
      <c r="X414" s="6">
        <f t="shared" si="149"/>
        <v>463</v>
      </c>
      <c r="Y414" s="6">
        <f t="shared" si="150"/>
        <v>0</v>
      </c>
      <c r="Z414" s="6">
        <f t="shared" si="151"/>
        <v>97</v>
      </c>
      <c r="AA414" s="6">
        <f t="shared" si="152"/>
        <v>2</v>
      </c>
      <c r="AB414" s="6">
        <f t="shared" si="153"/>
        <v>95</v>
      </c>
      <c r="AC414" s="5">
        <f t="shared" si="154"/>
        <v>3.2397408207343416E-2</v>
      </c>
      <c r="AD414" s="5">
        <f t="shared" si="155"/>
        <v>1</v>
      </c>
      <c r="AE414" s="5">
        <f t="shared" si="156"/>
        <v>1</v>
      </c>
      <c r="AF414" s="5">
        <f t="shared" si="157"/>
        <v>0.67571428571428571</v>
      </c>
      <c r="AG414" s="5">
        <f t="shared" si="158"/>
        <v>0.71571428571428575</v>
      </c>
    </row>
    <row r="415" spans="1:33">
      <c r="A415" s="4">
        <v>46244</v>
      </c>
      <c r="B415" s="3" t="s">
        <v>63</v>
      </c>
      <c r="C415" s="3">
        <v>7</v>
      </c>
      <c r="D415" s="6">
        <v>370</v>
      </c>
      <c r="E415" s="6">
        <v>433</v>
      </c>
      <c r="F415" s="6">
        <v>560</v>
      </c>
      <c r="G415" s="6">
        <f t="shared" si="138"/>
        <v>359</v>
      </c>
      <c r="H415" s="5">
        <v>0.9882284389291458</v>
      </c>
      <c r="I415" s="6">
        <f t="shared" si="139"/>
        <v>355</v>
      </c>
      <c r="J415" s="6">
        <f t="shared" si="159"/>
        <v>0</v>
      </c>
      <c r="K415" s="6">
        <f t="shared" si="140"/>
        <v>355</v>
      </c>
      <c r="L415" s="6">
        <f t="shared" si="141"/>
        <v>355</v>
      </c>
      <c r="M415" s="6">
        <f t="shared" si="142"/>
        <v>78</v>
      </c>
      <c r="N415" s="6">
        <f t="shared" si="143"/>
        <v>0</v>
      </c>
      <c r="O415" s="5">
        <v>0.02</v>
      </c>
      <c r="P415" s="6">
        <f t="shared" si="144"/>
        <v>0</v>
      </c>
      <c r="Q415" s="6">
        <f t="shared" si="145"/>
        <v>0</v>
      </c>
      <c r="R415" s="6">
        <v>67</v>
      </c>
      <c r="S415" s="6">
        <f t="shared" si="146"/>
        <v>406</v>
      </c>
      <c r="T415" s="5">
        <v>1.002240129678668</v>
      </c>
      <c r="U415" s="6">
        <f t="shared" si="147"/>
        <v>407</v>
      </c>
      <c r="V415" s="6">
        <f t="shared" si="160"/>
        <v>31</v>
      </c>
      <c r="W415" s="6">
        <f t="shared" si="148"/>
        <v>438</v>
      </c>
      <c r="X415" s="6">
        <f t="shared" si="149"/>
        <v>433</v>
      </c>
      <c r="Y415" s="6">
        <f t="shared" si="150"/>
        <v>0</v>
      </c>
      <c r="Z415" s="6">
        <f t="shared" si="151"/>
        <v>5</v>
      </c>
      <c r="AA415" s="6">
        <f t="shared" si="152"/>
        <v>0</v>
      </c>
      <c r="AB415" s="6">
        <f t="shared" si="153"/>
        <v>5</v>
      </c>
      <c r="AC415" s="5">
        <f t="shared" si="154"/>
        <v>0.14549653579676675</v>
      </c>
      <c r="AD415" s="5">
        <f t="shared" si="155"/>
        <v>0.81986143187066973</v>
      </c>
      <c r="AE415" s="5">
        <f t="shared" si="156"/>
        <v>1</v>
      </c>
      <c r="AF415" s="5">
        <f t="shared" si="157"/>
        <v>0.6339285714285714</v>
      </c>
      <c r="AG415" s="5">
        <f t="shared" si="158"/>
        <v>0.72678571428571426</v>
      </c>
    </row>
    <row r="416" spans="1:33">
      <c r="A416" s="4">
        <v>46244</v>
      </c>
      <c r="B416" s="3" t="s">
        <v>64</v>
      </c>
      <c r="C416" s="3">
        <v>5</v>
      </c>
      <c r="D416" s="6">
        <v>151</v>
      </c>
      <c r="E416" s="6">
        <v>176</v>
      </c>
      <c r="F416" s="6">
        <v>230</v>
      </c>
      <c r="G416" s="6">
        <f t="shared" si="138"/>
        <v>146</v>
      </c>
      <c r="H416" s="5">
        <v>1.00815873502651</v>
      </c>
      <c r="I416" s="6">
        <f t="shared" si="139"/>
        <v>147</v>
      </c>
      <c r="J416" s="6">
        <f t="shared" si="159"/>
        <v>35</v>
      </c>
      <c r="K416" s="6">
        <f t="shared" si="140"/>
        <v>182</v>
      </c>
      <c r="L416" s="6">
        <f t="shared" si="141"/>
        <v>176</v>
      </c>
      <c r="M416" s="6">
        <f t="shared" si="142"/>
        <v>0</v>
      </c>
      <c r="N416" s="6">
        <f t="shared" si="143"/>
        <v>6</v>
      </c>
      <c r="O416" s="5">
        <v>2.5000000000000001E-2</v>
      </c>
      <c r="P416" s="6">
        <f t="shared" si="144"/>
        <v>0</v>
      </c>
      <c r="Q416" s="6">
        <f t="shared" si="145"/>
        <v>6</v>
      </c>
      <c r="R416" s="6">
        <v>30</v>
      </c>
      <c r="S416" s="6">
        <f t="shared" si="146"/>
        <v>120</v>
      </c>
      <c r="T416" s="5">
        <v>1.0019746705399406</v>
      </c>
      <c r="U416" s="6">
        <f t="shared" si="147"/>
        <v>120</v>
      </c>
      <c r="V416" s="6">
        <f t="shared" si="160"/>
        <v>61</v>
      </c>
      <c r="W416" s="6">
        <f t="shared" si="148"/>
        <v>181</v>
      </c>
      <c r="X416" s="6">
        <f t="shared" si="149"/>
        <v>176</v>
      </c>
      <c r="Y416" s="6">
        <f t="shared" si="150"/>
        <v>0</v>
      </c>
      <c r="Z416" s="6">
        <f t="shared" si="151"/>
        <v>5</v>
      </c>
      <c r="AA416" s="6">
        <f t="shared" si="152"/>
        <v>0</v>
      </c>
      <c r="AB416" s="6">
        <f t="shared" si="153"/>
        <v>5</v>
      </c>
      <c r="AC416" s="5">
        <f t="shared" si="154"/>
        <v>0.14204545454545456</v>
      </c>
      <c r="AD416" s="5">
        <f t="shared" si="155"/>
        <v>1</v>
      </c>
      <c r="AE416" s="5">
        <f t="shared" si="156"/>
        <v>1</v>
      </c>
      <c r="AF416" s="5">
        <f t="shared" si="157"/>
        <v>0.63913043478260867</v>
      </c>
      <c r="AG416" s="5">
        <f t="shared" si="158"/>
        <v>0.52173913043478259</v>
      </c>
    </row>
    <row r="417" spans="1:33">
      <c r="A417" s="4">
        <v>46245</v>
      </c>
      <c r="B417" s="3" t="s">
        <v>60</v>
      </c>
      <c r="C417" s="3">
        <v>2</v>
      </c>
      <c r="D417" s="6">
        <v>1714</v>
      </c>
      <c r="E417" s="6">
        <v>1948</v>
      </c>
      <c r="F417" s="6">
        <v>2250</v>
      </c>
      <c r="G417" s="6">
        <f t="shared" si="138"/>
        <v>1663</v>
      </c>
      <c r="H417" s="5">
        <v>1.0153150920082212</v>
      </c>
      <c r="I417" s="6">
        <f t="shared" si="139"/>
        <v>1688</v>
      </c>
      <c r="J417" s="6">
        <f t="shared" si="159"/>
        <v>116</v>
      </c>
      <c r="K417" s="6">
        <f t="shared" si="140"/>
        <v>1804</v>
      </c>
      <c r="L417" s="6">
        <f t="shared" si="141"/>
        <v>1804</v>
      </c>
      <c r="M417" s="6">
        <f t="shared" si="142"/>
        <v>144</v>
      </c>
      <c r="N417" s="6">
        <f t="shared" si="143"/>
        <v>0</v>
      </c>
      <c r="O417" s="5">
        <v>2.5000000000000001E-2</v>
      </c>
      <c r="P417" s="6">
        <f t="shared" si="144"/>
        <v>0</v>
      </c>
      <c r="Q417" s="6">
        <f t="shared" si="145"/>
        <v>0</v>
      </c>
      <c r="R417" s="6">
        <v>206</v>
      </c>
      <c r="S417" s="6">
        <f t="shared" si="146"/>
        <v>1903</v>
      </c>
      <c r="T417" s="5">
        <v>1.0191923992942715</v>
      </c>
      <c r="U417" s="6">
        <f t="shared" si="147"/>
        <v>1940</v>
      </c>
      <c r="V417" s="6">
        <f t="shared" si="160"/>
        <v>17</v>
      </c>
      <c r="W417" s="6">
        <f t="shared" si="148"/>
        <v>1957</v>
      </c>
      <c r="X417" s="6">
        <f t="shared" si="149"/>
        <v>1948</v>
      </c>
      <c r="Y417" s="6">
        <f t="shared" si="150"/>
        <v>0</v>
      </c>
      <c r="Z417" s="6">
        <f t="shared" si="151"/>
        <v>9</v>
      </c>
      <c r="AA417" s="6">
        <f t="shared" si="152"/>
        <v>0</v>
      </c>
      <c r="AB417" s="6">
        <f t="shared" si="153"/>
        <v>9</v>
      </c>
      <c r="AC417" s="5">
        <f t="shared" si="154"/>
        <v>0.12012320328542095</v>
      </c>
      <c r="AD417" s="5">
        <f t="shared" si="155"/>
        <v>0.92607802874743328</v>
      </c>
      <c r="AE417" s="5">
        <f t="shared" si="156"/>
        <v>1</v>
      </c>
      <c r="AF417" s="5">
        <f t="shared" si="157"/>
        <v>0.75022222222222223</v>
      </c>
      <c r="AG417" s="5">
        <f t="shared" si="158"/>
        <v>0.86222222222222222</v>
      </c>
    </row>
    <row r="418" spans="1:33">
      <c r="A418" s="4">
        <v>46245</v>
      </c>
      <c r="B418" s="3" t="s">
        <v>61</v>
      </c>
      <c r="C418" s="3">
        <v>2</v>
      </c>
      <c r="D418" s="6">
        <v>857</v>
      </c>
      <c r="E418" s="6">
        <v>957</v>
      </c>
      <c r="F418" s="6">
        <v>1200</v>
      </c>
      <c r="G418" s="6">
        <f t="shared" si="138"/>
        <v>831</v>
      </c>
      <c r="H418" s="5">
        <v>1.0174707687945455</v>
      </c>
      <c r="I418" s="6">
        <f t="shared" si="139"/>
        <v>846</v>
      </c>
      <c r="J418" s="6">
        <f t="shared" si="159"/>
        <v>43</v>
      </c>
      <c r="K418" s="6">
        <f t="shared" si="140"/>
        <v>889</v>
      </c>
      <c r="L418" s="6">
        <f t="shared" si="141"/>
        <v>889</v>
      </c>
      <c r="M418" s="6">
        <f t="shared" si="142"/>
        <v>68</v>
      </c>
      <c r="N418" s="6">
        <f t="shared" si="143"/>
        <v>0</v>
      </c>
      <c r="O418" s="5">
        <v>0.03</v>
      </c>
      <c r="P418" s="6">
        <f t="shared" si="144"/>
        <v>0</v>
      </c>
      <c r="Q418" s="6">
        <f t="shared" si="145"/>
        <v>0</v>
      </c>
      <c r="R418" s="6">
        <v>103</v>
      </c>
      <c r="S418" s="6">
        <f t="shared" si="146"/>
        <v>791</v>
      </c>
      <c r="T418" s="5">
        <v>1.0056314326947844</v>
      </c>
      <c r="U418" s="6">
        <f t="shared" si="147"/>
        <v>795</v>
      </c>
      <c r="V418" s="6">
        <f t="shared" si="160"/>
        <v>169</v>
      </c>
      <c r="W418" s="6">
        <f t="shared" si="148"/>
        <v>964</v>
      </c>
      <c r="X418" s="6">
        <f t="shared" si="149"/>
        <v>957</v>
      </c>
      <c r="Y418" s="6">
        <f t="shared" si="150"/>
        <v>0</v>
      </c>
      <c r="Z418" s="6">
        <f t="shared" si="151"/>
        <v>7</v>
      </c>
      <c r="AA418" s="6">
        <f t="shared" si="152"/>
        <v>0</v>
      </c>
      <c r="AB418" s="6">
        <f t="shared" si="153"/>
        <v>7</v>
      </c>
      <c r="AC418" s="5">
        <f t="shared" si="154"/>
        <v>0.1044932079414838</v>
      </c>
      <c r="AD418" s="5">
        <f t="shared" si="155"/>
        <v>0.92894461859979105</v>
      </c>
      <c r="AE418" s="5">
        <f t="shared" si="156"/>
        <v>1</v>
      </c>
      <c r="AF418" s="5">
        <f t="shared" si="157"/>
        <v>0.70499999999999996</v>
      </c>
      <c r="AG418" s="5">
        <f t="shared" si="158"/>
        <v>0.66249999999999998</v>
      </c>
    </row>
    <row r="419" spans="1:33">
      <c r="A419" s="4">
        <v>46245</v>
      </c>
      <c r="B419" s="3" t="s">
        <v>62</v>
      </c>
      <c r="C419" s="3">
        <v>7</v>
      </c>
      <c r="D419" s="6">
        <v>494</v>
      </c>
      <c r="E419" s="6">
        <v>505</v>
      </c>
      <c r="F419" s="6">
        <v>700</v>
      </c>
      <c r="G419" s="6">
        <f t="shared" si="138"/>
        <v>479</v>
      </c>
      <c r="H419" s="5">
        <v>1.014353334292875</v>
      </c>
      <c r="I419" s="6">
        <f t="shared" si="139"/>
        <v>486</v>
      </c>
      <c r="J419" s="6">
        <f t="shared" si="159"/>
        <v>10</v>
      </c>
      <c r="K419" s="6">
        <f t="shared" si="140"/>
        <v>496</v>
      </c>
      <c r="L419" s="6">
        <f t="shared" si="141"/>
        <v>496</v>
      </c>
      <c r="M419" s="6">
        <f t="shared" si="142"/>
        <v>9</v>
      </c>
      <c r="N419" s="6">
        <f t="shared" si="143"/>
        <v>0</v>
      </c>
      <c r="O419" s="5">
        <v>1.7999999999999999E-2</v>
      </c>
      <c r="P419" s="6">
        <f t="shared" si="144"/>
        <v>0</v>
      </c>
      <c r="Q419" s="6">
        <f t="shared" si="145"/>
        <v>0</v>
      </c>
      <c r="R419" s="6">
        <v>89</v>
      </c>
      <c r="S419" s="6">
        <f t="shared" si="146"/>
        <v>488</v>
      </c>
      <c r="T419" s="5">
        <v>0.98055620701396395</v>
      </c>
      <c r="U419" s="6">
        <f t="shared" si="147"/>
        <v>479</v>
      </c>
      <c r="V419" s="6">
        <f t="shared" si="160"/>
        <v>95</v>
      </c>
      <c r="W419" s="6">
        <f t="shared" si="148"/>
        <v>574</v>
      </c>
      <c r="X419" s="6">
        <f t="shared" si="149"/>
        <v>505</v>
      </c>
      <c r="Y419" s="6">
        <f t="shared" si="150"/>
        <v>0</v>
      </c>
      <c r="Z419" s="6">
        <f t="shared" si="151"/>
        <v>69</v>
      </c>
      <c r="AA419" s="6">
        <f t="shared" si="152"/>
        <v>1</v>
      </c>
      <c r="AB419" s="6">
        <f t="shared" si="153"/>
        <v>68</v>
      </c>
      <c r="AC419" s="5">
        <f t="shared" si="154"/>
        <v>2.1782178217821781E-2</v>
      </c>
      <c r="AD419" s="5">
        <f t="shared" si="155"/>
        <v>0.98217821782178216</v>
      </c>
      <c r="AE419" s="5">
        <f t="shared" si="156"/>
        <v>1</v>
      </c>
      <c r="AF419" s="5">
        <f t="shared" si="157"/>
        <v>0.69428571428571428</v>
      </c>
      <c r="AG419" s="5">
        <f t="shared" si="158"/>
        <v>0.68428571428571427</v>
      </c>
    </row>
    <row r="420" spans="1:33">
      <c r="A420" s="4">
        <v>46245</v>
      </c>
      <c r="B420" s="3" t="s">
        <v>63</v>
      </c>
      <c r="C420" s="3">
        <v>7</v>
      </c>
      <c r="D420" s="6">
        <v>387</v>
      </c>
      <c r="E420" s="6">
        <v>409</v>
      </c>
      <c r="F420" s="6">
        <v>560</v>
      </c>
      <c r="G420" s="6">
        <f t="shared" si="138"/>
        <v>375</v>
      </c>
      <c r="H420" s="5">
        <v>1.0188615183678307</v>
      </c>
      <c r="I420" s="6">
        <f t="shared" si="139"/>
        <v>382</v>
      </c>
      <c r="J420" s="6">
        <f t="shared" si="159"/>
        <v>0</v>
      </c>
      <c r="K420" s="6">
        <f t="shared" si="140"/>
        <v>382</v>
      </c>
      <c r="L420" s="6">
        <f t="shared" si="141"/>
        <v>382</v>
      </c>
      <c r="M420" s="6">
        <f t="shared" si="142"/>
        <v>27</v>
      </c>
      <c r="N420" s="6">
        <f t="shared" si="143"/>
        <v>0</v>
      </c>
      <c r="O420" s="5">
        <v>0.02</v>
      </c>
      <c r="P420" s="6">
        <f t="shared" si="144"/>
        <v>0</v>
      </c>
      <c r="Q420" s="6">
        <f t="shared" si="145"/>
        <v>0</v>
      </c>
      <c r="R420" s="6">
        <v>70</v>
      </c>
      <c r="S420" s="6">
        <f t="shared" si="146"/>
        <v>452</v>
      </c>
      <c r="T420" s="5">
        <v>1.0038383887177811</v>
      </c>
      <c r="U420" s="6">
        <f t="shared" si="147"/>
        <v>454</v>
      </c>
      <c r="V420" s="6">
        <f t="shared" si="160"/>
        <v>5</v>
      </c>
      <c r="W420" s="6">
        <f t="shared" si="148"/>
        <v>459</v>
      </c>
      <c r="X420" s="6">
        <f t="shared" si="149"/>
        <v>409</v>
      </c>
      <c r="Y420" s="6">
        <f t="shared" si="150"/>
        <v>0</v>
      </c>
      <c r="Z420" s="6">
        <f t="shared" si="151"/>
        <v>50</v>
      </c>
      <c r="AA420" s="6">
        <f t="shared" si="152"/>
        <v>1</v>
      </c>
      <c r="AB420" s="6">
        <f t="shared" si="153"/>
        <v>49</v>
      </c>
      <c r="AC420" s="5">
        <f t="shared" si="154"/>
        <v>5.3789731051344741E-2</v>
      </c>
      <c r="AD420" s="5">
        <f t="shared" si="155"/>
        <v>0.93398533007334961</v>
      </c>
      <c r="AE420" s="5">
        <f t="shared" si="156"/>
        <v>1</v>
      </c>
      <c r="AF420" s="5">
        <f t="shared" si="157"/>
        <v>0.68214285714285716</v>
      </c>
      <c r="AG420" s="5">
        <f t="shared" si="158"/>
        <v>0.81071428571428572</v>
      </c>
    </row>
    <row r="421" spans="1:33">
      <c r="A421" s="4">
        <v>46245</v>
      </c>
      <c r="B421" s="3" t="s">
        <v>64</v>
      </c>
      <c r="C421" s="3">
        <v>5</v>
      </c>
      <c r="D421" s="6">
        <v>156</v>
      </c>
      <c r="E421" s="6">
        <v>136</v>
      </c>
      <c r="F421" s="6">
        <v>230</v>
      </c>
      <c r="G421" s="6">
        <f t="shared" si="138"/>
        <v>151</v>
      </c>
      <c r="H421" s="5">
        <v>0.99931525188298909</v>
      </c>
      <c r="I421" s="6">
        <f t="shared" si="139"/>
        <v>151</v>
      </c>
      <c r="J421" s="6">
        <f t="shared" si="159"/>
        <v>6</v>
      </c>
      <c r="K421" s="6">
        <f t="shared" si="140"/>
        <v>157</v>
      </c>
      <c r="L421" s="6">
        <f t="shared" si="141"/>
        <v>136</v>
      </c>
      <c r="M421" s="6">
        <f t="shared" si="142"/>
        <v>0</v>
      </c>
      <c r="N421" s="6">
        <f t="shared" si="143"/>
        <v>21</v>
      </c>
      <c r="O421" s="5">
        <v>2.5000000000000001E-2</v>
      </c>
      <c r="P421" s="6">
        <f t="shared" si="144"/>
        <v>1</v>
      </c>
      <c r="Q421" s="6">
        <f t="shared" si="145"/>
        <v>20</v>
      </c>
      <c r="R421" s="6">
        <v>31</v>
      </c>
      <c r="S421" s="6">
        <f t="shared" si="146"/>
        <v>182</v>
      </c>
      <c r="T421" s="5">
        <v>0.98673521531300457</v>
      </c>
      <c r="U421" s="6">
        <f t="shared" si="147"/>
        <v>180</v>
      </c>
      <c r="V421" s="6">
        <f t="shared" si="160"/>
        <v>5</v>
      </c>
      <c r="W421" s="6">
        <f t="shared" si="148"/>
        <v>185</v>
      </c>
      <c r="X421" s="6">
        <f t="shared" si="149"/>
        <v>136</v>
      </c>
      <c r="Y421" s="6">
        <f t="shared" si="150"/>
        <v>0</v>
      </c>
      <c r="Z421" s="6">
        <f t="shared" si="151"/>
        <v>49</v>
      </c>
      <c r="AA421" s="6">
        <f t="shared" si="152"/>
        <v>1</v>
      </c>
      <c r="AB421" s="6">
        <f t="shared" si="153"/>
        <v>48</v>
      </c>
      <c r="AC421" s="5">
        <f t="shared" si="154"/>
        <v>0.14705882352941177</v>
      </c>
      <c r="AD421" s="5">
        <f t="shared" si="155"/>
        <v>1</v>
      </c>
      <c r="AE421" s="5">
        <f t="shared" si="156"/>
        <v>1</v>
      </c>
      <c r="AF421" s="5">
        <f t="shared" si="157"/>
        <v>0.65652173913043477</v>
      </c>
      <c r="AG421" s="5">
        <f t="shared" si="158"/>
        <v>0.78260869565217395</v>
      </c>
    </row>
  </sheetData>
  <conditionalFormatting sqref="M2:M421">
    <cfRule type="dataBar" priority="1">
      <dataBar>
        <cfvo type="min"/>
        <cfvo type="max"/>
        <color rgb="FFF4B183"/>
      </dataBar>
    </cfRule>
  </conditionalFormatting>
  <conditionalFormatting sqref="Y2:Y421">
    <cfRule type="dataBar" priority="2">
      <dataBar>
        <cfvo type="min"/>
        <cfvo type="max"/>
        <color rgb="FFC00000"/>
      </dataBar>
    </cfRule>
  </conditionalFormatting>
  <conditionalFormatting sqref="M2:M421">
    <cfRule type="dataBar" priority="3">
      <dataBar>
        <cfvo type="min"/>
        <cfvo type="max"/>
        <color rgb="FFF4B183"/>
      </dataBar>
      <extLst>
        <ext xmlns:x14="http://schemas.microsoft.com/office/spreadsheetml/2009/9/main" uri="{B025F937-C7B1-47D3-B67F-A62EFF666E3E}">
          <x14:id>{EAC1FD35-0693-8732-AC2C-4CB61F26F276}</x14:id>
        </ext>
      </extLst>
    </cfRule>
  </conditionalFormatting>
  <conditionalFormatting sqref="Y2:Y421">
    <cfRule type="dataBar" priority="4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{DFC1B2B4-748C-48FD-6474-19A17777CDE5}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C1FD35-0693-8732-AC2C-4CB61F26F276}">
            <x14:dataBar>
              <x14:cfvo type="min"/>
              <x14:cfvo type="max"/>
              <x14:negativeFillColor auto="1"/>
              <x14:axisColor auto="1"/>
            </x14:dataBar>
          </x14:cfRule>
          <xm:sqref>M2:M421</xm:sqref>
        </x14:conditionalFormatting>
        <x14:conditionalFormatting xmlns:xm="http://schemas.microsoft.com/office/excel/2006/main">
          <x14:cfRule type="dataBar" id="{DFC1B2B4-748C-48FD-6474-19A17777CDE5}">
            <x14:dataBar>
              <x14:cfvo type="min"/>
              <x14:cfvo type="max"/>
              <x14:negativeFillColor auto="1"/>
              <x14:axisColor auto="1"/>
            </x14:dataBar>
          </x14:cfRule>
          <xm:sqref>Y2:Y421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>
      <pane ySplit="4" topLeftCell="A17" activePane="bottomLeft" state="frozen"/>
      <selection pane="bottomLeft" activeCell="A22" sqref="A22:H23"/>
    </sheetView>
  </sheetViews>
  <sheetFormatPr defaultRowHeight="14"/>
  <cols>
    <col min="1" max="1" width="22" customWidth="1"/>
    <col min="2" max="2" width="14" customWidth="1"/>
    <col min="3" max="3" width="17" customWidth="1"/>
    <col min="4" max="4" width="18" customWidth="1"/>
    <col min="5" max="5" width="20" customWidth="1"/>
    <col min="6" max="6" width="26" customWidth="1"/>
    <col min="7" max="7" width="16" customWidth="1"/>
    <col min="8" max="8" width="18" customWidth="1"/>
  </cols>
  <sheetData>
    <row r="1" spans="1:8" ht="30" customHeight="1">
      <c r="A1" s="20" t="s">
        <v>65</v>
      </c>
      <c r="B1" s="20"/>
      <c r="C1" s="20"/>
      <c r="D1" s="20"/>
      <c r="E1" s="20"/>
      <c r="F1" s="20"/>
      <c r="G1" s="20"/>
      <c r="H1" s="20"/>
    </row>
    <row r="2" spans="1:8" ht="14.5">
      <c r="A2" s="21" t="s">
        <v>66</v>
      </c>
      <c r="B2" s="21"/>
      <c r="C2" s="21"/>
      <c r="D2" s="21"/>
      <c r="E2" s="21"/>
      <c r="F2" s="21"/>
      <c r="G2" s="21"/>
      <c r="H2" s="21"/>
    </row>
    <row r="4" spans="1:8">
      <c r="A4" s="22" t="s">
        <v>67</v>
      </c>
      <c r="B4" s="22" t="s">
        <v>68</v>
      </c>
      <c r="C4" s="22" t="s">
        <v>67</v>
      </c>
      <c r="D4" s="22" t="s">
        <v>69</v>
      </c>
      <c r="E4" s="22" t="s">
        <v>70</v>
      </c>
      <c r="F4" s="22" t="s">
        <v>71</v>
      </c>
    </row>
    <row r="5" spans="1:8" ht="27" customHeight="1">
      <c r="A5" s="1" t="s">
        <v>72</v>
      </c>
      <c r="B5" s="1">
        <f>SUM('SKU-Day Data'!$E$2:$E$421)</f>
        <v>319167</v>
      </c>
      <c r="C5" s="1" t="s">
        <v>72</v>
      </c>
      <c r="D5" s="1">
        <f>SUM('SKU-Day Data'!$E$2:$E$421)</f>
        <v>319167</v>
      </c>
      <c r="E5" s="1" t="s">
        <v>73</v>
      </c>
      <c r="F5" s="8">
        <f>(D7-B7)*100</f>
        <v>3.2233908894089947</v>
      </c>
      <c r="G5" s="1"/>
      <c r="H5" s="1"/>
    </row>
    <row r="6" spans="1:8" ht="27" customHeight="1">
      <c r="A6" s="1" t="s">
        <v>74</v>
      </c>
      <c r="B6" s="1">
        <f>SUM('SKU-Day Data'!$L$2:$L$421)</f>
        <v>307393</v>
      </c>
      <c r="C6" s="1" t="s">
        <v>74</v>
      </c>
      <c r="D6" s="1">
        <f>SUM('SKU-Day Data'!$X$2:$X$421)</f>
        <v>317681</v>
      </c>
      <c r="E6" s="1" t="s">
        <v>75</v>
      </c>
      <c r="F6" s="7">
        <f>IFERROR((B8-D8)/B8,0)</f>
        <v>0.87378970613215556</v>
      </c>
      <c r="G6" s="1"/>
      <c r="H6" s="1"/>
    </row>
    <row r="7" spans="1:8" ht="27" customHeight="1">
      <c r="A7" s="1" t="s">
        <v>76</v>
      </c>
      <c r="B7" s="7">
        <f>IFERROR(B6/B5,1)</f>
        <v>0.96311022129480806</v>
      </c>
      <c r="C7" s="1" t="s">
        <v>76</v>
      </c>
      <c r="D7" s="7">
        <f>IFERROR(D6/D5,1)</f>
        <v>0.995344130188898</v>
      </c>
      <c r="E7" s="1" t="s">
        <v>77</v>
      </c>
      <c r="F7" s="7">
        <f>IFERROR((D9-B9)/B9,0)</f>
        <v>-0.17721518987341772</v>
      </c>
      <c r="G7" s="1"/>
      <c r="H7" s="1"/>
    </row>
    <row r="8" spans="1:8" ht="27" customHeight="1">
      <c r="A8" s="1" t="s">
        <v>78</v>
      </c>
      <c r="B8" s="1">
        <f>SUM('SKU-Day Data'!$M$2:$M$421)</f>
        <v>11774</v>
      </c>
      <c r="C8" s="1" t="s">
        <v>78</v>
      </c>
      <c r="D8" s="1">
        <f>SUM('SKU-Day Data'!$Y$2:$Y$421)</f>
        <v>1486</v>
      </c>
      <c r="E8" s="1" t="s">
        <v>79</v>
      </c>
      <c r="F8" s="1" t="s">
        <v>80</v>
      </c>
      <c r="G8" s="1"/>
      <c r="H8" s="1"/>
    </row>
    <row r="9" spans="1:8" ht="27" customHeight="1">
      <c r="A9" s="1" t="s">
        <v>81</v>
      </c>
      <c r="B9" s="1">
        <f>SUM('SKU-Day Data'!$P$2:$P$421)</f>
        <v>1264</v>
      </c>
      <c r="C9" s="1" t="s">
        <v>81</v>
      </c>
      <c r="D9" s="1">
        <f>SUM('SKU-Day Data'!$AA$2:$AA$421)</f>
        <v>1040</v>
      </c>
      <c r="E9" s="1" t="s">
        <v>82</v>
      </c>
      <c r="F9" s="1" t="s">
        <v>83</v>
      </c>
      <c r="G9" s="1"/>
      <c r="H9" s="1"/>
    </row>
    <row r="10" spans="1:8" ht="27" customHeight="1">
      <c r="A10" s="1" t="s">
        <v>84</v>
      </c>
      <c r="B10" s="7">
        <f>AVERAGE('SKU-Day Data'!$AF$2:$AF$421)</f>
        <v>0.72584797643695187</v>
      </c>
      <c r="C10" s="1" t="s">
        <v>84</v>
      </c>
      <c r="D10" s="7">
        <f>AVERAGE('SKU-Day Data'!$AG$2:$AG$421)</f>
        <v>0.7541754880212953</v>
      </c>
      <c r="E10" s="1"/>
      <c r="F10" s="1"/>
      <c r="G10" s="1"/>
      <c r="H10" s="1"/>
    </row>
    <row r="11" spans="1:8" ht="27" customHeight="1">
      <c r="A11" s="1" t="s">
        <v>85</v>
      </c>
      <c r="B11" s="7">
        <f>AVERAGE('SKU-Day Data'!$AC$2:$AC$421)</f>
        <v>9.7894959789144337E-2</v>
      </c>
      <c r="C11" s="1" t="s">
        <v>85</v>
      </c>
      <c r="D11" s="7">
        <f>AVERAGE('SKU-Day Data'!$AC$2:$AC$421)</f>
        <v>9.7894959789144337E-2</v>
      </c>
      <c r="E11" s="1"/>
      <c r="F11" s="1"/>
      <c r="G11" s="1"/>
      <c r="H11" s="1"/>
    </row>
    <row r="12" spans="1:8" ht="27" customHeight="1">
      <c r="A12" s="1" t="s">
        <v>16</v>
      </c>
      <c r="B12" s="1">
        <f>COUNTA('SKU-Day Data'!$B$2:$B$421)</f>
        <v>420</v>
      </c>
      <c r="C12" s="1" t="s">
        <v>16</v>
      </c>
      <c r="D12" s="1">
        <f>COUNTA('SKU-Day Data'!$B$2:$B$421)</f>
        <v>420</v>
      </c>
      <c r="E12" s="1"/>
      <c r="F12" s="1"/>
      <c r="G12" s="1"/>
      <c r="H12" s="1"/>
    </row>
    <row r="13" spans="1:8">
      <c r="A13" s="1"/>
      <c r="B13" s="1"/>
      <c r="C13" s="1"/>
      <c r="D13" s="1"/>
      <c r="E13" s="1"/>
      <c r="F13" s="1"/>
      <c r="G13" s="1"/>
      <c r="H13" s="1"/>
    </row>
    <row r="14" spans="1:8" ht="34" customHeight="1">
      <c r="A14" s="23" t="s">
        <v>28</v>
      </c>
      <c r="B14" s="23" t="s">
        <v>86</v>
      </c>
      <c r="C14" s="23" t="s">
        <v>56</v>
      </c>
      <c r="D14" s="23" t="s">
        <v>57</v>
      </c>
      <c r="E14" s="23" t="s">
        <v>39</v>
      </c>
      <c r="F14" s="23" t="s">
        <v>51</v>
      </c>
      <c r="G14" s="23" t="s">
        <v>87</v>
      </c>
      <c r="H14" s="23" t="s">
        <v>88</v>
      </c>
    </row>
    <row r="15" spans="1:8" ht="23" customHeight="1">
      <c r="A15" s="1" t="s">
        <v>60</v>
      </c>
      <c r="B15" s="9">
        <f>SUMIF('SKU-Day Data'!$B$2:$B$421,A15,'SKU-Day Data'!$E$2:$E$421)</f>
        <v>150013</v>
      </c>
      <c r="C15" s="7">
        <f>IFERROR(SUMIF('SKU-Day Data'!$B$2:$B$421,A15,'SKU-Day Data'!$L$2:$L$421)/B15,1)</f>
        <v>0.96644290828128232</v>
      </c>
      <c r="D15" s="7">
        <f>IFERROR(SUMIF('SKU-Day Data'!$B$2:$B$421,A15,'SKU-Day Data'!$X$2:$X$421)/B15,1)</f>
        <v>0.99291394745788697</v>
      </c>
      <c r="E15" s="9">
        <f>SUMIF('SKU-Day Data'!$B$2:$B$421,A15,'SKU-Day Data'!$M$2:$M$421)</f>
        <v>5034</v>
      </c>
      <c r="F15" s="9">
        <f>SUMIF('SKU-Day Data'!$B$2:$B$421,A15,'SKU-Day Data'!$Y$2:$Y$421)</f>
        <v>1063</v>
      </c>
      <c r="G15" s="9">
        <f>SUMIF('SKU-Day Data'!$B$2:$B$421,A15,'SKU-Day Data'!$P$2:$P$421)</f>
        <v>892</v>
      </c>
      <c r="H15" s="9">
        <f>SUMIF('SKU-Day Data'!$B$2:$B$421,A15,'SKU-Day Data'!$AA$2:$AA$421)</f>
        <v>470</v>
      </c>
    </row>
    <row r="16" spans="1:8" ht="23" customHeight="1">
      <c r="A16" s="1" t="s">
        <v>61</v>
      </c>
      <c r="B16" s="9">
        <f>SUMIF('SKU-Day Data'!$B$2:$B$421,A16,'SKU-Day Data'!$E$2:$E$421)</f>
        <v>75116</v>
      </c>
      <c r="C16" s="7">
        <f>IFERROR(SUMIF('SKU-Day Data'!$B$2:$B$421,A16,'SKU-Day Data'!$L$2:$L$421)/B16,1)</f>
        <v>0.96505404973640774</v>
      </c>
      <c r="D16" s="7">
        <f>IFERROR(SUMIF('SKU-Day Data'!$B$2:$B$421,A16,'SKU-Day Data'!$X$2:$X$421)/B16,1)</f>
        <v>0.99451514990148571</v>
      </c>
      <c r="E16" s="9">
        <f>SUMIF('SKU-Day Data'!$B$2:$B$421,A16,'SKU-Day Data'!$M$2:$M$421)</f>
        <v>2625</v>
      </c>
      <c r="F16" s="9">
        <f>SUMIF('SKU-Day Data'!$B$2:$B$421,A16,'SKU-Day Data'!$Y$2:$Y$421)</f>
        <v>412</v>
      </c>
      <c r="G16" s="9">
        <f>SUMIF('SKU-Day Data'!$B$2:$B$421,A16,'SKU-Day Data'!$P$2:$P$421)</f>
        <v>257</v>
      </c>
      <c r="H16" s="9">
        <f>SUMIF('SKU-Day Data'!$B$2:$B$421,A16,'SKU-Day Data'!$AA$2:$AA$421)</f>
        <v>270</v>
      </c>
    </row>
    <row r="17" spans="1:8" ht="23" customHeight="1">
      <c r="A17" s="1" t="s">
        <v>62</v>
      </c>
      <c r="B17" s="9">
        <f>SUMIF('SKU-Day Data'!$B$2:$B$421,A17,'SKU-Day Data'!$E$2:$E$421)</f>
        <v>44541</v>
      </c>
      <c r="C17" s="7">
        <f>IFERROR(SUMIF('SKU-Day Data'!$B$2:$B$421,A17,'SKU-Day Data'!$L$2:$L$421)/B17,1)</f>
        <v>0.95736512426752884</v>
      </c>
      <c r="D17" s="7">
        <f>IFERROR(SUMIF('SKU-Day Data'!$B$2:$B$421,A17,'SKU-Day Data'!$X$2:$X$421)/B17,1)</f>
        <v>0.9998652926517142</v>
      </c>
      <c r="E17" s="9">
        <f>SUMIF('SKU-Day Data'!$B$2:$B$421,A17,'SKU-Day Data'!$M$2:$M$421)</f>
        <v>1899</v>
      </c>
      <c r="F17" s="9">
        <f>SUMIF('SKU-Day Data'!$B$2:$B$421,A17,'SKU-Day Data'!$Y$2:$Y$421)</f>
        <v>6</v>
      </c>
      <c r="G17" s="9">
        <f>SUMIF('SKU-Day Data'!$B$2:$B$421,A17,'SKU-Day Data'!$P$2:$P$421)</f>
        <v>42</v>
      </c>
      <c r="H17" s="9">
        <f>SUMIF('SKU-Day Data'!$B$2:$B$421,A17,'SKU-Day Data'!$AA$2:$AA$421)</f>
        <v>127</v>
      </c>
    </row>
    <row r="18" spans="1:8" ht="23" customHeight="1">
      <c r="A18" s="1" t="s">
        <v>63</v>
      </c>
      <c r="B18" s="9">
        <f>SUMIF('SKU-Day Data'!$B$2:$B$421,A18,'SKU-Day Data'!$E$2:$E$421)</f>
        <v>35563</v>
      </c>
      <c r="C18" s="7">
        <f>IFERROR(SUMIF('SKU-Day Data'!$B$2:$B$421,A18,'SKU-Day Data'!$L$2:$L$421)/B18,1)</f>
        <v>0.94963866940359365</v>
      </c>
      <c r="D18" s="7">
        <f>IFERROR(SUMIF('SKU-Day Data'!$B$2:$B$421,A18,'SKU-Day Data'!$X$2:$X$421)/B18,1)</f>
        <v>0.99985940443719601</v>
      </c>
      <c r="E18" s="9">
        <f>SUMIF('SKU-Day Data'!$B$2:$B$421,A18,'SKU-Day Data'!$M$2:$M$421)</f>
        <v>1791</v>
      </c>
      <c r="F18" s="9">
        <f>SUMIF('SKU-Day Data'!$B$2:$B$421,A18,'SKU-Day Data'!$Y$2:$Y$421)</f>
        <v>5</v>
      </c>
      <c r="G18" s="9">
        <f>SUMIF('SKU-Day Data'!$B$2:$B$421,A18,'SKU-Day Data'!$P$2:$P$421)</f>
        <v>49</v>
      </c>
      <c r="H18" s="9">
        <f>SUMIF('SKU-Day Data'!$B$2:$B$421,A18,'SKU-Day Data'!$AA$2:$AA$421)</f>
        <v>107</v>
      </c>
    </row>
    <row r="19" spans="1:8" ht="23" customHeight="1">
      <c r="A19" s="1" t="s">
        <v>64</v>
      </c>
      <c r="B19" s="9">
        <f>SUMIF('SKU-Day Data'!$B$2:$B$421,A19,'SKU-Day Data'!$E$2:$E$421)</f>
        <v>13934</v>
      </c>
      <c r="C19" s="7">
        <f>IFERROR(SUMIF('SKU-Day Data'!$B$2:$B$421,A19,'SKU-Day Data'!$L$2:$L$421)/B19,1)</f>
        <v>0.96949906703028566</v>
      </c>
      <c r="D19" s="7">
        <f>IFERROR(SUMIF('SKU-Day Data'!$B$2:$B$421,A19,'SKU-Day Data'!$X$2:$X$421)/B19,1)</f>
        <v>1</v>
      </c>
      <c r="E19" s="9">
        <f>SUMIF('SKU-Day Data'!$B$2:$B$421,A19,'SKU-Day Data'!$M$2:$M$421)</f>
        <v>425</v>
      </c>
      <c r="F19" s="9">
        <f>SUMIF('SKU-Day Data'!$B$2:$B$421,A19,'SKU-Day Data'!$Y$2:$Y$421)</f>
        <v>0</v>
      </c>
      <c r="G19" s="9">
        <f>SUMIF('SKU-Day Data'!$B$2:$B$421,A19,'SKU-Day Data'!$P$2:$P$421)</f>
        <v>24</v>
      </c>
      <c r="H19" s="9">
        <f>SUMIF('SKU-Day Data'!$B$2:$B$421,A19,'SKU-Day Data'!$AA$2:$AA$421)</f>
        <v>66</v>
      </c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 ht="25" customHeight="1">
      <c r="A22" s="24" t="s">
        <v>89</v>
      </c>
      <c r="B22" s="24"/>
      <c r="C22" s="24"/>
      <c r="D22" s="24"/>
      <c r="E22" s="24"/>
      <c r="F22" s="24"/>
      <c r="G22" s="24"/>
      <c r="H22" s="24"/>
    </row>
    <row r="23" spans="1:8" ht="25" customHeight="1">
      <c r="A23" s="24"/>
      <c r="B23" s="24"/>
      <c r="C23" s="24"/>
      <c r="D23" s="24"/>
      <c r="E23" s="24"/>
      <c r="F23" s="24"/>
      <c r="G23" s="24"/>
      <c r="H23" s="24"/>
    </row>
  </sheetData>
  <mergeCells count="3">
    <mergeCell ref="A1:H1"/>
    <mergeCell ref="A2:H2"/>
    <mergeCell ref="A22:H23"/>
  </mergeCells>
  <conditionalFormatting sqref="C15:D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4"/>
  <cols>
    <col min="1" max="1" width="27" customWidth="1"/>
    <col min="2" max="2" width="32" customWidth="1"/>
    <col min="3" max="3" width="36" customWidth="1"/>
    <col min="4" max="5" width="40" customWidth="1"/>
    <col min="6" max="6" width="26" customWidth="1"/>
  </cols>
  <sheetData>
    <row r="1" spans="1:6" ht="30" customHeight="1">
      <c r="A1" s="20" t="s">
        <v>90</v>
      </c>
      <c r="B1" s="20"/>
      <c r="C1" s="20"/>
      <c r="D1" s="20"/>
      <c r="E1" s="20"/>
      <c r="F1" s="20"/>
    </row>
    <row r="2" spans="1:6" ht="14.5">
      <c r="A2" s="25" t="s">
        <v>91</v>
      </c>
      <c r="B2" s="25"/>
      <c r="C2" s="25"/>
      <c r="D2" s="25"/>
      <c r="E2" s="25"/>
      <c r="F2" s="25"/>
    </row>
    <row r="4" spans="1:6" ht="36" customHeight="1">
      <c r="A4" s="26" t="s">
        <v>92</v>
      </c>
      <c r="B4" s="26" t="s">
        <v>93</v>
      </c>
      <c r="C4" s="26" t="s">
        <v>94</v>
      </c>
      <c r="D4" s="26" t="s">
        <v>95</v>
      </c>
      <c r="E4" s="26" t="s">
        <v>96</v>
      </c>
      <c r="F4" s="26" t="s">
        <v>97</v>
      </c>
    </row>
    <row r="5" spans="1:6" ht="94" customHeight="1">
      <c r="A5" s="10" t="s">
        <v>98</v>
      </c>
      <c r="B5" s="10" t="s">
        <v>99</v>
      </c>
      <c r="C5" s="10" t="s">
        <v>100</v>
      </c>
      <c r="D5" s="10" t="s">
        <v>101</v>
      </c>
      <c r="E5" s="10" t="s">
        <v>102</v>
      </c>
      <c r="F5" s="10" t="s">
        <v>103</v>
      </c>
    </row>
    <row r="6" spans="1:6" ht="94" customHeight="1">
      <c r="A6" s="10" t="s">
        <v>104</v>
      </c>
      <c r="B6" s="10" t="s">
        <v>105</v>
      </c>
      <c r="C6" s="10" t="s">
        <v>106</v>
      </c>
      <c r="D6" s="10" t="s">
        <v>107</v>
      </c>
      <c r="E6" s="10" t="s">
        <v>108</v>
      </c>
      <c r="F6" s="10" t="s">
        <v>109</v>
      </c>
    </row>
    <row r="7" spans="1:6" ht="94" customHeight="1">
      <c r="A7" s="10" t="s">
        <v>110</v>
      </c>
      <c r="B7" s="10" t="s">
        <v>111</v>
      </c>
      <c r="C7" s="10" t="s">
        <v>112</v>
      </c>
      <c r="D7" s="10" t="s">
        <v>113</v>
      </c>
      <c r="E7" s="10" t="s">
        <v>114</v>
      </c>
      <c r="F7" s="10" t="s">
        <v>115</v>
      </c>
    </row>
    <row r="8" spans="1:6" ht="94" customHeight="1">
      <c r="A8" s="10" t="s">
        <v>116</v>
      </c>
      <c r="B8" s="10" t="s">
        <v>117</v>
      </c>
      <c r="C8" s="10" t="s">
        <v>118</v>
      </c>
      <c r="D8" s="10" t="s">
        <v>119</v>
      </c>
      <c r="E8" s="10" t="s">
        <v>120</v>
      </c>
      <c r="F8" s="10" t="s">
        <v>121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SKU-Day Data</vt:lpstr>
      <vt:lpstr>Operations Dashboard</vt:lpstr>
      <vt:lpstr>Root Cause &amp;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Arpita Sahoo</dc:creator>
  <cp:lastModifiedBy>Arpita Sahoo</cp:lastModifiedBy>
  <dcterms:created xsi:type="dcterms:W3CDTF">2026-10-12T21:23:08Z</dcterms:created>
  <dcterms:modified xsi:type="dcterms:W3CDTF">2026-10-12T21:23:08Z</dcterms:modified>
</cp:coreProperties>
</file>