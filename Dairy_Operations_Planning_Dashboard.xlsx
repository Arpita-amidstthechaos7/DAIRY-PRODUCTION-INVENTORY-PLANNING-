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ee04d2c61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289835fecd7c406a"/>
    <x:sheet xmlns:r="http://schemas.openxmlformats.org/officeDocument/2006/relationships" name="SKU-Day Data" sheetId="2" r:id="Reedc2261d46949f4"/>
    <x:sheet xmlns:r="http://schemas.openxmlformats.org/officeDocument/2006/relationships" name="Operations Dashboard" sheetId="3" r:id="R5dec8636eb604988"/>
    <x:sheet xmlns:r="http://schemas.openxmlformats.org/officeDocument/2006/relationships" name="Root Cause &amp; Actions" sheetId="4" r:id="R5fec5edb654e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dd-mmm-yyyy"/>
    <x:numFmt numFmtId="202" formatCode="#,##0"/>
    <x:numFmt numFmtId="203" formatCode="0.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3333"/>
      <x:name val="Carlito"/>
    </x:font>
    <x:font>
      <x:b/>
      <x:sz val="11"/>
      <x:color rgb="FF0E5484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color rgb="FF7F6000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15"/>
      <x:color rgb="FFFFFFFF"/>
      <x:name val="Carlito"/>
    </x:font>
    <x:font>
      <x:i/>
      <x:sz val="11"/>
      <x:color rgb="FF333333"/>
      <x:name val="Carlito"/>
    </x:font>
    <x:font>
      <x:sz val="9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E5484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4F7F9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dd776082b43dd" /><Relationship Type="http://schemas.openxmlformats.org/officeDocument/2006/relationships/theme" Target="/xl/theme/theme1.xml" Id="R18bb31d08d0c4740" /><Relationship Type="http://schemas.openxmlformats.org/officeDocument/2006/relationships/sharedStrings" Target="/xl/sharedStrings.xml" Id="Re55054ebd93a4a47" /><Relationship Type="http://schemas.openxmlformats.org/officeDocument/2006/relationships/worksheet" Target="/xl/worksheets/sheet1.xml" Id="R289835fecd7c406a" /><Relationship Type="http://schemas.openxmlformats.org/officeDocument/2006/relationships/worksheet" Target="/xl/worksheets/sheet2.xml" Id="Reedc2261d46949f4" /><Relationship Type="http://schemas.openxmlformats.org/officeDocument/2006/relationships/worksheet" Target="/xl/worksheets/sheet3.xml" Id="R5dec8636eb604988" /><Relationship Type="http://schemas.openxmlformats.org/officeDocument/2006/relationships/worksheet" Target="/xl/worksheets/sheet4.xml" Id="R5fec5edb654e43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07d83db94a4dc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Baseline Fill Rate</c:v>
          </c:tx>
          <c:cat>
            <c:strRef>
              <c:f>'Operations Dashboard'!$A$15:$A$19</c:f>
              <c:strCache>
                <c:ptCount val="0"/>
              </c:strCache>
            </c:strRef>
          </c:cat>
          <c:val>
            <c:numRef>
              <c:f>'Operations Dashboard'!$C$15:$C$19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Recommended Fill Rate</c:v>
          </c:tx>
          <c:cat>
            <c:strRef>
              <c:f>'Operations Dashboard'!$A$15:$A$19</c:f>
              <c:strCache>
                <c:ptCount val="0"/>
              </c:strCache>
            </c:strRef>
          </c:cat>
          <c:val>
            <c:numRef>
              <c:f>'Operations Dashboard'!$D$15:$D$19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07d83db94a4dc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rySKUData" displayName="DairySKUData" ref="A1:AG421" headerRowCount="1" totalsRowCount="0" totalsRowShown="0">
  <x:tableColumns count="33">
    <x:tableColumn id="1" name="Date"/>
    <x:tableColumn id="2" name="Product"/>
    <x:tableColumn id="3" name="Shelf Life (days)"/>
    <x:tableColumn id="4" name="Forecast Demand (units)"/>
    <x:tableColumn id="5" name="Actual Demand (units)"/>
    <x:tableColumn id="6" name="Daily Capacity (units)"/>
    <x:tableColumn id="7" name="Baseline Planned Production"/>
    <x:tableColumn id="8" name="Baseline Execution Factor"/>
    <x:tableColumn id="9" name="Baseline Actual Production"/>
    <x:tableColumn id="10" name="Baseline Opening Stock"/>
    <x:tableColumn id="11" name="Baseline Available Stock"/>
    <x:tableColumn id="12" name="Baseline Dispatched"/>
    <x:tableColumn id="13" name="Baseline Stockout"/>
    <x:tableColumn id="14" name="Baseline Pre-write-off Stock"/>
    <x:tableColumn id="15" name="Write-off Rate Assumption"/>
    <x:tableColumn id="16" name="Baseline Est. Write-off"/>
    <x:tableColumn id="17" name="Baseline Closing Stock"/>
    <x:tableColumn id="18" name="Target Closing Stock"/>
    <x:tableColumn id="19" name="Recommended Planned Production"/>
    <x:tableColumn id="20" name="Recommended Execution Factor"/>
    <x:tableColumn id="21" name="Recommended Actual Production"/>
    <x:tableColumn id="22" name="Recommended Opening Stock"/>
    <x:tableColumn id="23" name="Recommended Available Stock"/>
    <x:tableColumn id="24" name="Recommended Dispatched"/>
    <x:tableColumn id="25" name="Recommended Stockout"/>
    <x:tableColumn id="26" name="Recommended Pre-write-off Stock"/>
    <x:tableColumn id="27" name="Recommended Est. Write-off"/>
    <x:tableColumn id="28" name="Recommended Closing Stock"/>
    <x:tableColumn id="29" name="Forecast Abs. % Error"/>
    <x:tableColumn id="30" name="Baseline Fill Rate"/>
    <x:tableColumn id="31" name="Recommended Fill Rate"/>
    <x:tableColumn id="32" name="Baseline Capacity Utilisation"/>
    <x:tableColumn id="33" name="Recommended Capacity Utilis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192df9393342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076147ba3734ede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84" hidden="0" customWidth="1"/>
  </x:cols>
  <x:sheetData>
    <x:row r="1" ht="30" customHeight="1">
      <x:c r="A1" s="4" t="str">
        <x:v>DAIRY PRODUCTION &amp; INVENTORY PLANNING CASE STUDY</x:v>
      </x:c>
      <x:c r="B1" s="4"/>
      <x:c r="C1" s="4"/>
      <x:c r="D1" s="4"/>
      <x:c r="E1" s="4"/>
      <x:c r="F1" s="4"/>
    </x:row>
    <x:row r="2" ht="27" customHeight="1">
      <x:c r="A2" s="10" t="str">
        <x:v>Independent portfolio project | All demand, capacity, inventory and scenario records are synthetic; not Sudha Dairy operational data.</x:v>
      </x:c>
      <x:c r="B2" s="10"/>
      <x:c r="C2" s="10"/>
      <x:c r="D2" s="10"/>
      <x:c r="E2" s="10"/>
      <x:c r="F2" s="10"/>
    </x:row>
    <x:row r="4" ht="36" customHeight="1">
      <x:c r="A4" s="16" t="str">
        <x:v>Business question</x:v>
      </x:c>
      <x:c r="B4" s="20" t="str">
        <x:v>How can a dairy operation align production with demand while managing inventory, stockout risk, capacity and estimated write-offs?</x:v>
      </x:c>
    </x:row>
    <x:row r="5" ht="36" customHeight="1">
      <x:c r="A5" s="16" t="str">
        <x:v>Scope</x:v>
      </x:c>
      <x:c r="B5" s="20" t="str">
        <x:v>84 days × 5 product categories = 420 synthetic SKU-day records.</x:v>
      </x:c>
    </x:row>
    <x:row r="6" ht="36" customHeight="1">
      <x:c r="A6" s="16" t="str">
        <x:v>Product mix</x:v>
      </x:c>
      <x:c r="B6" s="20" t="str">
        <x:v>Toned milk, full cream milk, curd, lassi and paneer.</x:v>
      </x:c>
    </x:row>
    <x:row r="7" ht="36" customHeight="1">
      <x:c r="A7" s="16" t="str">
        <x:v>Baseline scenario</x:v>
      </x:c>
      <x:c r="B7" s="20" t="str">
        <x:v>Plan production at 97% of forecast demand, carry opening inventory forward, and apply small execution variation.</x:v>
      </x:c>
    </x:row>
    <x:row r="8" ht="36" customHeight="1">
      <x:c r="A8" s="16" t="str">
        <x:v>Improvement scenario</x:v>
      </x:c>
      <x:c r="B8" s="20" t="str">
        <x:v>Plan for forecast demand plus a product-specific target closing-stock buffer, less opening stock, capped by assumed daily capacity.</x:v>
      </x:c>
    </x:row>
    <x:row r="9" ht="36" customHeight="1">
      <x:c r="A9" s="16" t="str">
        <x:v>Decision objective</x:v>
      </x:c>
      <x:c r="B9" s="20" t="str">
        <x:v>Compare service level, stockouts, estimated write-offs, forecast error and capacity utilisation before recommending a planning rule.</x:v>
      </x:c>
    </x:row>
    <x:row r="11">
      <x:c r="A11" s="22" t="str">
        <x:v>Synthetic scenario result</x:v>
      </x:c>
      <x:c r="B11" s="22" t="str">
        <x:v>Value</x:v>
      </x:c>
    </x:row>
    <x:row r="12" ht="22" customHeight="1">
      <x:c r="A12" s="26" t="str">
        <x:v>SKU-day records</x:v>
      </x:c>
      <x:c r="B12" t="n">
        <x:v>420</x:v>
      </x:c>
    </x:row>
    <x:row r="13" ht="22" customHeight="1">
      <x:c r="A13" s="26" t="str">
        <x:v>Mean absolute percentage error (MAPE)</x:v>
      </x:c>
      <x:c r="B13" s="30" t="n">
        <x:v>0.0978949597891443</x:v>
      </x:c>
    </x:row>
    <x:row r="14" ht="22" customHeight="1">
      <x:c r="A14" s="26" t="str">
        <x:v>Baseline fill rate</x:v>
      </x:c>
      <x:c r="B14" s="30" t="n">
        <x:v>0.9631133544508047</x:v>
      </x:c>
    </x:row>
    <x:row r="15" ht="22" customHeight="1">
      <x:c r="A15" s="26" t="str">
        <x:v>Inventory-aware scenario fill rate</x:v>
      </x:c>
      <x:c r="B15" s="30" t="n">
        <x:v>0.995344130188898</x:v>
      </x:c>
    </x:row>
    <x:row r="16" ht="22" customHeight="1">
      <x:c r="A16" s="26" t="str">
        <x:v>Baseline stockout units</x:v>
      </x:c>
      <x:c r="B16" t="n">
        <x:v>11773</x:v>
      </x:c>
    </x:row>
    <x:row r="17" ht="22" customHeight="1">
      <x:c r="A17" s="26" t="str">
        <x:v>Inventory-aware scenario stockout units</x:v>
      </x:c>
      <x:c r="B17" t="n">
        <x:v>1486</x:v>
      </x:c>
    </x:row>
    <x:row r="18" ht="22" customHeight="1">
      <x:c r="A18" s="26" t="str">
        <x:v>Modelled stockout reduction</x:v>
      </x:c>
      <x:c r="B18" s="30" t="n">
        <x:v>0.8737789858150005</x:v>
      </x:c>
    </x:row>
    <x:row r="19" ht="22" customHeight="1">
      <x:c r="A19" s="26" t="str">
        <x:v>Baseline estimated write-off units</x:v>
      </x:c>
      <x:c r="B19" t="n">
        <x:v>1260</x:v>
      </x:c>
    </x:row>
    <x:row r="20" ht="22" customHeight="1">
      <x:c r="A20" s="26" t="str">
        <x:v>Scenario estimated write-off units</x:v>
      </x:c>
      <x:c r="B20" t="n">
        <x:v>1039</x:v>
      </x:c>
    </x:row>
    <x:row r="21" ht="22" customHeight="1">
      <x:c r="A21" s="26" t="str">
        <x:v>Modelled write-off change</x:v>
      </x:c>
      <x:c r="B21" s="30" t="n">
        <x:v>-0.17539682539682538</x:v>
      </x:c>
    </x:row>
    <x:row r="23" ht="25" customHeight="1">
      <x:c r="A23" s="35" t="str">
        <x:v>Important limitation: This is a learning model, not evidence of real-world savings. The write-off rate is an assumption, not observed expiry/FEFO data. In a real operation, validate the approach with actual forecast, batch, shelf-life, production and dispatch data before taking action.</x:v>
      </x:c>
      <x:c r="B23" s="35"/>
      <x:c r="C23" s="35"/>
      <x:c r="D23" s="35"/>
      <x:c r="E23" s="35"/>
      <x:c r="F23" s="35"/>
    </x:row>
    <x:row r="24" ht="25" customHeight="1">
      <x:c r="A24" s="35"/>
      <x:c r="B24" s="35"/>
      <x:c r="C24" s="35"/>
      <x:c r="D24" s="35"/>
      <x:c r="E24" s="35"/>
      <x:c r="F24" s="35"/>
    </x:row>
  </x:sheetData>
  <x:mergeCells>
    <x:mergeCell ref="A1:F1"/>
    <x:mergeCell ref="A2:F2"/>
    <x:mergeCell ref="A23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8" max="8" width="12" hidden="0" customWidth="1"/>
    <x:col min="15" max="15" width="12" hidden="0" customWidth="1"/>
    <x:col min="20" max="20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</x:cols>
  <x:sheetData>
    <x:row r="1" ht="44" customHeight="1">
      <x:c r="A1" s="43" t="str">
        <x:v>Date</x:v>
      </x:c>
      <x:c r="B1" s="43" t="str">
        <x:v>Product</x:v>
      </x:c>
      <x:c r="C1" s="43" t="str">
        <x:v>Shelf Life (days)</x:v>
      </x:c>
      <x:c r="D1" s="43" t="str">
        <x:v>Forecast Demand (units)</x:v>
      </x:c>
      <x:c r="E1" s="43" t="str">
        <x:v>Actual Demand (units)</x:v>
      </x:c>
      <x:c r="F1" s="43" t="str">
        <x:v>Daily Capacity (units)</x:v>
      </x:c>
      <x:c r="G1" s="43" t="str">
        <x:v>Baseline Planned Production</x:v>
      </x:c>
      <x:c r="H1" s="43" t="str">
        <x:v>Baseline Execution Factor</x:v>
      </x:c>
      <x:c r="I1" s="43" t="str">
        <x:v>Baseline Actual Production</x:v>
      </x:c>
      <x:c r="J1" s="43" t="str">
        <x:v>Baseline Opening Stock</x:v>
      </x:c>
      <x:c r="K1" s="43" t="str">
        <x:v>Baseline Available Stock</x:v>
      </x:c>
      <x:c r="L1" s="43" t="str">
        <x:v>Baseline Dispatched</x:v>
      </x:c>
      <x:c r="M1" s="43" t="str">
        <x:v>Baseline Stockout</x:v>
      </x:c>
      <x:c r="N1" s="43" t="str">
        <x:v>Baseline Pre-write-off Stock</x:v>
      </x:c>
      <x:c r="O1" s="43" t="str">
        <x:v>Write-off Rate Assumption</x:v>
      </x:c>
      <x:c r="P1" s="43" t="str">
        <x:v>Baseline Est. Write-off</x:v>
      </x:c>
      <x:c r="Q1" s="43" t="str">
        <x:v>Baseline Closing Stock</x:v>
      </x:c>
      <x:c r="R1" s="43" t="str">
        <x:v>Target Closing Stock</x:v>
      </x:c>
      <x:c r="S1" s="43" t="str">
        <x:v>Recommended Planned Production</x:v>
      </x:c>
      <x:c r="T1" s="43" t="str">
        <x:v>Recommended Execution Factor</x:v>
      </x:c>
      <x:c r="U1" s="43" t="str">
        <x:v>Recommended Actual Production</x:v>
      </x:c>
      <x:c r="V1" s="43" t="str">
        <x:v>Recommended Opening Stock</x:v>
      </x:c>
      <x:c r="W1" s="43" t="str">
        <x:v>Recommended Available Stock</x:v>
      </x:c>
      <x:c r="X1" s="43" t="str">
        <x:v>Recommended Dispatched</x:v>
      </x:c>
      <x:c r="Y1" s="43" t="str">
        <x:v>Recommended Stockout</x:v>
      </x:c>
      <x:c r="Z1" s="43" t="str">
        <x:v>Recommended Pre-write-off Stock</x:v>
      </x:c>
      <x:c r="AA1" s="43" t="str">
        <x:v>Recommended Est. Write-off</x:v>
      </x:c>
      <x:c r="AB1" s="43" t="str">
        <x:v>Recommended Closing Stock</x:v>
      </x:c>
      <x:c r="AC1" s="43" t="str">
        <x:v>Forecast Abs. % Error</x:v>
      </x:c>
      <x:c r="AD1" s="43" t="str">
        <x:v>Baseline Fill Rate</x:v>
      </x:c>
      <x:c r="AE1" s="43" t="str">
        <x:v>Recommended Fill Rate</x:v>
      </x:c>
      <x:c r="AF1" s="43" t="str">
        <x:v>Baseline Capacity Utilisation</x:v>
      </x:c>
      <x:c r="AG1" s="43" t="str">
        <x:v>Recommended Capacity Utilisation</x:v>
      </x:c>
    </x:row>
    <x:row r="2">
      <x:c r="A2" s="50" t="n">
        <x:v>46162</x:v>
      </x:c>
      <x:c r="B2" s="48" t="str">
        <x:v>Toned Milk</x:v>
      </x:c>
      <x:c r="C2" s="48" t="n">
        <x:v>2</x:v>
      </x:c>
      <x:c r="D2" s="54" t="n">
        <x:v>1683</x:v>
      </x:c>
      <x:c r="E2" s="54" t="n">
        <x:v>1626</x:v>
      </x:c>
      <x:c r="F2" s="54" t="n">
        <x:v>2250</x:v>
      </x:c>
      <x:c r="G2" s="54" t="n">
        <x:f>ROUND(D2*0.97,0)</x:f>
        <x:v>1633</x:v>
      </x:c>
      <x:c r="H2" s="52" t="n">
        <x:v>1.011562525347006</x:v>
      </x:c>
      <x:c r="I2" s="54" t="n">
        <x:f>MIN(F2,ROUND(G2*H2,0))</x:f>
        <x:v>1652</x:v>
      </x:c>
      <x:c r="J2" s="54" t="n">
        <x:v>425</x:v>
      </x:c>
      <x:c r="K2" s="54" t="n">
        <x:f>I2+J2</x:f>
        <x:v>2077</x:v>
      </x:c>
      <x:c r="L2" s="54" t="n">
        <x:f>MIN(E2,K2)</x:f>
        <x:v>1626</x:v>
      </x:c>
      <x:c r="M2" s="54" t="n">
        <x:f>MAX(E2-K2,0)</x:f>
        <x:v>0</x:v>
      </x:c>
      <x:c r="N2" s="54" t="n">
        <x:f>MAX(K2-L2,0)</x:f>
        <x:v>451</x:v>
      </x:c>
      <x:c r="O2" s="52" t="n">
        <x:v>0.025</x:v>
      </x:c>
      <x:c r="P2" s="54" t="n">
        <x:f>MIN(N2,ROUND(N2*O2,0))</x:f>
        <x:v>11</x:v>
      </x:c>
      <x:c r="Q2" s="54" t="n">
        <x:f>N2-P2</x:f>
        <x:v>440</x:v>
      </x:c>
      <x:c r="R2" s="54" t="n">
        <x:v>202</x:v>
      </x:c>
      <x:c r="S2" s="54" t="n">
        <x:f>MIN(F2,MAX(0,ROUND(D2+R2-V2,0)))</x:f>
        <x:v>1460</x:v>
      </x:c>
      <x:c r="T2" s="52" t="n">
        <x:v>0.9800569105062052</x:v>
      </x:c>
      <x:c r="U2" s="54" t="n">
        <x:f>MIN(F2,MAX(0,ROUND(S2*T2,0)))</x:f>
        <x:v>1431</x:v>
      </x:c>
      <x:c r="V2" s="54" t="n">
        <x:v>425</x:v>
      </x:c>
      <x:c r="W2" s="54" t="n">
        <x:f>U2+V2</x:f>
        <x:v>1856</x:v>
      </x:c>
      <x:c r="X2" s="54" t="n">
        <x:f>MIN(E2,W2)</x:f>
        <x:v>1626</x:v>
      </x:c>
      <x:c r="Y2" s="54" t="n">
        <x:f>MAX(E2-W2,0)</x:f>
        <x:v>0</x:v>
      </x:c>
      <x:c r="Z2" s="54" t="n">
        <x:f>MAX(W2-X2,0)</x:f>
        <x:v>230</x:v>
      </x:c>
      <x:c r="AA2" s="54" t="n">
        <x:f>MIN(Z2,ROUND(Z2*O2,0))</x:f>
        <x:v>6</x:v>
      </x:c>
      <x:c r="AB2" s="54" t="n">
        <x:f>Z2-AA2</x:f>
        <x:v>224</x:v>
      </x:c>
      <x:c r="AC2" s="52" t="n">
        <x:f>IFERROR(ABS(E2-D2)/E2,0)</x:f>
        <x:v>0.03505535055350553</x:v>
      </x:c>
      <x:c r="AD2" s="52" t="n">
        <x:f>IFERROR(L2/E2,1)</x:f>
        <x:v>1</x:v>
      </x:c>
      <x:c r="AE2" s="52" t="n">
        <x:f>IFERROR(X2/E2,1)</x:f>
        <x:v>1</x:v>
      </x:c>
      <x:c r="AF2" s="52" t="n">
        <x:f>IFERROR(I2/F2,0)</x:f>
        <x:v>0.7342222222222222</x:v>
      </x:c>
      <x:c r="AG2" s="52" t="n">
        <x:f>IFERROR(U2/F2,0)</x:f>
        <x:v>0.636</x:v>
      </x:c>
    </x:row>
    <x:row r="3">
      <x:c r="A3" s="50" t="n">
        <x:v>46162</x:v>
      </x:c>
      <x:c r="B3" s="48" t="str">
        <x:v>Full Cream Milk</x:v>
      </x:c>
      <x:c r="C3" s="48" t="n">
        <x:v>2</x:v>
      </x:c>
      <x:c r="D3" s="54" t="n">
        <x:v>842</x:v>
      </x:c>
      <x:c r="E3" s="54" t="n">
        <x:v>704</x:v>
      </x:c>
      <x:c r="F3" s="54" t="n">
        <x:v>1200</x:v>
      </x:c>
      <x:c r="G3" s="54" t="n">
        <x:f>ROUND(D3*0.97,0)</x:f>
        <x:v>817</x:v>
      </x:c>
      <x:c r="H3" s="52" t="n">
        <x:v>1.0126741846682157</x:v>
      </x:c>
      <x:c r="I3" s="54" t="n">
        <x:f>MIN(F3,ROUND(G3*H3,0))</x:f>
        <x:v>827</x:v>
      </x:c>
      <x:c r="J3" s="54" t="n">
        <x:v>212</x:v>
      </x:c>
      <x:c r="K3" s="54" t="n">
        <x:f>I3+J3</x:f>
        <x:v>1039</x:v>
      </x:c>
      <x:c r="L3" s="54" t="n">
        <x:f>MIN(E3,K3)</x:f>
        <x:v>704</x:v>
      </x:c>
      <x:c r="M3" s="54" t="n">
        <x:f>MAX(E3-K3,0)</x:f>
        <x:v>0</x:v>
      </x:c>
      <x:c r="N3" s="54" t="n">
        <x:f>MAX(K3-L3,0)</x:f>
        <x:v>335</x:v>
      </x:c>
      <x:c r="O3" s="52" t="n">
        <x:v>0.03</x:v>
      </x:c>
      <x:c r="P3" s="54" t="n">
        <x:f>MIN(N3,ROUND(N3*O3,0))</x:f>
        <x:v>10</x:v>
      </x:c>
      <x:c r="Q3" s="54" t="n">
        <x:f>N3-P3</x:f>
        <x:v>325</x:v>
      </x:c>
      <x:c r="R3" s="54" t="n">
        <x:v>101</x:v>
      </x:c>
      <x:c r="S3" s="54" t="n">
        <x:f>MIN(F3,MAX(0,ROUND(D3+R3-V3,0)))</x:f>
        <x:v>731</x:v>
      </x:c>
      <x:c r="T3" s="52" t="n">
        <x:v>1.0012440299000733</x:v>
      </x:c>
      <x:c r="U3" s="54" t="n">
        <x:f>MIN(F3,MAX(0,ROUND(S3*T3,0)))</x:f>
        <x:v>732</x:v>
      </x:c>
      <x:c r="V3" s="54" t="n">
        <x:v>212</x:v>
      </x:c>
      <x:c r="W3" s="54" t="n">
        <x:f>U3+V3</x:f>
        <x:v>944</x:v>
      </x:c>
      <x:c r="X3" s="54" t="n">
        <x:f>MIN(E3,W3)</x:f>
        <x:v>704</x:v>
      </x:c>
      <x:c r="Y3" s="54" t="n">
        <x:f>MAX(E3-W3,0)</x:f>
        <x:v>0</x:v>
      </x:c>
      <x:c r="Z3" s="54" t="n">
        <x:f>MAX(W3-X3,0)</x:f>
        <x:v>240</x:v>
      </x:c>
      <x:c r="AA3" s="54" t="n">
        <x:f>MIN(Z3,ROUND(Z3*O3,0))</x:f>
        <x:v>7</x:v>
      </x:c>
      <x:c r="AB3" s="54" t="n">
        <x:f>Z3-AA3</x:f>
        <x:v>233</x:v>
      </x:c>
      <x:c r="AC3" s="52" t="n">
        <x:f>IFERROR(ABS(E3-D3)/E3,0)</x:f>
        <x:v>0.19602272727272727</x:v>
      </x:c>
      <x:c r="AD3" s="52" t="n">
        <x:f>IFERROR(L3/E3,1)</x:f>
        <x:v>1</x:v>
      </x:c>
      <x:c r="AE3" s="52" t="n">
        <x:f>IFERROR(X3/E3,1)</x:f>
        <x:v>1</x:v>
      </x:c>
      <x:c r="AF3" s="52" t="n">
        <x:f>IFERROR(I3/F3,0)</x:f>
        <x:v>0.6891666666666667</x:v>
      </x:c>
      <x:c r="AG3" s="52" t="n">
        <x:f>IFERROR(U3/F3,0)</x:f>
        <x:v>0.61</x:v>
      </x:c>
    </x:row>
    <x:row r="4">
      <x:c r="A4" s="50" t="n">
        <x:v>46162</x:v>
      </x:c>
      <x:c r="B4" s="48" t="str">
        <x:v>Curd</x:v>
      </x:c>
      <x:c r="C4" s="48" t="n">
        <x:v>7</x:v>
      </x:c>
      <x:c r="D4" s="54" t="n">
        <x:v>490</x:v>
      </x:c>
      <x:c r="E4" s="54" t="n">
        <x:v>414</x:v>
      </x:c>
      <x:c r="F4" s="54" t="n">
        <x:v>700</x:v>
      </x:c>
      <x:c r="G4" s="54" t="n">
        <x:f>ROUND(D4*0.97,0)</x:f>
        <x:v>475</x:v>
      </x:c>
      <x:c r="H4" s="52" t="n">
        <x:v>0.9889031888228146</x:v>
      </x:c>
      <x:c r="I4" s="54" t="n">
        <x:f>MIN(F4,ROUND(G4*H4,0))</x:f>
        <x:v>470</x:v>
      </x:c>
      <x:c r="J4" s="54" t="n">
        <x:v>125</x:v>
      </x:c>
      <x:c r="K4" s="54" t="n">
        <x:f>I4+J4</x:f>
        <x:v>595</x:v>
      </x:c>
      <x:c r="L4" s="54" t="n">
        <x:f>MIN(E4,K4)</x:f>
        <x:v>414</x:v>
      </x:c>
      <x:c r="M4" s="54" t="n">
        <x:f>MAX(E4-K4,0)</x:f>
        <x:v>0</x:v>
      </x:c>
      <x:c r="N4" s="54" t="n">
        <x:f>MAX(K4-L4,0)</x:f>
        <x:v>181</x:v>
      </x:c>
      <x:c r="O4" s="52" t="n">
        <x:v>0.018</x:v>
      </x:c>
      <x:c r="P4" s="54" t="n">
        <x:f>MIN(N4,ROUND(N4*O4,0))</x:f>
        <x:v>3</x:v>
      </x:c>
      <x:c r="Q4" s="54" t="n">
        <x:f>N4-P4</x:f>
        <x:v>178</x:v>
      </x:c>
      <x:c r="R4" s="54" t="n">
        <x:v>88</x:v>
      </x:c>
      <x:c r="S4" s="54" t="n">
        <x:f>MIN(F4,MAX(0,ROUND(D4+R4-V4,0)))</x:f>
        <x:v>453</x:v>
      </x:c>
      <x:c r="T4" s="52" t="n">
        <x:v>0.9820090178164229</x:v>
      </x:c>
      <x:c r="U4" s="54" t="n">
        <x:f>MIN(F4,MAX(0,ROUND(S4*T4,0)))</x:f>
        <x:v>445</x:v>
      </x:c>
      <x:c r="V4" s="54" t="n">
        <x:v>125</x:v>
      </x:c>
      <x:c r="W4" s="54" t="n">
        <x:f>U4+V4</x:f>
        <x:v>570</x:v>
      </x:c>
      <x:c r="X4" s="54" t="n">
        <x:f>MIN(E4,W4)</x:f>
        <x:v>414</x:v>
      </x:c>
      <x:c r="Y4" s="54" t="n">
        <x:f>MAX(E4-W4,0)</x:f>
        <x:v>0</x:v>
      </x:c>
      <x:c r="Z4" s="54" t="n">
        <x:f>MAX(W4-X4,0)</x:f>
        <x:v>156</x:v>
      </x:c>
      <x:c r="AA4" s="54" t="n">
        <x:f>MIN(Z4,ROUND(Z4*O4,0))</x:f>
        <x:v>3</x:v>
      </x:c>
      <x:c r="AB4" s="54" t="n">
        <x:f>Z4-AA4</x:f>
        <x:v>153</x:v>
      </x:c>
      <x:c r="AC4" s="52" t="n">
        <x:f>IFERROR(ABS(E4-D4)/E4,0)</x:f>
        <x:v>0.18357487922705315</x:v>
      </x:c>
      <x:c r="AD4" s="52" t="n">
        <x:f>IFERROR(L4/E4,1)</x:f>
        <x:v>1</x:v>
      </x:c>
      <x:c r="AE4" s="52" t="n">
        <x:f>IFERROR(X4/E4,1)</x:f>
        <x:v>1</x:v>
      </x:c>
      <x:c r="AF4" s="52" t="n">
        <x:f>IFERROR(I4/F4,0)</x:f>
        <x:v>0.6714285714285714</x:v>
      </x:c>
      <x:c r="AG4" s="52" t="n">
        <x:f>IFERROR(U4/F4,0)</x:f>
        <x:v>0.6357142857142857</x:v>
      </x:c>
    </x:row>
    <x:row r="5">
      <x:c r="A5" s="50" t="n">
        <x:v>46162</x:v>
      </x:c>
      <x:c r="B5" s="48" t="str">
        <x:v>Lassi</x:v>
      </x:c>
      <x:c r="C5" s="48" t="n">
        <x:v>7</x:v>
      </x:c>
      <x:c r="D5" s="54" t="n">
        <x:v>392</x:v>
      </x:c>
      <x:c r="E5" s="54" t="n">
        <x:v>354</x:v>
      </x:c>
      <x:c r="F5" s="54" t="n">
        <x:v>560</x:v>
      </x:c>
      <x:c r="G5" s="54" t="n">
        <x:f>ROUND(D5*0.97,0)</x:f>
        <x:v>380</x:v>
      </x:c>
      <x:c r="H5" s="52" t="n">
        <x:v>1.0155453312042866</x:v>
      </x:c>
      <x:c r="I5" s="54" t="n">
        <x:f>MIN(F5,ROUND(G5*H5,0))</x:f>
        <x:v>386</x:v>
      </x:c>
      <x:c r="J5" s="54" t="n">
        <x:v>100</x:v>
      </x:c>
      <x:c r="K5" s="54" t="n">
        <x:f>I5+J5</x:f>
        <x:v>486</x:v>
      </x:c>
      <x:c r="L5" s="54" t="n">
        <x:f>MIN(E5,K5)</x:f>
        <x:v>354</x:v>
      </x:c>
      <x:c r="M5" s="54" t="n">
        <x:f>MAX(E5-K5,0)</x:f>
        <x:v>0</x:v>
      </x:c>
      <x:c r="N5" s="54" t="n">
        <x:f>MAX(K5-L5,0)</x:f>
        <x:v>132</x:v>
      </x:c>
      <x:c r="O5" s="52" t="n">
        <x:v>0.02</x:v>
      </x:c>
      <x:c r="P5" s="54" t="n">
        <x:f>MIN(N5,ROUND(N5*O5,0))</x:f>
        <x:v>3</x:v>
      </x:c>
      <x:c r="Q5" s="54" t="n">
        <x:f>N5-P5</x:f>
        <x:v>129</x:v>
      </x:c>
      <x:c r="R5" s="54" t="n">
        <x:v>71</x:v>
      </x:c>
      <x:c r="S5" s="54" t="n">
        <x:f>MIN(F5,MAX(0,ROUND(D5+R5-V5,0)))</x:f>
        <x:v>363</x:v>
      </x:c>
      <x:c r="T5" s="52" t="n">
        <x:v>1.0023906085589511</x:v>
      </x:c>
      <x:c r="U5" s="54" t="n">
        <x:f>MIN(F5,MAX(0,ROUND(S5*T5,0)))</x:f>
        <x:v>364</x:v>
      </x:c>
      <x:c r="V5" s="54" t="n">
        <x:v>100</x:v>
      </x:c>
      <x:c r="W5" s="54" t="n">
        <x:f>U5+V5</x:f>
        <x:v>464</x:v>
      </x:c>
      <x:c r="X5" s="54" t="n">
        <x:f>MIN(E5,W5)</x:f>
        <x:v>354</x:v>
      </x:c>
      <x:c r="Y5" s="54" t="n">
        <x:f>MAX(E5-W5,0)</x:f>
        <x:v>0</x:v>
      </x:c>
      <x:c r="Z5" s="54" t="n">
        <x:f>MAX(W5-X5,0)</x:f>
        <x:v>110</x:v>
      </x:c>
      <x:c r="AA5" s="54" t="n">
        <x:f>MIN(Z5,ROUND(Z5*O5,0))</x:f>
        <x:v>2</x:v>
      </x:c>
      <x:c r="AB5" s="54" t="n">
        <x:f>Z5-AA5</x:f>
        <x:v>108</x:v>
      </x:c>
      <x:c r="AC5" s="52" t="n">
        <x:f>IFERROR(ABS(E5-D5)/E5,0)</x:f>
        <x:v>0.10734463276836158</x:v>
      </x:c>
      <x:c r="AD5" s="52" t="n">
        <x:f>IFERROR(L5/E5,1)</x:f>
        <x:v>1</x:v>
      </x:c>
      <x:c r="AE5" s="52" t="n">
        <x:f>IFERROR(X5/E5,1)</x:f>
        <x:v>1</x:v>
      </x:c>
      <x:c r="AF5" s="52" t="n">
        <x:f>IFERROR(I5/F5,0)</x:f>
        <x:v>0.6892857142857143</x:v>
      </x:c>
      <x:c r="AG5" s="52" t="n">
        <x:f>IFERROR(U5/F5,0)</x:f>
        <x:v>0.65</x:v>
      </x:c>
    </x:row>
    <x:row r="6">
      <x:c r="A6" s="50" t="n">
        <x:v>46162</x:v>
      </x:c>
      <x:c r="B6" s="48" t="str">
        <x:v>Paneer</x:v>
      </x:c>
      <x:c r="C6" s="48" t="n">
        <x:v>5</x:v>
      </x:c>
      <x:c r="D6" s="54" t="n">
        <x:v>157</x:v>
      </x:c>
      <x:c r="E6" s="54" t="n">
        <x:v>133</x:v>
      </x:c>
      <x:c r="F6" s="54" t="n">
        <x:v>230</x:v>
      </x:c>
      <x:c r="G6" s="54" t="n">
        <x:f>ROUND(D6*0.97,0)</x:f>
        <x:v>152</x:v>
      </x:c>
      <x:c r="H6" s="52" t="n">
        <x:v>1.001865557999985</x:v>
      </x:c>
      <x:c r="I6" s="54" t="n">
        <x:f>MIN(F6,ROUND(G6*H6,0))</x:f>
        <x:v>152</x:v>
      </x:c>
      <x:c r="J6" s="54" t="n">
        <x:v>40</x:v>
      </x:c>
      <x:c r="K6" s="54" t="n">
        <x:f>I6+J6</x:f>
        <x:v>192</x:v>
      </x:c>
      <x:c r="L6" s="54" t="n">
        <x:f>MIN(E6,K6)</x:f>
        <x:v>133</x:v>
      </x:c>
      <x:c r="M6" s="54" t="n">
        <x:f>MAX(E6-K6,0)</x:f>
        <x:v>0</x:v>
      </x:c>
      <x:c r="N6" s="54" t="n">
        <x:f>MAX(K6-L6,0)</x:f>
        <x:v>59</x:v>
      </x:c>
      <x:c r="O6" s="52" t="n">
        <x:v>0.025</x:v>
      </x:c>
      <x:c r="P6" s="54" t="n">
        <x:f>MIN(N6,ROUND(N6*O6,0))</x:f>
        <x:v>1</x:v>
      </x:c>
      <x:c r="Q6" s="54" t="n">
        <x:f>N6-P6</x:f>
        <x:v>58</x:v>
      </x:c>
      <x:c r="R6" s="54" t="n">
        <x:v>31</x:v>
      </x:c>
      <x:c r="S6" s="54" t="n">
        <x:f>MIN(F6,MAX(0,ROUND(D6+R6-V6,0)))</x:f>
        <x:v>148</x:v>
      </x:c>
      <x:c r="T6" s="52" t="n">
        <x:v>1.0062361753927997</x:v>
      </x:c>
      <x:c r="U6" s="54" t="n">
        <x:f>MIN(F6,MAX(0,ROUND(S6*T6,0)))</x:f>
        <x:v>149</x:v>
      </x:c>
      <x:c r="V6" s="54" t="n">
        <x:v>40</x:v>
      </x:c>
      <x:c r="W6" s="54" t="n">
        <x:f>U6+V6</x:f>
        <x:v>189</x:v>
      </x:c>
      <x:c r="X6" s="54" t="n">
        <x:f>MIN(E6,W6)</x:f>
        <x:v>133</x:v>
      </x:c>
      <x:c r="Y6" s="54" t="n">
        <x:f>MAX(E6-W6,0)</x:f>
        <x:v>0</x:v>
      </x:c>
      <x:c r="Z6" s="54" t="n">
        <x:f>MAX(W6-X6,0)</x:f>
        <x:v>56</x:v>
      </x:c>
      <x:c r="AA6" s="54" t="n">
        <x:f>MIN(Z6,ROUND(Z6*O6,0))</x:f>
        <x:v>1</x:v>
      </x:c>
      <x:c r="AB6" s="54" t="n">
        <x:f>Z6-AA6</x:f>
        <x:v>55</x:v>
      </x:c>
      <x:c r="AC6" s="52" t="n">
        <x:f>IFERROR(ABS(E6-D6)/E6,0)</x:f>
        <x:v>0.18045112781954886</x:v>
      </x:c>
      <x:c r="AD6" s="52" t="n">
        <x:f>IFERROR(L6/E6,1)</x:f>
        <x:v>1</x:v>
      </x:c>
      <x:c r="AE6" s="52" t="n">
        <x:f>IFERROR(X6/E6,1)</x:f>
        <x:v>1</x:v>
      </x:c>
      <x:c r="AF6" s="52" t="n">
        <x:f>IFERROR(I6/F6,0)</x:f>
        <x:v>0.6608695652173913</x:v>
      </x:c>
      <x:c r="AG6" s="52" t="n">
        <x:f>IFERROR(U6/F6,0)</x:f>
        <x:v>0.6478260869565218</x:v>
      </x:c>
    </x:row>
    <x:row r="7">
      <x:c r="A7" s="50" t="n">
        <x:v>46163</x:v>
      </x:c>
      <x:c r="B7" s="48" t="str">
        <x:v>Toned Milk</x:v>
      </x:c>
      <x:c r="C7" s="48" t="n">
        <x:v>2</x:v>
      </x:c>
      <x:c r="D7" s="54" t="n">
        <x:v>1701</x:v>
      </x:c>
      <x:c r="E7" s="54" t="n">
        <x:v>1663</x:v>
      </x:c>
      <x:c r="F7" s="54" t="n">
        <x:v>2250</x:v>
      </x:c>
      <x:c r="G7" s="54" t="n">
        <x:f>ROUND(D7*0.97,0)</x:f>
        <x:v>1650</x:v>
      </x:c>
      <x:c r="H7" s="52" t="n">
        <x:v>1.0094284583746245</x:v>
      </x:c>
      <x:c r="I7" s="54" t="n">
        <x:f>MIN(F7,ROUND(G7*H7,0))</x:f>
        <x:v>1666</x:v>
      </x:c>
      <x:c r="J7" s="54" t="n">
        <x:f>Q2</x:f>
        <x:v>440</x:v>
      </x:c>
      <x:c r="K7" s="54" t="n">
        <x:f>I7+J7</x:f>
        <x:v>2106</x:v>
      </x:c>
      <x:c r="L7" s="54" t="n">
        <x:f>MIN(E7,K7)</x:f>
        <x:v>1663</x:v>
      </x:c>
      <x:c r="M7" s="54" t="n">
        <x:f>MAX(E7-K7,0)</x:f>
        <x:v>0</x:v>
      </x:c>
      <x:c r="N7" s="54" t="n">
        <x:f>MAX(K7-L7,0)</x:f>
        <x:v>443</x:v>
      </x:c>
      <x:c r="O7" s="52" t="n">
        <x:v>0.025</x:v>
      </x:c>
      <x:c r="P7" s="54" t="n">
        <x:f>MIN(N7,ROUND(N7*O7,0))</x:f>
        <x:v>11</x:v>
      </x:c>
      <x:c r="Q7" s="54" t="n">
        <x:f>N7-P7</x:f>
        <x:v>432</x:v>
      </x:c>
      <x:c r="R7" s="54" t="n">
        <x:v>204</x:v>
      </x:c>
      <x:c r="S7" s="54" t="n">
        <x:f>MIN(F7,MAX(0,ROUND(D7+R7-V7,0)))</x:f>
        <x:v>1681</x:v>
      </x:c>
      <x:c r="T7" s="52" t="n">
        <x:v>0.9851106193909595</x:v>
      </x:c>
      <x:c r="U7" s="54" t="n">
        <x:f>MIN(F7,MAX(0,ROUND(S7*T7,0)))</x:f>
        <x:v>1656</x:v>
      </x:c>
      <x:c r="V7" s="54" t="n">
        <x:f>AB2</x:f>
        <x:v>224</x:v>
      </x:c>
      <x:c r="W7" s="54" t="n">
        <x:f>U7+V7</x:f>
        <x:v>1880</x:v>
      </x:c>
      <x:c r="X7" s="54" t="n">
        <x:f>MIN(E7,W7)</x:f>
        <x:v>1663</x:v>
      </x:c>
      <x:c r="Y7" s="54" t="n">
        <x:f>MAX(E7-W7,0)</x:f>
        <x:v>0</x:v>
      </x:c>
      <x:c r="Z7" s="54" t="n">
        <x:f>MAX(W7-X7,0)</x:f>
        <x:v>217</x:v>
      </x:c>
      <x:c r="AA7" s="54" t="n">
        <x:f>MIN(Z7,ROUND(Z7*O7,0))</x:f>
        <x:v>5</x:v>
      </x:c>
      <x:c r="AB7" s="54" t="n">
        <x:f>Z7-AA7</x:f>
        <x:v>212</x:v>
      </x:c>
      <x:c r="AC7" s="52" t="n">
        <x:f>IFERROR(ABS(E7-D7)/E7,0)</x:f>
        <x:v>0.022850270595309682</x:v>
      </x:c>
      <x:c r="AD7" s="52" t="n">
        <x:f>IFERROR(L7/E7,1)</x:f>
        <x:v>1</x:v>
      </x:c>
      <x:c r="AE7" s="52" t="n">
        <x:f>IFERROR(X7/E7,1)</x:f>
        <x:v>1</x:v>
      </x:c>
      <x:c r="AF7" s="52" t="n">
        <x:f>IFERROR(I7/F7,0)</x:f>
        <x:v>0.7404444444444445</x:v>
      </x:c>
      <x:c r="AG7" s="52" t="n">
        <x:f>IFERROR(U7/F7,0)</x:f>
        <x:v>0.736</x:v>
      </x:c>
    </x:row>
    <x:row r="8">
      <x:c r="A8" s="50" t="n">
        <x:v>46163</x:v>
      </x:c>
      <x:c r="B8" s="48" t="str">
        <x:v>Full Cream Milk</x:v>
      </x:c>
      <x:c r="C8" s="48" t="n">
        <x:v>2</x:v>
      </x:c>
      <x:c r="D8" s="54" t="n">
        <x:v>850</x:v>
      </x:c>
      <x:c r="E8" s="54" t="n">
        <x:v>965</x:v>
      </x:c>
      <x:c r="F8" s="54" t="n">
        <x:v>1200</x:v>
      </x:c>
      <x:c r="G8" s="54" t="n">
        <x:f>ROUND(D8*0.97,0)</x:f>
        <x:v>825</x:v>
      </x:c>
      <x:c r="H8" s="52" t="n">
        <x:v>1.0140602187145846</x:v>
      </x:c>
      <x:c r="I8" s="54" t="n">
        <x:f>MIN(F8,ROUND(G8*H8,0))</x:f>
        <x:v>837</x:v>
      </x:c>
      <x:c r="J8" s="54" t="n">
        <x:f>Q3</x:f>
        <x:v>325</x:v>
      </x:c>
      <x:c r="K8" s="54" t="n">
        <x:f>I8+J8</x:f>
        <x:v>1162</x:v>
      </x:c>
      <x:c r="L8" s="54" t="n">
        <x:f>MIN(E8,K8)</x:f>
        <x:v>965</x:v>
      </x:c>
      <x:c r="M8" s="54" t="n">
        <x:f>MAX(E8-K8,0)</x:f>
        <x:v>0</x:v>
      </x:c>
      <x:c r="N8" s="54" t="n">
        <x:f>MAX(K8-L8,0)</x:f>
        <x:v>197</x:v>
      </x:c>
      <x:c r="O8" s="52" t="n">
        <x:v>0.03</x:v>
      </x:c>
      <x:c r="P8" s="54" t="n">
        <x:f>MIN(N8,ROUND(N8*O8,0))</x:f>
        <x:v>6</x:v>
      </x:c>
      <x:c r="Q8" s="54" t="n">
        <x:f>N8-P8</x:f>
        <x:v>191</x:v>
      </x:c>
      <x:c r="R8" s="54" t="n">
        <x:v>102</x:v>
      </x:c>
      <x:c r="S8" s="54" t="n">
        <x:f>MIN(F8,MAX(0,ROUND(D8+R8-V8,0)))</x:f>
        <x:v>719</x:v>
      </x:c>
      <x:c r="T8" s="52" t="n">
        <x:v>1.0037948952839224</x:v>
      </x:c>
      <x:c r="U8" s="54" t="n">
        <x:f>MIN(F8,MAX(0,ROUND(S8*T8,0)))</x:f>
        <x:v>722</x:v>
      </x:c>
      <x:c r="V8" s="54" t="n">
        <x:f>AB3</x:f>
        <x:v>233</x:v>
      </x:c>
      <x:c r="W8" s="54" t="n">
        <x:f>U8+V8</x:f>
        <x:v>955</x:v>
      </x:c>
      <x:c r="X8" s="54" t="n">
        <x:f>MIN(E8,W8)</x:f>
        <x:v>955</x:v>
      </x:c>
      <x:c r="Y8" s="54" t="n">
        <x:f>MAX(E8-W8,0)</x:f>
        <x:v>10</x:v>
      </x:c>
      <x:c r="Z8" s="54" t="n">
        <x:f>MAX(W8-X8,0)</x:f>
        <x:v>0</x:v>
      </x:c>
      <x:c r="AA8" s="54" t="n">
        <x:f>MIN(Z8,ROUND(Z8*O8,0))</x:f>
        <x:v>0</x:v>
      </x:c>
      <x:c r="AB8" s="54" t="n">
        <x:f>Z8-AA8</x:f>
        <x:v>0</x:v>
      </x:c>
      <x:c r="AC8" s="52" t="n">
        <x:f>IFERROR(ABS(E8-D8)/E8,0)</x:f>
        <x:v>0.11917098445595854</x:v>
      </x:c>
      <x:c r="AD8" s="52" t="n">
        <x:f>IFERROR(L8/E8,1)</x:f>
        <x:v>1</x:v>
      </x:c>
      <x:c r="AE8" s="52" t="n">
        <x:f>IFERROR(X8/E8,1)</x:f>
        <x:v>0.9896373056994818</x:v>
      </x:c>
      <x:c r="AF8" s="52" t="n">
        <x:f>IFERROR(I8/F8,0)</x:f>
        <x:v>0.6975</x:v>
      </x:c>
      <x:c r="AG8" s="52" t="n">
        <x:f>IFERROR(U8/F8,0)</x:f>
        <x:v>0.6016666666666667</x:v>
      </x:c>
    </x:row>
    <x:row r="9">
      <x:c r="A9" s="50" t="n">
        <x:v>46163</x:v>
      </x:c>
      <x:c r="B9" s="48" t="str">
        <x:v>Curd</x:v>
      </x:c>
      <x:c r="C9" s="48" t="n">
        <x:v>7</x:v>
      </x:c>
      <x:c r="D9" s="54" t="n">
        <x:v>500</x:v>
      </x:c>
      <x:c r="E9" s="54" t="n">
        <x:v>538</x:v>
      </x:c>
      <x:c r="F9" s="54" t="n">
        <x:v>700</x:v>
      </x:c>
      <x:c r="G9" s="54" t="n">
        <x:f>ROUND(D9*0.97,0)</x:f>
        <x:v>485</x:v>
      </x:c>
      <x:c r="H9" s="52" t="n">
        <x:v>0.9980375247060448</x:v>
      </x:c>
      <x:c r="I9" s="54" t="n">
        <x:f>MIN(F9,ROUND(G9*H9,0))</x:f>
        <x:v>484</x:v>
      </x:c>
      <x:c r="J9" s="54" t="n">
        <x:f>Q4</x:f>
        <x:v>178</x:v>
      </x:c>
      <x:c r="K9" s="54" t="n">
        <x:f>I9+J9</x:f>
        <x:v>662</x:v>
      </x:c>
      <x:c r="L9" s="54" t="n">
        <x:f>MIN(E9,K9)</x:f>
        <x:v>538</x:v>
      </x:c>
      <x:c r="M9" s="54" t="n">
        <x:f>MAX(E9-K9,0)</x:f>
        <x:v>0</x:v>
      </x:c>
      <x:c r="N9" s="54" t="n">
        <x:f>MAX(K9-L9,0)</x:f>
        <x:v>124</x:v>
      </x:c>
      <x:c r="O9" s="52" t="n">
        <x:v>0.018</x:v>
      </x:c>
      <x:c r="P9" s="54" t="n">
        <x:f>MIN(N9,ROUND(N9*O9,0))</x:f>
        <x:v>2</x:v>
      </x:c>
      <x:c r="Q9" s="54" t="n">
        <x:f>N9-P9</x:f>
        <x:v>122</x:v>
      </x:c>
      <x:c r="R9" s="54" t="n">
        <x:v>90</x:v>
      </x:c>
      <x:c r="S9" s="54" t="n">
        <x:f>MIN(F9,MAX(0,ROUND(D9+R9-V9,0)))</x:f>
        <x:v>437</x:v>
      </x:c>
      <x:c r="T9" s="52" t="n">
        <x:v>0.9825023392710412</x:v>
      </x:c>
      <x:c r="U9" s="54" t="n">
        <x:f>MIN(F9,MAX(0,ROUND(S9*T9,0)))</x:f>
        <x:v>429</x:v>
      </x:c>
      <x:c r="V9" s="54" t="n">
        <x:f>AB4</x:f>
        <x:v>153</x:v>
      </x:c>
      <x:c r="W9" s="54" t="n">
        <x:f>U9+V9</x:f>
        <x:v>582</x:v>
      </x:c>
      <x:c r="X9" s="54" t="n">
        <x:f>MIN(E9,W9)</x:f>
        <x:v>538</x:v>
      </x:c>
      <x:c r="Y9" s="54" t="n">
        <x:f>MAX(E9-W9,0)</x:f>
        <x:v>0</x:v>
      </x:c>
      <x:c r="Z9" s="54" t="n">
        <x:f>MAX(W9-X9,0)</x:f>
        <x:v>44</x:v>
      </x:c>
      <x:c r="AA9" s="54" t="n">
        <x:f>MIN(Z9,ROUND(Z9*O9,0))</x:f>
        <x:v>1</x:v>
      </x:c>
      <x:c r="AB9" s="54" t="n">
        <x:f>Z9-AA9</x:f>
        <x:v>43</x:v>
      </x:c>
      <x:c r="AC9" s="52" t="n">
        <x:f>IFERROR(ABS(E9-D9)/E9,0)</x:f>
        <x:v>0.07063197026022305</x:v>
      </x:c>
      <x:c r="AD9" s="52" t="n">
        <x:f>IFERROR(L9/E9,1)</x:f>
        <x:v>1</x:v>
      </x:c>
      <x:c r="AE9" s="52" t="n">
        <x:f>IFERROR(X9/E9,1)</x:f>
        <x:v>1</x:v>
      </x:c>
      <x:c r="AF9" s="52" t="n">
        <x:f>IFERROR(I9/F9,0)</x:f>
        <x:v>0.6914285714285714</x:v>
      </x:c>
      <x:c r="AG9" s="52" t="n">
        <x:f>IFERROR(U9/F9,0)</x:f>
        <x:v>0.6128571428571429</x:v>
      </x:c>
    </x:row>
    <x:row r="10">
      <x:c r="A10" s="50" t="n">
        <x:v>46163</x:v>
      </x:c>
      <x:c r="B10" s="48" t="str">
        <x:v>Lassi</x:v>
      </x:c>
      <x:c r="C10" s="48" t="n">
        <x:v>7</x:v>
      </x:c>
      <x:c r="D10" s="54" t="n">
        <x:v>400</x:v>
      </x:c>
      <x:c r="E10" s="54" t="n">
        <x:v>429</x:v>
      </x:c>
      <x:c r="F10" s="54" t="n">
        <x:v>560</x:v>
      </x:c>
      <x:c r="G10" s="54" t="n">
        <x:f>ROUND(D10*0.97,0)</x:f>
        <x:v>388</x:v>
      </x:c>
      <x:c r="H10" s="52" t="n">
        <x:v>0.9837950724625354</x:v>
      </x:c>
      <x:c r="I10" s="54" t="n">
        <x:f>MIN(F10,ROUND(G10*H10,0))</x:f>
        <x:v>382</x:v>
      </x:c>
      <x:c r="J10" s="54" t="n">
        <x:f>Q5</x:f>
        <x:v>129</x:v>
      </x:c>
      <x:c r="K10" s="54" t="n">
        <x:f>I10+J10</x:f>
        <x:v>511</x:v>
      </x:c>
      <x:c r="L10" s="54" t="n">
        <x:f>MIN(E10,K10)</x:f>
        <x:v>429</x:v>
      </x:c>
      <x:c r="M10" s="54" t="n">
        <x:f>MAX(E10-K10,0)</x:f>
        <x:v>0</x:v>
      </x:c>
      <x:c r="N10" s="54" t="n">
        <x:f>MAX(K10-L10,0)</x:f>
        <x:v>82</x:v>
      </x:c>
      <x:c r="O10" s="52" t="n">
        <x:v>0.02</x:v>
      </x:c>
      <x:c r="P10" s="54" t="n">
        <x:f>MIN(N10,ROUND(N10*O10,0))</x:f>
        <x:v>2</x:v>
      </x:c>
      <x:c r="Q10" s="54" t="n">
        <x:f>N10-P10</x:f>
        <x:v>80</x:v>
      </x:c>
      <x:c r="R10" s="54" t="n">
        <x:v>72</x:v>
      </x:c>
      <x:c r="S10" s="54" t="n">
        <x:f>MIN(F10,MAX(0,ROUND(D10+R10-V10,0)))</x:f>
        <x:v>364</x:v>
      </x:c>
      <x:c r="T10" s="52" t="n">
        <x:v>0.9956359701842713</x:v>
      </x:c>
      <x:c r="U10" s="54" t="n">
        <x:f>MIN(F10,MAX(0,ROUND(S10*T10,0)))</x:f>
        <x:v>362</x:v>
      </x:c>
      <x:c r="V10" s="54" t="n">
        <x:f>AB5</x:f>
        <x:v>108</x:v>
      </x:c>
      <x:c r="W10" s="54" t="n">
        <x:f>U10+V10</x:f>
        <x:v>470</x:v>
      </x:c>
      <x:c r="X10" s="54" t="n">
        <x:f>MIN(E10,W10)</x:f>
        <x:v>429</x:v>
      </x:c>
      <x:c r="Y10" s="54" t="n">
        <x:f>MAX(E10-W10,0)</x:f>
        <x:v>0</x:v>
      </x:c>
      <x:c r="Z10" s="54" t="n">
        <x:f>MAX(W10-X10,0)</x:f>
        <x:v>41</x:v>
      </x:c>
      <x:c r="AA10" s="54" t="n">
        <x:f>MIN(Z10,ROUND(Z10*O10,0))</x:f>
        <x:v>1</x:v>
      </x:c>
      <x:c r="AB10" s="54" t="n">
        <x:f>Z10-AA10</x:f>
        <x:v>40</x:v>
      </x:c>
      <x:c r="AC10" s="52" t="n">
        <x:f>IFERROR(ABS(E10-D10)/E10,0)</x:f>
        <x:v>0.0675990675990676</x:v>
      </x:c>
      <x:c r="AD10" s="52" t="n">
        <x:f>IFERROR(L10/E10,1)</x:f>
        <x:v>1</x:v>
      </x:c>
      <x:c r="AE10" s="52" t="n">
        <x:f>IFERROR(X10/E10,1)</x:f>
        <x:v>1</x:v>
      </x:c>
      <x:c r="AF10" s="52" t="n">
        <x:f>IFERROR(I10/F10,0)</x:f>
        <x:v>0.6821428571428572</x:v>
      </x:c>
      <x:c r="AG10" s="52" t="n">
        <x:f>IFERROR(U10/F10,0)</x:f>
        <x:v>0.6464285714285715</x:v>
      </x:c>
    </x:row>
    <x:row r="11">
      <x:c r="A11" s="50" t="n">
        <x:v>46163</x:v>
      </x:c>
      <x:c r="B11" s="48" t="str">
        <x:v>Paneer</x:v>
      </x:c>
      <x:c r="C11" s="48" t="n">
        <x:v>5</x:v>
      </x:c>
      <x:c r="D11" s="54" t="n">
        <x:v>160</x:v>
      </x:c>
      <x:c r="E11" s="54" t="n">
        <x:v>158</x:v>
      </x:c>
      <x:c r="F11" s="54" t="n">
        <x:v>230</x:v>
      </x:c>
      <x:c r="G11" s="54" t="n">
        <x:f>ROUND(D11*0.97,0)</x:f>
        <x:v>155</x:v>
      </x:c>
      <x:c r="H11" s="52" t="n">
        <x:v>1.014717523441273</x:v>
      </x:c>
      <x:c r="I11" s="54" t="n">
        <x:f>MIN(F11,ROUND(G11*H11,0))</x:f>
        <x:v>157</x:v>
      </x:c>
      <x:c r="J11" s="54" t="n">
        <x:f>Q6</x:f>
        <x:v>58</x:v>
      </x:c>
      <x:c r="K11" s="54" t="n">
        <x:f>I11+J11</x:f>
        <x:v>215</x:v>
      </x:c>
      <x:c r="L11" s="54" t="n">
        <x:f>MIN(E11,K11)</x:f>
        <x:v>158</x:v>
      </x:c>
      <x:c r="M11" s="54" t="n">
        <x:f>MAX(E11-K11,0)</x:f>
        <x:v>0</x:v>
      </x:c>
      <x:c r="N11" s="54" t="n">
        <x:f>MAX(K11-L11,0)</x:f>
        <x:v>57</x:v>
      </x:c>
      <x:c r="O11" s="52" t="n">
        <x:v>0.025</x:v>
      </x:c>
      <x:c r="P11" s="54" t="n">
        <x:f>MIN(N11,ROUND(N11*O11,0))</x:f>
        <x:v>1</x:v>
      </x:c>
      <x:c r="Q11" s="54" t="n">
        <x:f>N11-P11</x:f>
        <x:v>56</x:v>
      </x:c>
      <x:c r="R11" s="54" t="n">
        <x:v>32</x:v>
      </x:c>
      <x:c r="S11" s="54" t="n">
        <x:f>MIN(F11,MAX(0,ROUND(D11+R11-V11,0)))</x:f>
        <x:v>137</x:v>
      </x:c>
      <x:c r="T11" s="52" t="n">
        <x:v>0.9934706321572663</x:v>
      </x:c>
      <x:c r="U11" s="54" t="n">
        <x:f>MIN(F11,MAX(0,ROUND(S11*T11,0)))</x:f>
        <x:v>136</x:v>
      </x:c>
      <x:c r="V11" s="54" t="n">
        <x:f>AB6</x:f>
        <x:v>55</x:v>
      </x:c>
      <x:c r="W11" s="54" t="n">
        <x:f>U11+V11</x:f>
        <x:v>191</x:v>
      </x:c>
      <x:c r="X11" s="54" t="n">
        <x:f>MIN(E11,W11)</x:f>
        <x:v>158</x:v>
      </x:c>
      <x:c r="Y11" s="54" t="n">
        <x:f>MAX(E11-W11,0)</x:f>
        <x:v>0</x:v>
      </x:c>
      <x:c r="Z11" s="54" t="n">
        <x:f>MAX(W11-X11,0)</x:f>
        <x:v>33</x:v>
      </x:c>
      <x:c r="AA11" s="54" t="n">
        <x:f>MIN(Z11,ROUND(Z11*O11,0))</x:f>
        <x:v>1</x:v>
      </x:c>
      <x:c r="AB11" s="54" t="n">
        <x:f>Z11-AA11</x:f>
        <x:v>32</x:v>
      </x:c>
      <x:c r="AC11" s="52" t="n">
        <x:f>IFERROR(ABS(E11-D11)/E11,0)</x:f>
        <x:v>0.012658227848101266</x:v>
      </x:c>
      <x:c r="AD11" s="52" t="n">
        <x:f>IFERROR(L11/E11,1)</x:f>
        <x:v>1</x:v>
      </x:c>
      <x:c r="AE11" s="52" t="n">
        <x:f>IFERROR(X11/E11,1)</x:f>
        <x:v>1</x:v>
      </x:c>
      <x:c r="AF11" s="52" t="n">
        <x:f>IFERROR(I11/F11,0)</x:f>
        <x:v>0.6826086956521739</x:v>
      </x:c>
      <x:c r="AG11" s="52" t="n">
        <x:f>IFERROR(U11/F11,0)</x:f>
        <x:v>0.591304347826087</x:v>
      </x:c>
    </x:row>
    <x:row r="12">
      <x:c r="A12" s="50" t="n">
        <x:v>46164</x:v>
      </x:c>
      <x:c r="B12" s="48" t="str">
        <x:v>Toned Milk</x:v>
      </x:c>
      <x:c r="C12" s="48" t="n">
        <x:v>2</x:v>
      </x:c>
      <x:c r="D12" s="54" t="n">
        <x:v>1769</x:v>
      </x:c>
      <x:c r="E12" s="54" t="n">
        <x:v>1637</x:v>
      </x:c>
      <x:c r="F12" s="54" t="n">
        <x:v>2250</x:v>
      </x:c>
      <x:c r="G12" s="54" t="n">
        <x:f>ROUND(D12*0.97,0)</x:f>
        <x:v>1716</x:v>
      </x:c>
      <x:c r="H12" s="52" t="n">
        <x:v>0.9813557875173233</x:v>
      </x:c>
      <x:c r="I12" s="54" t="n">
        <x:f>MIN(F12,ROUND(G12*H12,0))</x:f>
        <x:v>1684</x:v>
      </x:c>
      <x:c r="J12" s="54" t="n">
        <x:f>Q7</x:f>
        <x:v>432</x:v>
      </x:c>
      <x:c r="K12" s="54" t="n">
        <x:f>I12+J12</x:f>
        <x:v>2116</x:v>
      </x:c>
      <x:c r="L12" s="54" t="n">
        <x:f>MIN(E12,K12)</x:f>
        <x:v>1637</x:v>
      </x:c>
      <x:c r="M12" s="54" t="n">
        <x:f>MAX(E12-K12,0)</x:f>
        <x:v>0</x:v>
      </x:c>
      <x:c r="N12" s="54" t="n">
        <x:f>MAX(K12-L12,0)</x:f>
        <x:v>479</x:v>
      </x:c>
      <x:c r="O12" s="52" t="n">
        <x:v>0.025</x:v>
      </x:c>
      <x:c r="P12" s="54" t="n">
        <x:f>MIN(N12,ROUND(N12*O12,0))</x:f>
        <x:v>12</x:v>
      </x:c>
      <x:c r="Q12" s="54" t="n">
        <x:f>N12-P12</x:f>
        <x:v>467</x:v>
      </x:c>
      <x:c r="R12" s="54" t="n">
        <x:v>212</x:v>
      </x:c>
      <x:c r="S12" s="54" t="n">
        <x:f>MIN(F12,MAX(0,ROUND(D12+R12-V12,0)))</x:f>
        <x:v>1769</x:v>
      </x:c>
      <x:c r="T12" s="52" t="n">
        <x:v>0.9916952943022718</x:v>
      </x:c>
      <x:c r="U12" s="54" t="n">
        <x:f>MIN(F12,MAX(0,ROUND(S12*T12,0)))</x:f>
        <x:v>1754</x:v>
      </x:c>
      <x:c r="V12" s="54" t="n">
        <x:f>AB7</x:f>
        <x:v>212</x:v>
      </x:c>
      <x:c r="W12" s="54" t="n">
        <x:f>U12+V12</x:f>
        <x:v>1966</x:v>
      </x:c>
      <x:c r="X12" s="54" t="n">
        <x:f>MIN(E12,W12)</x:f>
        <x:v>1637</x:v>
      </x:c>
      <x:c r="Y12" s="54" t="n">
        <x:f>MAX(E12-W12,0)</x:f>
        <x:v>0</x:v>
      </x:c>
      <x:c r="Z12" s="54" t="n">
        <x:f>MAX(W12-X12,0)</x:f>
        <x:v>329</x:v>
      </x:c>
      <x:c r="AA12" s="54" t="n">
        <x:f>MIN(Z12,ROUND(Z12*O12,0))</x:f>
        <x:v>8</x:v>
      </x:c>
      <x:c r="AB12" s="54" t="n">
        <x:f>Z12-AA12</x:f>
        <x:v>321</x:v>
      </x:c>
      <x:c r="AC12" s="52" t="n">
        <x:f>IFERROR(ABS(E12-D12)/E12,0)</x:f>
        <x:v>0.08063530849114234</x:v>
      </x:c>
      <x:c r="AD12" s="52" t="n">
        <x:f>IFERROR(L12/E12,1)</x:f>
        <x:v>1</x:v>
      </x:c>
      <x:c r="AE12" s="52" t="n">
        <x:f>IFERROR(X12/E12,1)</x:f>
        <x:v>1</x:v>
      </x:c>
      <x:c r="AF12" s="52" t="n">
        <x:f>IFERROR(I12/F12,0)</x:f>
        <x:v>0.7484444444444445</x:v>
      </x:c>
      <x:c r="AG12" s="52" t="n">
        <x:f>IFERROR(U12/F12,0)</x:f>
        <x:v>0.7795555555555556</x:v>
      </x:c>
    </x:row>
    <x:row r="13">
      <x:c r="A13" s="50" t="n">
        <x:v>46164</x:v>
      </x:c>
      <x:c r="B13" s="48" t="str">
        <x:v>Full Cream Milk</x:v>
      </x:c>
      <x:c r="C13" s="48" t="n">
        <x:v>2</x:v>
      </x:c>
      <x:c r="D13" s="54" t="n">
        <x:v>885</x:v>
      </x:c>
      <x:c r="E13" s="54" t="n">
        <x:v>766</x:v>
      </x:c>
      <x:c r="F13" s="54" t="n">
        <x:v>1200</x:v>
      </x:c>
      <x:c r="G13" s="54" t="n">
        <x:f>ROUND(D13*0.97,0)</x:f>
        <x:v>858</x:v>
      </x:c>
      <x:c r="H13" s="52" t="n">
        <x:v>0.9928489826826085</x:v>
      </x:c>
      <x:c r="I13" s="54" t="n">
        <x:f>MIN(F13,ROUND(G13*H13,0))</x:f>
        <x:v>852</x:v>
      </x:c>
      <x:c r="J13" s="54" t="n">
        <x:f>Q8</x:f>
        <x:v>191</x:v>
      </x:c>
      <x:c r="K13" s="54" t="n">
        <x:f>I13+J13</x:f>
        <x:v>1043</x:v>
      </x:c>
      <x:c r="L13" s="54" t="n">
        <x:f>MIN(E13,K13)</x:f>
        <x:v>766</x:v>
      </x:c>
      <x:c r="M13" s="54" t="n">
        <x:f>MAX(E13-K13,0)</x:f>
        <x:v>0</x:v>
      </x:c>
      <x:c r="N13" s="54" t="n">
        <x:f>MAX(K13-L13,0)</x:f>
        <x:v>277</x:v>
      </x:c>
      <x:c r="O13" s="52" t="n">
        <x:v>0.03</x:v>
      </x:c>
      <x:c r="P13" s="54" t="n">
        <x:f>MIN(N13,ROUND(N13*O13,0))</x:f>
        <x:v>8</x:v>
      </x:c>
      <x:c r="Q13" s="54" t="n">
        <x:f>N13-P13</x:f>
        <x:v>269</x:v>
      </x:c>
      <x:c r="R13" s="54" t="n">
        <x:v>106</x:v>
      </x:c>
      <x:c r="S13" s="54" t="n">
        <x:f>MIN(F13,MAX(0,ROUND(D13+R13-V13,0)))</x:f>
        <x:v>991</x:v>
      </x:c>
      <x:c r="T13" s="52" t="n">
        <x:v>1.0011386195283078</x:v>
      </x:c>
      <x:c r="U13" s="54" t="n">
        <x:f>MIN(F13,MAX(0,ROUND(S13*T13,0)))</x:f>
        <x:v>992</x:v>
      </x:c>
      <x:c r="V13" s="54" t="n">
        <x:f>AB8</x:f>
        <x:v>0</x:v>
      </x:c>
      <x:c r="W13" s="54" t="n">
        <x:f>U13+V13</x:f>
        <x:v>992</x:v>
      </x:c>
      <x:c r="X13" s="54" t="n">
        <x:f>MIN(E13,W13)</x:f>
        <x:v>766</x:v>
      </x:c>
      <x:c r="Y13" s="54" t="n">
        <x:f>MAX(E13-W13,0)</x:f>
        <x:v>0</x:v>
      </x:c>
      <x:c r="Z13" s="54" t="n">
        <x:f>MAX(W13-X13,0)</x:f>
        <x:v>226</x:v>
      </x:c>
      <x:c r="AA13" s="54" t="n">
        <x:f>MIN(Z13,ROUND(Z13*O13,0))</x:f>
        <x:v>7</x:v>
      </x:c>
      <x:c r="AB13" s="54" t="n">
        <x:f>Z13-AA13</x:f>
        <x:v>219</x:v>
      </x:c>
      <x:c r="AC13" s="52" t="n">
        <x:f>IFERROR(ABS(E13-D13)/E13,0)</x:f>
        <x:v>0.15535248041775457</x:v>
      </x:c>
      <x:c r="AD13" s="52" t="n">
        <x:f>IFERROR(L13/E13,1)</x:f>
        <x:v>1</x:v>
      </x:c>
      <x:c r="AE13" s="52" t="n">
        <x:f>IFERROR(X13/E13,1)</x:f>
        <x:v>1</x:v>
      </x:c>
      <x:c r="AF13" s="52" t="n">
        <x:f>IFERROR(I13/F13,0)</x:f>
        <x:v>0.71</x:v>
      </x:c>
      <x:c r="AG13" s="52" t="n">
        <x:f>IFERROR(U13/F13,0)</x:f>
        <x:v>0.8266666666666667</x:v>
      </x:c>
    </x:row>
    <x:row r="14">
      <x:c r="A14" s="50" t="n">
        <x:v>46164</x:v>
      </x:c>
      <x:c r="B14" s="48" t="str">
        <x:v>Curd</x:v>
      </x:c>
      <x:c r="C14" s="48" t="n">
        <x:v>7</x:v>
      </x:c>
      <x:c r="D14" s="54" t="n">
        <x:v>520</x:v>
      </x:c>
      <x:c r="E14" s="54" t="n">
        <x:v>503</x:v>
      </x:c>
      <x:c r="F14" s="54" t="n">
        <x:v>700</x:v>
      </x:c>
      <x:c r="G14" s="54" t="n">
        <x:f>ROUND(D14*0.97,0)</x:f>
        <x:v>504</x:v>
      </x:c>
      <x:c r="H14" s="52" t="n">
        <x:v>1.0083063614073287</x:v>
      </x:c>
      <x:c r="I14" s="54" t="n">
        <x:f>MIN(F14,ROUND(G14*H14,0))</x:f>
        <x:v>508</x:v>
      </x:c>
      <x:c r="J14" s="54" t="n">
        <x:f>Q9</x:f>
        <x:v>122</x:v>
      </x:c>
      <x:c r="K14" s="54" t="n">
        <x:f>I14+J14</x:f>
        <x:v>630</x:v>
      </x:c>
      <x:c r="L14" s="54" t="n">
        <x:f>MIN(E14,K14)</x:f>
        <x:v>503</x:v>
      </x:c>
      <x:c r="M14" s="54" t="n">
        <x:f>MAX(E14-K14,0)</x:f>
        <x:v>0</x:v>
      </x:c>
      <x:c r="N14" s="54" t="n">
        <x:f>MAX(K14-L14,0)</x:f>
        <x:v>127</x:v>
      </x:c>
      <x:c r="O14" s="52" t="n">
        <x:v>0.018</x:v>
      </x:c>
      <x:c r="P14" s="54" t="n">
        <x:f>MIN(N14,ROUND(N14*O14,0))</x:f>
        <x:v>2</x:v>
      </x:c>
      <x:c r="Q14" s="54" t="n">
        <x:f>N14-P14</x:f>
        <x:v>125</x:v>
      </x:c>
      <x:c r="R14" s="54" t="n">
        <x:v>94</x:v>
      </x:c>
      <x:c r="S14" s="54" t="n">
        <x:f>MIN(F14,MAX(0,ROUND(D14+R14-V14,0)))</x:f>
        <x:v>571</x:v>
      </x:c>
      <x:c r="T14" s="52" t="n">
        <x:v>0.982974888769948</x:v>
      </x:c>
      <x:c r="U14" s="54" t="n">
        <x:f>MIN(F14,MAX(0,ROUND(S14*T14,0)))</x:f>
        <x:v>561</x:v>
      </x:c>
      <x:c r="V14" s="54" t="n">
        <x:f>AB9</x:f>
        <x:v>43</x:v>
      </x:c>
      <x:c r="W14" s="54" t="n">
        <x:f>U14+V14</x:f>
        <x:v>604</x:v>
      </x:c>
      <x:c r="X14" s="54" t="n">
        <x:f>MIN(E14,W14)</x:f>
        <x:v>503</x:v>
      </x:c>
      <x:c r="Y14" s="54" t="n">
        <x:f>MAX(E14-W14,0)</x:f>
        <x:v>0</x:v>
      </x:c>
      <x:c r="Z14" s="54" t="n">
        <x:f>MAX(W14-X14,0)</x:f>
        <x:v>101</x:v>
      </x:c>
      <x:c r="AA14" s="54" t="n">
        <x:f>MIN(Z14,ROUND(Z14*O14,0))</x:f>
        <x:v>2</x:v>
      </x:c>
      <x:c r="AB14" s="54" t="n">
        <x:f>Z14-AA14</x:f>
        <x:v>99</x:v>
      </x:c>
      <x:c r="AC14" s="52" t="n">
        <x:f>IFERROR(ABS(E14-D14)/E14,0)</x:f>
        <x:v>0.033797216699801194</x:v>
      </x:c>
      <x:c r="AD14" s="52" t="n">
        <x:f>IFERROR(L14/E14,1)</x:f>
        <x:v>1</x:v>
      </x:c>
      <x:c r="AE14" s="52" t="n">
        <x:f>IFERROR(X14/E14,1)</x:f>
        <x:v>1</x:v>
      </x:c>
      <x:c r="AF14" s="52" t="n">
        <x:f>IFERROR(I14/F14,0)</x:f>
        <x:v>0.7257142857142858</x:v>
      </x:c>
      <x:c r="AG14" s="52" t="n">
        <x:f>IFERROR(U14/F14,0)</x:f>
        <x:v>0.8014285714285714</x:v>
      </x:c>
    </x:row>
    <x:row r="15">
      <x:c r="A15" s="50" t="n">
        <x:v>46164</x:v>
      </x:c>
      <x:c r="B15" s="48" t="str">
        <x:v>Lassi</x:v>
      </x:c>
      <x:c r="C15" s="48" t="n">
        <x:v>7</x:v>
      </x:c>
      <x:c r="D15" s="54" t="n">
        <x:v>416</x:v>
      </x:c>
      <x:c r="E15" s="54" t="n">
        <x:v>466</x:v>
      </x:c>
      <x:c r="F15" s="54" t="n">
        <x:v>560</x:v>
      </x:c>
      <x:c r="G15" s="54" t="n">
        <x:f>ROUND(D15*0.97,0)</x:f>
        <x:v>404</x:v>
      </x:c>
      <x:c r="H15" s="52" t="n">
        <x:v>0.9816149058591268</x:v>
      </x:c>
      <x:c r="I15" s="54" t="n">
        <x:f>MIN(F15,ROUND(G15*H15,0))</x:f>
        <x:v>397</x:v>
      </x:c>
      <x:c r="J15" s="54" t="n">
        <x:f>Q10</x:f>
        <x:v>80</x:v>
      </x:c>
      <x:c r="K15" s="54" t="n">
        <x:f>I15+J15</x:f>
        <x:v>477</x:v>
      </x:c>
      <x:c r="L15" s="54" t="n">
        <x:f>MIN(E15,K15)</x:f>
        <x:v>466</x:v>
      </x:c>
      <x:c r="M15" s="54" t="n">
        <x:f>MAX(E15-K15,0)</x:f>
        <x:v>0</x:v>
      </x:c>
      <x:c r="N15" s="54" t="n">
        <x:f>MAX(K15-L15,0)</x:f>
        <x:v>11</x:v>
      </x:c>
      <x:c r="O15" s="52" t="n">
        <x:v>0.02</x:v>
      </x:c>
      <x:c r="P15" s="54" t="n">
        <x:f>MIN(N15,ROUND(N15*O15,0))</x:f>
        <x:v>0</x:v>
      </x:c>
      <x:c r="Q15" s="54" t="n">
        <x:f>N15-P15</x:f>
        <x:v>11</x:v>
      </x:c>
      <x:c r="R15" s="54" t="n">
        <x:v>75</x:v>
      </x:c>
      <x:c r="S15" s="54" t="n">
        <x:f>MIN(F15,MAX(0,ROUND(D15+R15-V15,0)))</x:f>
        <x:v>451</x:v>
      </x:c>
      <x:c r="T15" s="52" t="n">
        <x:v>0.996025356507371</x:v>
      </x:c>
      <x:c r="U15" s="54" t="n">
        <x:f>MIN(F15,MAX(0,ROUND(S15*T15,0)))</x:f>
        <x:v>449</x:v>
      </x:c>
      <x:c r="V15" s="54" t="n">
        <x:f>AB10</x:f>
        <x:v>40</x:v>
      </x:c>
      <x:c r="W15" s="54" t="n">
        <x:f>U15+V15</x:f>
        <x:v>489</x:v>
      </x:c>
      <x:c r="X15" s="54" t="n">
        <x:f>MIN(E15,W15)</x:f>
        <x:v>466</x:v>
      </x:c>
      <x:c r="Y15" s="54" t="n">
        <x:f>MAX(E15-W15,0)</x:f>
        <x:v>0</x:v>
      </x:c>
      <x:c r="Z15" s="54" t="n">
        <x:f>MAX(W15-X15,0)</x:f>
        <x:v>23</x:v>
      </x:c>
      <x:c r="AA15" s="54" t="n">
        <x:f>MIN(Z15,ROUND(Z15*O15,0))</x:f>
        <x:v>0</x:v>
      </x:c>
      <x:c r="AB15" s="54" t="n">
        <x:f>Z15-AA15</x:f>
        <x:v>23</x:v>
      </x:c>
      <x:c r="AC15" s="52" t="n">
        <x:f>IFERROR(ABS(E15-D15)/E15,0)</x:f>
        <x:v>0.1072961373390558</x:v>
      </x:c>
      <x:c r="AD15" s="52" t="n">
        <x:f>IFERROR(L15/E15,1)</x:f>
        <x:v>1</x:v>
      </x:c>
      <x:c r="AE15" s="52" t="n">
        <x:f>IFERROR(X15/E15,1)</x:f>
        <x:v>1</x:v>
      </x:c>
      <x:c r="AF15" s="52" t="n">
        <x:f>IFERROR(I15/F15,0)</x:f>
        <x:v>0.7089285714285715</x:v>
      </x:c>
      <x:c r="AG15" s="52" t="n">
        <x:f>IFERROR(U15/F15,0)</x:f>
        <x:v>0.8017857142857143</x:v>
      </x:c>
    </x:row>
    <x:row r="16">
      <x:c r="A16" s="50" t="n">
        <x:v>46164</x:v>
      </x:c>
      <x:c r="B16" s="48" t="str">
        <x:v>Paneer</x:v>
      </x:c>
      <x:c r="C16" s="48" t="n">
        <x:v>5</x:v>
      </x:c>
      <x:c r="D16" s="54" t="n">
        <x:v>167</x:v>
      </x:c>
      <x:c r="E16" s="54" t="n">
        <x:v>193</x:v>
      </x:c>
      <x:c r="F16" s="54" t="n">
        <x:v>230</x:v>
      </x:c>
      <x:c r="G16" s="54" t="n">
        <x:f>ROUND(D16*0.97,0)</x:f>
        <x:v>162</x:v>
      </x:c>
      <x:c r="H16" s="52" t="n">
        <x:v>1.0078041243481468</x:v>
      </x:c>
      <x:c r="I16" s="54" t="n">
        <x:f>MIN(F16,ROUND(G16*H16,0))</x:f>
        <x:v>163</x:v>
      </x:c>
      <x:c r="J16" s="54" t="n">
        <x:f>Q11</x:f>
        <x:v>56</x:v>
      </x:c>
      <x:c r="K16" s="54" t="n">
        <x:f>I16+J16</x:f>
        <x:v>219</x:v>
      </x:c>
      <x:c r="L16" s="54" t="n">
        <x:f>MIN(E16,K16)</x:f>
        <x:v>193</x:v>
      </x:c>
      <x:c r="M16" s="54" t="n">
        <x:f>MAX(E16-K16,0)</x:f>
        <x:v>0</x:v>
      </x:c>
      <x:c r="N16" s="54" t="n">
        <x:f>MAX(K16-L16,0)</x:f>
        <x:v>26</x:v>
      </x:c>
      <x:c r="O16" s="52" t="n">
        <x:v>0.025</x:v>
      </x:c>
      <x:c r="P16" s="54" t="n">
        <x:f>MIN(N16,ROUND(N16*O16,0))</x:f>
        <x:v>1</x:v>
      </x:c>
      <x:c r="Q16" s="54" t="n">
        <x:f>N16-P16</x:f>
        <x:v>25</x:v>
      </x:c>
      <x:c r="R16" s="54" t="n">
        <x:v>33</x:v>
      </x:c>
      <x:c r="S16" s="54" t="n">
        <x:f>MIN(F16,MAX(0,ROUND(D16+R16-V16,0)))</x:f>
        <x:v>168</x:v>
      </x:c>
      <x:c r="T16" s="52" t="n">
        <x:v>0.9831321186498687</x:v>
      </x:c>
      <x:c r="U16" s="54" t="n">
        <x:f>MIN(F16,MAX(0,ROUND(S16*T16,0)))</x:f>
        <x:v>165</x:v>
      </x:c>
      <x:c r="V16" s="54" t="n">
        <x:f>AB11</x:f>
        <x:v>32</x:v>
      </x:c>
      <x:c r="W16" s="54" t="n">
        <x:f>U16+V16</x:f>
        <x:v>197</x:v>
      </x:c>
      <x:c r="X16" s="54" t="n">
        <x:f>MIN(E16,W16)</x:f>
        <x:v>193</x:v>
      </x:c>
      <x:c r="Y16" s="54" t="n">
        <x:f>MAX(E16-W16,0)</x:f>
        <x:v>0</x:v>
      </x:c>
      <x:c r="Z16" s="54" t="n">
        <x:f>MAX(W16-X16,0)</x:f>
        <x:v>4</x:v>
      </x:c>
      <x:c r="AA16" s="54" t="n">
        <x:f>MIN(Z16,ROUND(Z16*O16,0))</x:f>
        <x:v>0</x:v>
      </x:c>
      <x:c r="AB16" s="54" t="n">
        <x:f>Z16-AA16</x:f>
        <x:v>4</x:v>
      </x:c>
      <x:c r="AC16" s="52" t="n">
        <x:f>IFERROR(ABS(E16-D16)/E16,0)</x:f>
        <x:v>0.13471502590673576</x:v>
      </x:c>
      <x:c r="AD16" s="52" t="n">
        <x:f>IFERROR(L16/E16,1)</x:f>
        <x:v>1</x:v>
      </x:c>
      <x:c r="AE16" s="52" t="n">
        <x:f>IFERROR(X16/E16,1)</x:f>
        <x:v>1</x:v>
      </x:c>
      <x:c r="AF16" s="52" t="n">
        <x:f>IFERROR(I16/F16,0)</x:f>
        <x:v>0.7086956521739131</x:v>
      </x:c>
      <x:c r="AG16" s="52" t="n">
        <x:f>IFERROR(U16/F16,0)</x:f>
        <x:v>0.717391304347826</x:v>
      </x:c>
    </x:row>
    <x:row r="17">
      <x:c r="A17" s="50" t="n">
        <x:v>46165</x:v>
      </x:c>
      <x:c r="B17" s="48" t="str">
        <x:v>Toned Milk</x:v>
      </x:c>
      <x:c r="C17" s="48" t="n">
        <x:v>2</x:v>
      </x:c>
      <x:c r="D17" s="54" t="n">
        <x:v>1940</x:v>
      </x:c>
      <x:c r="E17" s="54" t="n">
        <x:v>1812</x:v>
      </x:c>
      <x:c r="F17" s="54" t="n">
        <x:v>2250</x:v>
      </x:c>
      <x:c r="G17" s="54" t="n">
        <x:f>ROUND(D17*0.97,0)</x:f>
        <x:v>1882</x:v>
      </x:c>
      <x:c r="H17" s="52" t="n">
        <x:v>1.0129823088019083</x:v>
      </x:c>
      <x:c r="I17" s="54" t="n">
        <x:f>MIN(F17,ROUND(G17*H17,0))</x:f>
        <x:v>1906</x:v>
      </x:c>
      <x:c r="J17" s="54" t="n">
        <x:f>Q12</x:f>
        <x:v>467</x:v>
      </x:c>
      <x:c r="K17" s="54" t="n">
        <x:f>I17+J17</x:f>
        <x:v>2373</x:v>
      </x:c>
      <x:c r="L17" s="54" t="n">
        <x:f>MIN(E17,K17)</x:f>
        <x:v>1812</x:v>
      </x:c>
      <x:c r="M17" s="54" t="n">
        <x:f>MAX(E17-K17,0)</x:f>
        <x:v>0</x:v>
      </x:c>
      <x:c r="N17" s="54" t="n">
        <x:f>MAX(K17-L17,0)</x:f>
        <x:v>561</x:v>
      </x:c>
      <x:c r="O17" s="52" t="n">
        <x:v>0.025</x:v>
      </x:c>
      <x:c r="P17" s="54" t="n">
        <x:f>MIN(N17,ROUND(N17*O17,0))</x:f>
        <x:v>14</x:v>
      </x:c>
      <x:c r="Q17" s="54" t="n">
        <x:f>N17-P17</x:f>
        <x:v>547</x:v>
      </x:c>
      <x:c r="R17" s="54" t="n">
        <x:v>233</x:v>
      </x:c>
      <x:c r="S17" s="54" t="n">
        <x:f>MIN(F17,MAX(0,ROUND(D17+R17-V17,0)))</x:f>
        <x:v>1852</x:v>
      </x:c>
      <x:c r="T17" s="52" t="n">
        <x:v>0.9824311715681602</x:v>
      </x:c>
      <x:c r="U17" s="54" t="n">
        <x:f>MIN(F17,MAX(0,ROUND(S17*T17,0)))</x:f>
        <x:v>1819</x:v>
      </x:c>
      <x:c r="V17" s="54" t="n">
        <x:f>AB12</x:f>
        <x:v>321</x:v>
      </x:c>
      <x:c r="W17" s="54" t="n">
        <x:f>U17+V17</x:f>
        <x:v>2140</x:v>
      </x:c>
      <x:c r="X17" s="54" t="n">
        <x:f>MIN(E17,W17)</x:f>
        <x:v>1812</x:v>
      </x:c>
      <x:c r="Y17" s="54" t="n">
        <x:f>MAX(E17-W17,0)</x:f>
        <x:v>0</x:v>
      </x:c>
      <x:c r="Z17" s="54" t="n">
        <x:f>MAX(W17-X17,0)</x:f>
        <x:v>328</x:v>
      </x:c>
      <x:c r="AA17" s="54" t="n">
        <x:f>MIN(Z17,ROUND(Z17*O17,0))</x:f>
        <x:v>8</x:v>
      </x:c>
      <x:c r="AB17" s="54" t="n">
        <x:f>Z17-AA17</x:f>
        <x:v>320</x:v>
      </x:c>
      <x:c r="AC17" s="52" t="n">
        <x:f>IFERROR(ABS(E17-D17)/E17,0)</x:f>
        <x:v>0.0706401766004415</x:v>
      </x:c>
      <x:c r="AD17" s="52" t="n">
        <x:f>IFERROR(L17/E17,1)</x:f>
        <x:v>1</x:v>
      </x:c>
      <x:c r="AE17" s="52" t="n">
        <x:f>IFERROR(X17/E17,1)</x:f>
        <x:v>1</x:v>
      </x:c>
      <x:c r="AF17" s="52" t="n">
        <x:f>IFERROR(I17/F17,0)</x:f>
        <x:v>0.8471111111111111</x:v>
      </x:c>
      <x:c r="AG17" s="52" t="n">
        <x:f>IFERROR(U17/F17,0)</x:f>
        <x:v>0.8084444444444444</x:v>
      </x:c>
    </x:row>
    <x:row r="18">
      <x:c r="A18" s="50" t="n">
        <x:v>46165</x:v>
      </x:c>
      <x:c r="B18" s="48" t="str">
        <x:v>Full Cream Milk</x:v>
      </x:c>
      <x:c r="C18" s="48" t="n">
        <x:v>2</x:v>
      </x:c>
      <x:c r="D18" s="54" t="n">
        <x:v>970</x:v>
      </x:c>
      <x:c r="E18" s="54" t="n">
        <x:v>922</x:v>
      </x:c>
      <x:c r="F18" s="54" t="n">
        <x:v>1200</x:v>
      </x:c>
      <x:c r="G18" s="54" t="n">
        <x:f>ROUND(D18*0.97,0)</x:f>
        <x:v>941</x:v>
      </x:c>
      <x:c r="H18" s="52" t="n">
        <x:v>1.0011800336959413</x:v>
      </x:c>
      <x:c r="I18" s="54" t="n">
        <x:f>MIN(F18,ROUND(G18*H18,0))</x:f>
        <x:v>942</x:v>
      </x:c>
      <x:c r="J18" s="54" t="n">
        <x:f>Q13</x:f>
        <x:v>269</x:v>
      </x:c>
      <x:c r="K18" s="54" t="n">
        <x:f>I18+J18</x:f>
        <x:v>1211</x:v>
      </x:c>
      <x:c r="L18" s="54" t="n">
        <x:f>MIN(E18,K18)</x:f>
        <x:v>922</x:v>
      </x:c>
      <x:c r="M18" s="54" t="n">
        <x:f>MAX(E18-K18,0)</x:f>
        <x:v>0</x:v>
      </x:c>
      <x:c r="N18" s="54" t="n">
        <x:f>MAX(K18-L18,0)</x:f>
        <x:v>289</x:v>
      </x:c>
      <x:c r="O18" s="52" t="n">
        <x:v>0.03</x:v>
      </x:c>
      <x:c r="P18" s="54" t="n">
        <x:f>MIN(N18,ROUND(N18*O18,0))</x:f>
        <x:v>9</x:v>
      </x:c>
      <x:c r="Q18" s="54" t="n">
        <x:f>N18-P18</x:f>
        <x:v>280</x:v>
      </x:c>
      <x:c r="R18" s="54" t="n">
        <x:v>116</x:v>
      </x:c>
      <x:c r="S18" s="54" t="n">
        <x:f>MIN(F18,MAX(0,ROUND(D18+R18-V18,0)))</x:f>
        <x:v>867</x:v>
      </x:c>
      <x:c r="T18" s="52" t="n">
        <x:v>1.0081582458251823</x:v>
      </x:c>
      <x:c r="U18" s="54" t="n">
        <x:f>MIN(F18,MAX(0,ROUND(S18*T18,0)))</x:f>
        <x:v>874</x:v>
      </x:c>
      <x:c r="V18" s="54" t="n">
        <x:f>AB13</x:f>
        <x:v>219</x:v>
      </x:c>
      <x:c r="W18" s="54" t="n">
        <x:f>U18+V18</x:f>
        <x:v>1093</x:v>
      </x:c>
      <x:c r="X18" s="54" t="n">
        <x:f>MIN(E18,W18)</x:f>
        <x:v>922</x:v>
      </x:c>
      <x:c r="Y18" s="54" t="n">
        <x:f>MAX(E18-W18,0)</x:f>
        <x:v>0</x:v>
      </x:c>
      <x:c r="Z18" s="54" t="n">
        <x:f>MAX(W18-X18,0)</x:f>
        <x:v>171</x:v>
      </x:c>
      <x:c r="AA18" s="54" t="n">
        <x:f>MIN(Z18,ROUND(Z18*O18,0))</x:f>
        <x:v>5</x:v>
      </x:c>
      <x:c r="AB18" s="54" t="n">
        <x:f>Z18-AA18</x:f>
        <x:v>166</x:v>
      </x:c>
      <x:c r="AC18" s="52" t="n">
        <x:f>IFERROR(ABS(E18-D18)/E18,0)</x:f>
        <x:v>0.052060737527114966</x:v>
      </x:c>
      <x:c r="AD18" s="52" t="n">
        <x:f>IFERROR(L18/E18,1)</x:f>
        <x:v>1</x:v>
      </x:c>
      <x:c r="AE18" s="52" t="n">
        <x:f>IFERROR(X18/E18,1)</x:f>
        <x:v>1</x:v>
      </x:c>
      <x:c r="AF18" s="52" t="n">
        <x:f>IFERROR(I18/F18,0)</x:f>
        <x:v>0.785</x:v>
      </x:c>
      <x:c r="AG18" s="52" t="n">
        <x:f>IFERROR(U18/F18,0)</x:f>
        <x:v>0.7283333333333334</x:v>
      </x:c>
    </x:row>
    <x:row r="19">
      <x:c r="A19" s="50" t="n">
        <x:v>46165</x:v>
      </x:c>
      <x:c r="B19" s="48" t="str">
        <x:v>Curd</x:v>
      </x:c>
      <x:c r="C19" s="48" t="n">
        <x:v>7</x:v>
      </x:c>
      <x:c r="D19" s="54" t="n">
        <x:v>571</x:v>
      </x:c>
      <x:c r="E19" s="54" t="n">
        <x:v>506</x:v>
      </x:c>
      <x:c r="F19" s="54" t="n">
        <x:v>700</x:v>
      </x:c>
      <x:c r="G19" s="54" t="n">
        <x:f>ROUND(D19*0.97,0)</x:f>
        <x:v>554</x:v>
      </x:c>
      <x:c r="H19" s="52" t="n">
        <x:v>1.0147385072401498</x:v>
      </x:c>
      <x:c r="I19" s="54" t="n">
        <x:f>MIN(F19,ROUND(G19*H19,0))</x:f>
        <x:v>562</x:v>
      </x:c>
      <x:c r="J19" s="54" t="n">
        <x:f>Q14</x:f>
        <x:v>125</x:v>
      </x:c>
      <x:c r="K19" s="54" t="n">
        <x:f>I19+J19</x:f>
        <x:v>687</x:v>
      </x:c>
      <x:c r="L19" s="54" t="n">
        <x:f>MIN(E19,K19)</x:f>
        <x:v>506</x:v>
      </x:c>
      <x:c r="M19" s="54" t="n">
        <x:f>MAX(E19-K19,0)</x:f>
        <x:v>0</x:v>
      </x:c>
      <x:c r="N19" s="54" t="n">
        <x:f>MAX(K19-L19,0)</x:f>
        <x:v>181</x:v>
      </x:c>
      <x:c r="O19" s="52" t="n">
        <x:v>0.018</x:v>
      </x:c>
      <x:c r="P19" s="54" t="n">
        <x:f>MIN(N19,ROUND(N19*O19,0))</x:f>
        <x:v>3</x:v>
      </x:c>
      <x:c r="Q19" s="54" t="n">
        <x:f>N19-P19</x:f>
        <x:v>178</x:v>
      </x:c>
      <x:c r="R19" s="54" t="n">
        <x:v>103</x:v>
      </x:c>
      <x:c r="S19" s="54" t="n">
        <x:f>MIN(F19,MAX(0,ROUND(D19+R19-V19,0)))</x:f>
        <x:v>575</x:v>
      </x:c>
      <x:c r="T19" s="52" t="n">
        <x:v>0.996486670127058</x:v>
      </x:c>
      <x:c r="U19" s="54" t="n">
        <x:f>MIN(F19,MAX(0,ROUND(S19*T19,0)))</x:f>
        <x:v>573</x:v>
      </x:c>
      <x:c r="V19" s="54" t="n">
        <x:f>AB14</x:f>
        <x:v>99</x:v>
      </x:c>
      <x:c r="W19" s="54" t="n">
        <x:f>U19+V19</x:f>
        <x:v>672</x:v>
      </x:c>
      <x:c r="X19" s="54" t="n">
        <x:f>MIN(E19,W19)</x:f>
        <x:v>506</x:v>
      </x:c>
      <x:c r="Y19" s="54" t="n">
        <x:f>MAX(E19-W19,0)</x:f>
        <x:v>0</x:v>
      </x:c>
      <x:c r="Z19" s="54" t="n">
        <x:f>MAX(W19-X19,0)</x:f>
        <x:v>166</x:v>
      </x:c>
      <x:c r="AA19" s="54" t="n">
        <x:f>MIN(Z19,ROUND(Z19*O19,0))</x:f>
        <x:v>3</x:v>
      </x:c>
      <x:c r="AB19" s="54" t="n">
        <x:f>Z19-AA19</x:f>
        <x:v>163</x:v>
      </x:c>
      <x:c r="AC19" s="52" t="n">
        <x:f>IFERROR(ABS(E19-D19)/E19,0)</x:f>
        <x:v>0.12845849802371542</x:v>
      </x:c>
      <x:c r="AD19" s="52" t="n">
        <x:f>IFERROR(L19/E19,1)</x:f>
        <x:v>1</x:v>
      </x:c>
      <x:c r="AE19" s="52" t="n">
        <x:f>IFERROR(X19/E19,1)</x:f>
        <x:v>1</x:v>
      </x:c>
      <x:c r="AF19" s="52" t="n">
        <x:f>IFERROR(I19/F19,0)</x:f>
        <x:v>0.8028571428571428</x:v>
      </x:c>
      <x:c r="AG19" s="52" t="n">
        <x:f>IFERROR(U19/F19,0)</x:f>
        <x:v>0.8185714285714286</x:v>
      </x:c>
    </x:row>
    <x:row r="20">
      <x:c r="A20" s="50" t="n">
        <x:v>46165</x:v>
      </x:c>
      <x:c r="B20" s="48" t="str">
        <x:v>Lassi</x:v>
      </x:c>
      <x:c r="C20" s="48" t="n">
        <x:v>7</x:v>
      </x:c>
      <x:c r="D20" s="54" t="n">
        <x:v>452</x:v>
      </x:c>
      <x:c r="E20" s="54" t="n">
        <x:v>488</x:v>
      </x:c>
      <x:c r="F20" s="54" t="n">
        <x:v>560</x:v>
      </x:c>
      <x:c r="G20" s="54" t="n">
        <x:f>ROUND(D20*0.97,0)</x:f>
        <x:v>438</x:v>
      </x:c>
      <x:c r="H20" s="52" t="n">
        <x:v>0.9993203913661554</x:v>
      </x:c>
      <x:c r="I20" s="54" t="n">
        <x:f>MIN(F20,ROUND(G20*H20,0))</x:f>
        <x:v>438</x:v>
      </x:c>
      <x:c r="J20" s="54" t="n">
        <x:f>Q15</x:f>
        <x:v>11</x:v>
      </x:c>
      <x:c r="K20" s="54" t="n">
        <x:f>I20+J20</x:f>
        <x:v>449</x:v>
      </x:c>
      <x:c r="L20" s="54" t="n">
        <x:f>MIN(E20,K20)</x:f>
        <x:v>449</x:v>
      </x:c>
      <x:c r="M20" s="54" t="n">
        <x:f>MAX(E20-K20,0)</x:f>
        <x:v>39</x:v>
      </x:c>
      <x:c r="N20" s="54" t="n">
        <x:f>MAX(K20-L20,0)</x:f>
        <x:v>0</x:v>
      </x:c>
      <x:c r="O20" s="52" t="n">
        <x:v>0.02</x:v>
      </x:c>
      <x:c r="P20" s="54" t="n">
        <x:f>MIN(N20,ROUND(N20*O20,0))</x:f>
        <x:v>0</x:v>
      </x:c>
      <x:c r="Q20" s="54" t="n">
        <x:f>N20-P20</x:f>
        <x:v>0</x:v>
      </x:c>
      <x:c r="R20" s="54" t="n">
        <x:v>81</x:v>
      </x:c>
      <x:c r="S20" s="54" t="n">
        <x:f>MIN(F20,MAX(0,ROUND(D20+R20-V20,0)))</x:f>
        <x:v>510</x:v>
      </x:c>
      <x:c r="T20" s="52" t="n">
        <x:v>0.987636674226634</x:v>
      </x:c>
      <x:c r="U20" s="54" t="n">
        <x:f>MIN(F20,MAX(0,ROUND(S20*T20,0)))</x:f>
        <x:v>504</x:v>
      </x:c>
      <x:c r="V20" s="54" t="n">
        <x:f>AB15</x:f>
        <x:v>23</x:v>
      </x:c>
      <x:c r="W20" s="54" t="n">
        <x:f>U20+V20</x:f>
        <x:v>527</x:v>
      </x:c>
      <x:c r="X20" s="54" t="n">
        <x:f>MIN(E20,W20)</x:f>
        <x:v>488</x:v>
      </x:c>
      <x:c r="Y20" s="54" t="n">
        <x:f>MAX(E20-W20,0)</x:f>
        <x:v>0</x:v>
      </x:c>
      <x:c r="Z20" s="54" t="n">
        <x:f>MAX(W20-X20,0)</x:f>
        <x:v>39</x:v>
      </x:c>
      <x:c r="AA20" s="54" t="n">
        <x:f>MIN(Z20,ROUND(Z20*O20,0))</x:f>
        <x:v>1</x:v>
      </x:c>
      <x:c r="AB20" s="54" t="n">
        <x:f>Z20-AA20</x:f>
        <x:v>38</x:v>
      </x:c>
      <x:c r="AC20" s="52" t="n">
        <x:f>IFERROR(ABS(E20-D20)/E20,0)</x:f>
        <x:v>0.07377049180327869</x:v>
      </x:c>
      <x:c r="AD20" s="52" t="n">
        <x:f>IFERROR(L20/E20,1)</x:f>
        <x:v>0.9200819672131147</x:v>
      </x:c>
      <x:c r="AE20" s="52" t="n">
        <x:f>IFERROR(X20/E20,1)</x:f>
        <x:v>1</x:v>
      </x:c>
      <x:c r="AF20" s="52" t="n">
        <x:f>IFERROR(I20/F20,0)</x:f>
        <x:v>0.7821428571428571</x:v>
      </x:c>
      <x:c r="AG20" s="52" t="n">
        <x:f>IFERROR(U20/F20,0)</x:f>
        <x:v>0.9</x:v>
      </x:c>
    </x:row>
    <x:row r="21">
      <x:c r="A21" s="50" t="n">
        <x:v>46165</x:v>
      </x:c>
      <x:c r="B21" s="48" t="str">
        <x:v>Paneer</x:v>
      </x:c>
      <x:c r="C21" s="48" t="n">
        <x:v>5</x:v>
      </x:c>
      <x:c r="D21" s="54" t="n">
        <x:v>179</x:v>
      </x:c>
      <x:c r="E21" s="54" t="n">
        <x:v>152</x:v>
      </x:c>
      <x:c r="F21" s="54" t="n">
        <x:v>230</x:v>
      </x:c>
      <x:c r="G21" s="54" t="n">
        <x:f>ROUND(D21*0.97,0)</x:f>
        <x:v>174</x:v>
      </x:c>
      <x:c r="H21" s="52" t="n">
        <x:v>0.9834757967528374</x:v>
      </x:c>
      <x:c r="I21" s="54" t="n">
        <x:f>MIN(F21,ROUND(G21*H21,0))</x:f>
        <x:v>171</x:v>
      </x:c>
      <x:c r="J21" s="54" t="n">
        <x:f>Q16</x:f>
        <x:v>25</x:v>
      </x:c>
      <x:c r="K21" s="54" t="n">
        <x:f>I21+J21</x:f>
        <x:v>196</x:v>
      </x:c>
      <x:c r="L21" s="54" t="n">
        <x:f>MIN(E21,K21)</x:f>
        <x:v>152</x:v>
      </x:c>
      <x:c r="M21" s="54" t="n">
        <x:f>MAX(E21-K21,0)</x:f>
        <x:v>0</x:v>
      </x:c>
      <x:c r="N21" s="54" t="n">
        <x:f>MAX(K21-L21,0)</x:f>
        <x:v>44</x:v>
      </x:c>
      <x:c r="O21" s="52" t="n">
        <x:v>0.025</x:v>
      </x:c>
      <x:c r="P21" s="54" t="n">
        <x:f>MIN(N21,ROUND(N21*O21,0))</x:f>
        <x:v>1</x:v>
      </x:c>
      <x:c r="Q21" s="54" t="n">
        <x:f>N21-P21</x:f>
        <x:v>43</x:v>
      </x:c>
      <x:c r="R21" s="54" t="n">
        <x:v>36</x:v>
      </x:c>
      <x:c r="S21" s="54" t="n">
        <x:f>MIN(F21,MAX(0,ROUND(D21+R21-V21,0)))</x:f>
        <x:v>211</x:v>
      </x:c>
      <x:c r="T21" s="52" t="n">
        <x:v>1.0004045510562605</x:v>
      </x:c>
      <x:c r="U21" s="54" t="n">
        <x:f>MIN(F21,MAX(0,ROUND(S21*T21,0)))</x:f>
        <x:v>211</x:v>
      </x:c>
      <x:c r="V21" s="54" t="n">
        <x:f>AB16</x:f>
        <x:v>4</x:v>
      </x:c>
      <x:c r="W21" s="54" t="n">
        <x:f>U21+V21</x:f>
        <x:v>215</x:v>
      </x:c>
      <x:c r="X21" s="54" t="n">
        <x:f>MIN(E21,W21)</x:f>
        <x:v>152</x:v>
      </x:c>
      <x:c r="Y21" s="54" t="n">
        <x:f>MAX(E21-W21,0)</x:f>
        <x:v>0</x:v>
      </x:c>
      <x:c r="Z21" s="54" t="n">
        <x:f>MAX(W21-X21,0)</x:f>
        <x:v>63</x:v>
      </x:c>
      <x:c r="AA21" s="54" t="n">
        <x:f>MIN(Z21,ROUND(Z21*O21,0))</x:f>
        <x:v>2</x:v>
      </x:c>
      <x:c r="AB21" s="54" t="n">
        <x:f>Z21-AA21</x:f>
        <x:v>61</x:v>
      </x:c>
      <x:c r="AC21" s="52" t="n">
        <x:f>IFERROR(ABS(E21-D21)/E21,0)</x:f>
        <x:v>0.17763157894736842</x:v>
      </x:c>
      <x:c r="AD21" s="52" t="n">
        <x:f>IFERROR(L21/E21,1)</x:f>
        <x:v>1</x:v>
      </x:c>
      <x:c r="AE21" s="52" t="n">
        <x:f>IFERROR(X21/E21,1)</x:f>
        <x:v>1</x:v>
      </x:c>
      <x:c r="AF21" s="52" t="n">
        <x:f>IFERROR(I21/F21,0)</x:f>
        <x:v>0.7434782608695653</x:v>
      </x:c>
      <x:c r="AG21" s="52" t="n">
        <x:f>IFERROR(U21/F21,0)</x:f>
        <x:v>0.9173913043478261</x:v>
      </x:c>
    </x:row>
    <x:row r="22">
      <x:c r="A22" s="50" t="n">
        <x:v>46166</x:v>
      </x:c>
      <x:c r="B22" s="48" t="str">
        <x:v>Toned Milk</x:v>
      </x:c>
      <x:c r="C22" s="48" t="n">
        <x:v>2</x:v>
      </x:c>
      <x:c r="D22" s="54" t="n">
        <x:v>1907</x:v>
      </x:c>
      <x:c r="E22" s="54" t="n">
        <x:v>1583</x:v>
      </x:c>
      <x:c r="F22" s="54" t="n">
        <x:v>2250</x:v>
      </x:c>
      <x:c r="G22" s="54" t="n">
        <x:f>ROUND(D22*0.97,0)</x:f>
        <x:v>1850</x:v>
      </x:c>
      <x:c r="H22" s="52" t="n">
        <x:v>1.0143076128257857</x:v>
      </x:c>
      <x:c r="I22" s="54" t="n">
        <x:f>MIN(F22,ROUND(G22*H22,0))</x:f>
        <x:v>1876</x:v>
      </x:c>
      <x:c r="J22" s="54" t="n">
        <x:f>Q17</x:f>
        <x:v>547</x:v>
      </x:c>
      <x:c r="K22" s="54" t="n">
        <x:f>I22+J22</x:f>
        <x:v>2423</x:v>
      </x:c>
      <x:c r="L22" s="54" t="n">
        <x:f>MIN(E22,K22)</x:f>
        <x:v>1583</x:v>
      </x:c>
      <x:c r="M22" s="54" t="n">
        <x:f>MAX(E22-K22,0)</x:f>
        <x:v>0</x:v>
      </x:c>
      <x:c r="N22" s="54" t="n">
        <x:f>MAX(K22-L22,0)</x:f>
        <x:v>840</x:v>
      </x:c>
      <x:c r="O22" s="52" t="n">
        <x:v>0.025</x:v>
      </x:c>
      <x:c r="P22" s="54" t="n">
        <x:f>MIN(N22,ROUND(N22*O22,0))</x:f>
        <x:v>21</x:v>
      </x:c>
      <x:c r="Q22" s="54" t="n">
        <x:f>N22-P22</x:f>
        <x:v>819</x:v>
      </x:c>
      <x:c r="R22" s="54" t="n">
        <x:v>229</x:v>
      </x:c>
      <x:c r="S22" s="54" t="n">
        <x:f>MIN(F22,MAX(0,ROUND(D22+R22-V22,0)))</x:f>
        <x:v>1816</x:v>
      </x:c>
      <x:c r="T22" s="52" t="n">
        <x:v>1.019248215028877</x:v>
      </x:c>
      <x:c r="U22" s="54" t="n">
        <x:f>MIN(F22,MAX(0,ROUND(S22*T22,0)))</x:f>
        <x:v>1851</x:v>
      </x:c>
      <x:c r="V22" s="54" t="n">
        <x:f>AB17</x:f>
        <x:v>320</x:v>
      </x:c>
      <x:c r="W22" s="54" t="n">
        <x:f>U22+V22</x:f>
        <x:v>2171</x:v>
      </x:c>
      <x:c r="X22" s="54" t="n">
        <x:f>MIN(E22,W22)</x:f>
        <x:v>1583</x:v>
      </x:c>
      <x:c r="Y22" s="54" t="n">
        <x:f>MAX(E22-W22,0)</x:f>
        <x:v>0</x:v>
      </x:c>
      <x:c r="Z22" s="54" t="n">
        <x:f>MAX(W22-X22,0)</x:f>
        <x:v>588</x:v>
      </x:c>
      <x:c r="AA22" s="54" t="n">
        <x:f>MIN(Z22,ROUND(Z22*O22,0))</x:f>
        <x:v>15</x:v>
      </x:c>
      <x:c r="AB22" s="54" t="n">
        <x:f>Z22-AA22</x:f>
        <x:v>573</x:v>
      </x:c>
      <x:c r="AC22" s="52" t="n">
        <x:f>IFERROR(ABS(E22-D22)/E22,0)</x:f>
        <x:v>0.20467466835123183</x:v>
      </x:c>
      <x:c r="AD22" s="52" t="n">
        <x:f>IFERROR(L22/E22,1)</x:f>
        <x:v>1</x:v>
      </x:c>
      <x:c r="AE22" s="52" t="n">
        <x:f>IFERROR(X22/E22,1)</x:f>
        <x:v>1</x:v>
      </x:c>
      <x:c r="AF22" s="52" t="n">
        <x:f>IFERROR(I22/F22,0)</x:f>
        <x:v>0.8337777777777777</x:v>
      </x:c>
      <x:c r="AG22" s="52" t="n">
        <x:f>IFERROR(U22/F22,0)</x:f>
        <x:v>0.8226666666666667</x:v>
      </x:c>
    </x:row>
    <x:row r="23">
      <x:c r="A23" s="50" t="n">
        <x:v>46166</x:v>
      </x:c>
      <x:c r="B23" s="48" t="str">
        <x:v>Full Cream Milk</x:v>
      </x:c>
      <x:c r="C23" s="48" t="n">
        <x:v>2</x:v>
      </x:c>
      <x:c r="D23" s="54" t="n">
        <x:v>953</x:v>
      </x:c>
      <x:c r="E23" s="54" t="n">
        <x:v>830</x:v>
      </x:c>
      <x:c r="F23" s="54" t="n">
        <x:v>1200</x:v>
      </x:c>
      <x:c r="G23" s="54" t="n">
        <x:f>ROUND(D23*0.97,0)</x:f>
        <x:v>924</x:v>
      </x:c>
      <x:c r="H23" s="52" t="n">
        <x:v>0.998841934339306</x:v>
      </x:c>
      <x:c r="I23" s="54" t="n">
        <x:f>MIN(F23,ROUND(G23*H23,0))</x:f>
        <x:v>923</x:v>
      </x:c>
      <x:c r="J23" s="54" t="n">
        <x:f>Q18</x:f>
        <x:v>280</x:v>
      </x:c>
      <x:c r="K23" s="54" t="n">
        <x:f>I23+J23</x:f>
        <x:v>1203</x:v>
      </x:c>
      <x:c r="L23" s="54" t="n">
        <x:f>MIN(E23,K23)</x:f>
        <x:v>830</x:v>
      </x:c>
      <x:c r="M23" s="54" t="n">
        <x:f>MAX(E23-K23,0)</x:f>
        <x:v>0</x:v>
      </x:c>
      <x:c r="N23" s="54" t="n">
        <x:f>MAX(K23-L23,0)</x:f>
        <x:v>373</x:v>
      </x:c>
      <x:c r="O23" s="52" t="n">
        <x:v>0.03</x:v>
      </x:c>
      <x:c r="P23" s="54" t="n">
        <x:f>MIN(N23,ROUND(N23*O23,0))</x:f>
        <x:v>11</x:v>
      </x:c>
      <x:c r="Q23" s="54" t="n">
        <x:f>N23-P23</x:f>
        <x:v>362</x:v>
      </x:c>
      <x:c r="R23" s="54" t="n">
        <x:v>114</x:v>
      </x:c>
      <x:c r="S23" s="54" t="n">
        <x:f>MIN(F23,MAX(0,ROUND(D23+R23-V23,0)))</x:f>
        <x:v>901</x:v>
      </x:c>
      <x:c r="T23" s="52" t="n">
        <x:v>0.990239805884295</x:v>
      </x:c>
      <x:c r="U23" s="54" t="n">
        <x:f>MIN(F23,MAX(0,ROUND(S23*T23,0)))</x:f>
        <x:v>892</x:v>
      </x:c>
      <x:c r="V23" s="54" t="n">
        <x:f>AB18</x:f>
        <x:v>166</x:v>
      </x:c>
      <x:c r="W23" s="54" t="n">
        <x:f>U23+V23</x:f>
        <x:v>1058</x:v>
      </x:c>
      <x:c r="X23" s="54" t="n">
        <x:f>MIN(E23,W23)</x:f>
        <x:v>830</x:v>
      </x:c>
      <x:c r="Y23" s="54" t="n">
        <x:f>MAX(E23-W23,0)</x:f>
        <x:v>0</x:v>
      </x:c>
      <x:c r="Z23" s="54" t="n">
        <x:f>MAX(W23-X23,0)</x:f>
        <x:v>228</x:v>
      </x:c>
      <x:c r="AA23" s="54" t="n">
        <x:f>MIN(Z23,ROUND(Z23*O23,0))</x:f>
        <x:v>7</x:v>
      </x:c>
      <x:c r="AB23" s="54" t="n">
        <x:f>Z23-AA23</x:f>
        <x:v>221</x:v>
      </x:c>
      <x:c r="AC23" s="52" t="n">
        <x:f>IFERROR(ABS(E23-D23)/E23,0)</x:f>
        <x:v>0.14819277108433734</x:v>
      </x:c>
      <x:c r="AD23" s="52" t="n">
        <x:f>IFERROR(L23/E23,1)</x:f>
        <x:v>1</x:v>
      </x:c>
      <x:c r="AE23" s="52" t="n">
        <x:f>IFERROR(X23/E23,1)</x:f>
        <x:v>1</x:v>
      </x:c>
      <x:c r="AF23" s="52" t="n">
        <x:f>IFERROR(I23/F23,0)</x:f>
        <x:v>0.7691666666666667</x:v>
      </x:c>
      <x:c r="AG23" s="52" t="n">
        <x:f>IFERROR(U23/F23,0)</x:f>
        <x:v>0.7433333333333333</x:v>
      </x:c>
    </x:row>
    <x:row r="24">
      <x:c r="A24" s="50" t="n">
        <x:v>46166</x:v>
      </x:c>
      <x:c r="B24" s="48" t="str">
        <x:v>Curd</x:v>
      </x:c>
      <x:c r="C24" s="48" t="n">
        <x:v>7</x:v>
      </x:c>
      <x:c r="D24" s="54" t="n">
        <x:v>581</x:v>
      </x:c>
      <x:c r="E24" s="54" t="n">
        <x:v>676</x:v>
      </x:c>
      <x:c r="F24" s="54" t="n">
        <x:v>700</x:v>
      </x:c>
      <x:c r="G24" s="54" t="n">
        <x:f>ROUND(D24*0.97,0)</x:f>
        <x:v>564</x:v>
      </x:c>
      <x:c r="H24" s="52" t="n">
        <x:v>0.9860997865266539</x:v>
      </x:c>
      <x:c r="I24" s="54" t="n">
        <x:f>MIN(F24,ROUND(G24*H24,0))</x:f>
        <x:v>556</x:v>
      </x:c>
      <x:c r="J24" s="54" t="n">
        <x:f>Q19</x:f>
        <x:v>178</x:v>
      </x:c>
      <x:c r="K24" s="54" t="n">
        <x:f>I24+J24</x:f>
        <x:v>734</x:v>
      </x:c>
      <x:c r="L24" s="54" t="n">
        <x:f>MIN(E24,K24)</x:f>
        <x:v>676</x:v>
      </x:c>
      <x:c r="M24" s="54" t="n">
        <x:f>MAX(E24-K24,0)</x:f>
        <x:v>0</x:v>
      </x:c>
      <x:c r="N24" s="54" t="n">
        <x:f>MAX(K24-L24,0)</x:f>
        <x:v>58</x:v>
      </x:c>
      <x:c r="O24" s="52" t="n">
        <x:v>0.018</x:v>
      </x:c>
      <x:c r="P24" s="54" t="n">
        <x:f>MIN(N24,ROUND(N24*O24,0))</x:f>
        <x:v>1</x:v>
      </x:c>
      <x:c r="Q24" s="54" t="n">
        <x:f>N24-P24</x:f>
        <x:v>57</x:v>
      </x:c>
      <x:c r="R24" s="54" t="n">
        <x:v>105</x:v>
      </x:c>
      <x:c r="S24" s="54" t="n">
        <x:f>MIN(F24,MAX(0,ROUND(D24+R24-V24,0)))</x:f>
        <x:v>523</x:v>
      </x:c>
      <x:c r="T24" s="52" t="n">
        <x:v>1.0126264984681148</x:v>
      </x:c>
      <x:c r="U24" s="54" t="n">
        <x:f>MIN(F24,MAX(0,ROUND(S24*T24,0)))</x:f>
        <x:v>530</x:v>
      </x:c>
      <x:c r="V24" s="54" t="n">
        <x:f>AB19</x:f>
        <x:v>163</x:v>
      </x:c>
      <x:c r="W24" s="54" t="n">
        <x:f>U24+V24</x:f>
        <x:v>693</x:v>
      </x:c>
      <x:c r="X24" s="54" t="n">
        <x:f>MIN(E24,W24)</x:f>
        <x:v>676</x:v>
      </x:c>
      <x:c r="Y24" s="54" t="n">
        <x:f>MAX(E24-W24,0)</x:f>
        <x:v>0</x:v>
      </x:c>
      <x:c r="Z24" s="54" t="n">
        <x:f>MAX(W24-X24,0)</x:f>
        <x:v>17</x:v>
      </x:c>
      <x:c r="AA24" s="54" t="n">
        <x:f>MIN(Z24,ROUND(Z24*O24,0))</x:f>
        <x:v>0</x:v>
      </x:c>
      <x:c r="AB24" s="54" t="n">
        <x:f>Z24-AA24</x:f>
        <x:v>17</x:v>
      </x:c>
      <x:c r="AC24" s="52" t="n">
        <x:f>IFERROR(ABS(E24-D24)/E24,0)</x:f>
        <x:v>0.14053254437869822</x:v>
      </x:c>
      <x:c r="AD24" s="52" t="n">
        <x:f>IFERROR(L24/E24,1)</x:f>
        <x:v>1</x:v>
      </x:c>
      <x:c r="AE24" s="52" t="n">
        <x:f>IFERROR(X24/E24,1)</x:f>
        <x:v>1</x:v>
      </x:c>
      <x:c r="AF24" s="52" t="n">
        <x:f>IFERROR(I24/F24,0)</x:f>
        <x:v>0.7942857142857143</x:v>
      </x:c>
      <x:c r="AG24" s="52" t="n">
        <x:f>IFERROR(U24/F24,0)</x:f>
        <x:v>0.7571428571428571</x:v>
      </x:c>
    </x:row>
    <x:row r="25">
      <x:c r="A25" s="50" t="n">
        <x:v>46166</x:v>
      </x:c>
      <x:c r="B25" s="48" t="str">
        <x:v>Lassi</x:v>
      </x:c>
      <x:c r="C25" s="48" t="n">
        <x:v>7</x:v>
      </x:c>
      <x:c r="D25" s="54" t="n">
        <x:v>465</x:v>
      </x:c>
      <x:c r="E25" s="54" t="n">
        <x:v>387</x:v>
      </x:c>
      <x:c r="F25" s="54" t="n">
        <x:v>560</x:v>
      </x:c>
      <x:c r="G25" s="54" t="n">
        <x:f>ROUND(D25*0.97,0)</x:f>
        <x:v>451</x:v>
      </x:c>
      <x:c r="H25" s="52" t="n">
        <x:v>1.0031725934185487</x:v>
      </x:c>
      <x:c r="I25" s="54" t="n">
        <x:f>MIN(F25,ROUND(G25*H25,0))</x:f>
        <x:v>452</x:v>
      </x:c>
      <x:c r="J25" s="54" t="n">
        <x:f>Q20</x:f>
        <x:v>0</x:v>
      </x:c>
      <x:c r="K25" s="54" t="n">
        <x:f>I25+J25</x:f>
        <x:v>452</x:v>
      </x:c>
      <x:c r="L25" s="54" t="n">
        <x:f>MIN(E25,K25)</x:f>
        <x:v>387</x:v>
      </x:c>
      <x:c r="M25" s="54" t="n">
        <x:f>MAX(E25-K25,0)</x:f>
        <x:v>0</x:v>
      </x:c>
      <x:c r="N25" s="54" t="n">
        <x:f>MAX(K25-L25,0)</x:f>
        <x:v>65</x:v>
      </x:c>
      <x:c r="O25" s="52" t="n">
        <x:v>0.02</x:v>
      </x:c>
      <x:c r="P25" s="54" t="n">
        <x:f>MIN(N25,ROUND(N25*O25,0))</x:f>
        <x:v>1</x:v>
      </x:c>
      <x:c r="Q25" s="54" t="n">
        <x:f>N25-P25</x:f>
        <x:v>64</x:v>
      </x:c>
      <x:c r="R25" s="54" t="n">
        <x:v>84</x:v>
      </x:c>
      <x:c r="S25" s="54" t="n">
        <x:f>MIN(F25,MAX(0,ROUND(D25+R25-V25,0)))</x:f>
        <x:v>511</x:v>
      </x:c>
      <x:c r="T25" s="52" t="n">
        <x:v>0.9892209636431402</x:v>
      </x:c>
      <x:c r="U25" s="54" t="n">
        <x:f>MIN(F25,MAX(0,ROUND(S25*T25,0)))</x:f>
        <x:v>505</x:v>
      </x:c>
      <x:c r="V25" s="54" t="n">
        <x:f>AB20</x:f>
        <x:v>38</x:v>
      </x:c>
      <x:c r="W25" s="54" t="n">
        <x:f>U25+V25</x:f>
        <x:v>543</x:v>
      </x:c>
      <x:c r="X25" s="54" t="n">
        <x:f>MIN(E25,W25)</x:f>
        <x:v>387</x:v>
      </x:c>
      <x:c r="Y25" s="54" t="n">
        <x:f>MAX(E25-W25,0)</x:f>
        <x:v>0</x:v>
      </x:c>
      <x:c r="Z25" s="54" t="n">
        <x:f>MAX(W25-X25,0)</x:f>
        <x:v>156</x:v>
      </x:c>
      <x:c r="AA25" s="54" t="n">
        <x:f>MIN(Z25,ROUND(Z25*O25,0))</x:f>
        <x:v>3</x:v>
      </x:c>
      <x:c r="AB25" s="54" t="n">
        <x:f>Z25-AA25</x:f>
        <x:v>153</x:v>
      </x:c>
      <x:c r="AC25" s="52" t="n">
        <x:f>IFERROR(ABS(E25-D25)/E25,0)</x:f>
        <x:v>0.20155038759689922</x:v>
      </x:c>
      <x:c r="AD25" s="52" t="n">
        <x:f>IFERROR(L25/E25,1)</x:f>
        <x:v>1</x:v>
      </x:c>
      <x:c r="AE25" s="52" t="n">
        <x:f>IFERROR(X25/E25,1)</x:f>
        <x:v>1</x:v>
      </x:c>
      <x:c r="AF25" s="52" t="n">
        <x:f>IFERROR(I25/F25,0)</x:f>
        <x:v>0.8071428571428572</x:v>
      </x:c>
      <x:c r="AG25" s="52" t="n">
        <x:f>IFERROR(U25/F25,0)</x:f>
        <x:v>0.9017857142857143</x:v>
      </x:c>
    </x:row>
    <x:row r="26">
      <x:c r="A26" s="50" t="n">
        <x:v>46166</x:v>
      </x:c>
      <x:c r="B26" s="48" t="str">
        <x:v>Paneer</x:v>
      </x:c>
      <x:c r="C26" s="48" t="n">
        <x:v>5</x:v>
      </x:c>
      <x:c r="D26" s="54" t="n">
        <x:v>184</x:v>
      </x:c>
      <x:c r="E26" s="54" t="n">
        <x:v>199</x:v>
      </x:c>
      <x:c r="F26" s="54" t="n">
        <x:v>230</x:v>
      </x:c>
      <x:c r="G26" s="54" t="n">
        <x:f>ROUND(D26*0.97,0)</x:f>
        <x:v>178</x:v>
      </x:c>
      <x:c r="H26" s="52" t="n">
        <x:v>0.9845963689086606</x:v>
      </x:c>
      <x:c r="I26" s="54" t="n">
        <x:f>MIN(F26,ROUND(G26*H26,0))</x:f>
        <x:v>175</x:v>
      </x:c>
      <x:c r="J26" s="54" t="n">
        <x:f>Q21</x:f>
        <x:v>43</x:v>
      </x:c>
      <x:c r="K26" s="54" t="n">
        <x:f>I26+J26</x:f>
        <x:v>218</x:v>
      </x:c>
      <x:c r="L26" s="54" t="n">
        <x:f>MIN(E26,K26)</x:f>
        <x:v>199</x:v>
      </x:c>
      <x:c r="M26" s="54" t="n">
        <x:f>MAX(E26-K26,0)</x:f>
        <x:v>0</x:v>
      </x:c>
      <x:c r="N26" s="54" t="n">
        <x:f>MAX(K26-L26,0)</x:f>
        <x:v>19</x:v>
      </x:c>
      <x:c r="O26" s="52" t="n">
        <x:v>0.025</x:v>
      </x:c>
      <x:c r="P26" s="54" t="n">
        <x:f>MIN(N26,ROUND(N26*O26,0))</x:f>
        <x:v>0</x:v>
      </x:c>
      <x:c r="Q26" s="54" t="n">
        <x:f>N26-P26</x:f>
        <x:v>19</x:v>
      </x:c>
      <x:c r="R26" s="54" t="n">
        <x:v>37</x:v>
      </x:c>
      <x:c r="S26" s="54" t="n">
        <x:f>MIN(F26,MAX(0,ROUND(D26+R26-V26,0)))</x:f>
        <x:v>160</x:v>
      </x:c>
      <x:c r="T26" s="52" t="n">
        <x:v>0.9823434356350911</x:v>
      </x:c>
      <x:c r="U26" s="54" t="n">
        <x:f>MIN(F26,MAX(0,ROUND(S26*T26,0)))</x:f>
        <x:v>157</x:v>
      </x:c>
      <x:c r="V26" s="54" t="n">
        <x:f>AB21</x:f>
        <x:v>61</x:v>
      </x:c>
      <x:c r="W26" s="54" t="n">
        <x:f>U26+V26</x:f>
        <x:v>218</x:v>
      </x:c>
      <x:c r="X26" s="54" t="n">
        <x:f>MIN(E26,W26)</x:f>
        <x:v>199</x:v>
      </x:c>
      <x:c r="Y26" s="54" t="n">
        <x:f>MAX(E26-W26,0)</x:f>
        <x:v>0</x:v>
      </x:c>
      <x:c r="Z26" s="54" t="n">
        <x:f>MAX(W26-X26,0)</x:f>
        <x:v>19</x:v>
      </x:c>
      <x:c r="AA26" s="54" t="n">
        <x:f>MIN(Z26,ROUND(Z26*O26,0))</x:f>
        <x:v>0</x:v>
      </x:c>
      <x:c r="AB26" s="54" t="n">
        <x:f>Z26-AA26</x:f>
        <x:v>19</x:v>
      </x:c>
      <x:c r="AC26" s="52" t="n">
        <x:f>IFERROR(ABS(E26-D26)/E26,0)</x:f>
        <x:v>0.07537688442211055</x:v>
      </x:c>
      <x:c r="AD26" s="52" t="n">
        <x:f>IFERROR(L26/E26,1)</x:f>
        <x:v>1</x:v>
      </x:c>
      <x:c r="AE26" s="52" t="n">
        <x:f>IFERROR(X26/E26,1)</x:f>
        <x:v>1</x:v>
      </x:c>
      <x:c r="AF26" s="52" t="n">
        <x:f>IFERROR(I26/F26,0)</x:f>
        <x:v>0.7608695652173914</x:v>
      </x:c>
      <x:c r="AG26" s="52" t="n">
        <x:f>IFERROR(U26/F26,0)</x:f>
        <x:v>0.6826086956521739</x:v>
      </x:c>
    </x:row>
    <x:row r="27">
      <x:c r="A27" s="50" t="n">
        <x:v>46167</x:v>
      </x:c>
      <x:c r="B27" s="48" t="str">
        <x:v>Toned Milk</x:v>
      </x:c>
      <x:c r="C27" s="48" t="n">
        <x:v>2</x:v>
      </x:c>
      <x:c r="D27" s="54" t="n">
        <x:v>1635</x:v>
      </x:c>
      <x:c r="E27" s="54" t="n">
        <x:v>1350</x:v>
      </x:c>
      <x:c r="F27" s="54" t="n">
        <x:v>2250</x:v>
      </x:c>
      <x:c r="G27" s="54" t="n">
        <x:f>ROUND(D27*0.97,0)</x:f>
        <x:v>1586</x:v>
      </x:c>
      <x:c r="H27" s="52" t="n">
        <x:v>1.01831024742093</x:v>
      </x:c>
      <x:c r="I27" s="54" t="n">
        <x:f>MIN(F27,ROUND(G27*H27,0))</x:f>
        <x:v>1615</x:v>
      </x:c>
      <x:c r="J27" s="54" t="n">
        <x:f>Q22</x:f>
        <x:v>819</x:v>
      </x:c>
      <x:c r="K27" s="54" t="n">
        <x:f>I27+J27</x:f>
        <x:v>2434</x:v>
      </x:c>
      <x:c r="L27" s="54" t="n">
        <x:f>MIN(E27,K27)</x:f>
        <x:v>1350</x:v>
      </x:c>
      <x:c r="M27" s="54" t="n">
        <x:f>MAX(E27-K27,0)</x:f>
        <x:v>0</x:v>
      </x:c>
      <x:c r="N27" s="54" t="n">
        <x:f>MAX(K27-L27,0)</x:f>
        <x:v>1084</x:v>
      </x:c>
      <x:c r="O27" s="52" t="n">
        <x:v>0.025</x:v>
      </x:c>
      <x:c r="P27" s="54" t="n">
        <x:f>MIN(N27,ROUND(N27*O27,0))</x:f>
        <x:v>27</x:v>
      </x:c>
      <x:c r="Q27" s="54" t="n">
        <x:f>N27-P27</x:f>
        <x:v>1057</x:v>
      </x:c>
      <x:c r="R27" s="54" t="n">
        <x:v>196</x:v>
      </x:c>
      <x:c r="S27" s="54" t="n">
        <x:f>MIN(F27,MAX(0,ROUND(D27+R27-V27,0)))</x:f>
        <x:v>1258</x:v>
      </x:c>
      <x:c r="T27" s="52" t="n">
        <x:v>1.0101668732819444</x:v>
      </x:c>
      <x:c r="U27" s="54" t="n">
        <x:f>MIN(F27,MAX(0,ROUND(S27*T27,0)))</x:f>
        <x:v>1271</x:v>
      </x:c>
      <x:c r="V27" s="54" t="n">
        <x:f>AB22</x:f>
        <x:v>573</x:v>
      </x:c>
      <x:c r="W27" s="54" t="n">
        <x:f>U27+V27</x:f>
        <x:v>1844</x:v>
      </x:c>
      <x:c r="X27" s="54" t="n">
        <x:f>MIN(E27,W27)</x:f>
        <x:v>1350</x:v>
      </x:c>
      <x:c r="Y27" s="54" t="n">
        <x:f>MAX(E27-W27,0)</x:f>
        <x:v>0</x:v>
      </x:c>
      <x:c r="Z27" s="54" t="n">
        <x:f>MAX(W27-X27,0)</x:f>
        <x:v>494</x:v>
      </x:c>
      <x:c r="AA27" s="54" t="n">
        <x:f>MIN(Z27,ROUND(Z27*O27,0))</x:f>
        <x:v>12</x:v>
      </x:c>
      <x:c r="AB27" s="54" t="n">
        <x:f>Z27-AA27</x:f>
        <x:v>482</x:v>
      </x:c>
      <x:c r="AC27" s="52" t="n">
        <x:f>IFERROR(ABS(E27-D27)/E27,0)</x:f>
        <x:v>0.2111111111111111</x:v>
      </x:c>
      <x:c r="AD27" s="52" t="n">
        <x:f>IFERROR(L27/E27,1)</x:f>
        <x:v>1</x:v>
      </x:c>
      <x:c r="AE27" s="52" t="n">
        <x:f>IFERROR(X27/E27,1)</x:f>
        <x:v>1</x:v>
      </x:c>
      <x:c r="AF27" s="52" t="n">
        <x:f>IFERROR(I27/F27,0)</x:f>
        <x:v>0.7177777777777777</x:v>
      </x:c>
      <x:c r="AG27" s="52" t="n">
        <x:f>IFERROR(U27/F27,0)</x:f>
        <x:v>0.5648888888888889</x:v>
      </x:c>
    </x:row>
    <x:row r="28">
      <x:c r="A28" s="50" t="n">
        <x:v>46167</x:v>
      </x:c>
      <x:c r="B28" s="48" t="str">
        <x:v>Full Cream Milk</x:v>
      </x:c>
      <x:c r="C28" s="48" t="n">
        <x:v>2</x:v>
      </x:c>
      <x:c r="D28" s="54" t="n">
        <x:v>809</x:v>
      </x:c>
      <x:c r="E28" s="54" t="n">
        <x:v>887</x:v>
      </x:c>
      <x:c r="F28" s="54" t="n">
        <x:v>1200</x:v>
      </x:c>
      <x:c r="G28" s="54" t="n">
        <x:f>ROUND(D28*0.97,0)</x:f>
        <x:v>785</x:v>
      </x:c>
      <x:c r="H28" s="52" t="n">
        <x:v>1.016033433729423</x:v>
      </x:c>
      <x:c r="I28" s="54" t="n">
        <x:f>MIN(F28,ROUND(G28*H28,0))</x:f>
        <x:v>798</x:v>
      </x:c>
      <x:c r="J28" s="54" t="n">
        <x:f>Q23</x:f>
        <x:v>362</x:v>
      </x:c>
      <x:c r="K28" s="54" t="n">
        <x:f>I28+J28</x:f>
        <x:v>1160</x:v>
      </x:c>
      <x:c r="L28" s="54" t="n">
        <x:f>MIN(E28,K28)</x:f>
        <x:v>887</x:v>
      </x:c>
      <x:c r="M28" s="54" t="n">
        <x:f>MAX(E28-K28,0)</x:f>
        <x:v>0</x:v>
      </x:c>
      <x:c r="N28" s="54" t="n">
        <x:f>MAX(K28-L28,0)</x:f>
        <x:v>273</x:v>
      </x:c>
      <x:c r="O28" s="52" t="n">
        <x:v>0.03</x:v>
      </x:c>
      <x:c r="P28" s="54" t="n">
        <x:f>MIN(N28,ROUND(N28*O28,0))</x:f>
        <x:v>8</x:v>
      </x:c>
      <x:c r="Q28" s="54" t="n">
        <x:f>N28-P28</x:f>
        <x:v>265</x:v>
      </x:c>
      <x:c r="R28" s="54" t="n">
        <x:v>97</x:v>
      </x:c>
      <x:c r="S28" s="54" t="n">
        <x:f>MIN(F28,MAX(0,ROUND(D28+R28-V28,0)))</x:f>
        <x:v>685</x:v>
      </x:c>
      <x:c r="T28" s="52" t="n">
        <x:v>0.999876087906435</x:v>
      </x:c>
      <x:c r="U28" s="54" t="n">
        <x:f>MIN(F28,MAX(0,ROUND(S28*T28,0)))</x:f>
        <x:v>685</x:v>
      </x:c>
      <x:c r="V28" s="54" t="n">
        <x:f>AB23</x:f>
        <x:v>221</x:v>
      </x:c>
      <x:c r="W28" s="54" t="n">
        <x:f>U28+V28</x:f>
        <x:v>906</x:v>
      </x:c>
      <x:c r="X28" s="54" t="n">
        <x:f>MIN(E28,W28)</x:f>
        <x:v>887</x:v>
      </x:c>
      <x:c r="Y28" s="54" t="n">
        <x:f>MAX(E28-W28,0)</x:f>
        <x:v>0</x:v>
      </x:c>
      <x:c r="Z28" s="54" t="n">
        <x:f>MAX(W28-X28,0)</x:f>
        <x:v>19</x:v>
      </x:c>
      <x:c r="AA28" s="54" t="n">
        <x:f>MIN(Z28,ROUND(Z28*O28,0))</x:f>
        <x:v>1</x:v>
      </x:c>
      <x:c r="AB28" s="54" t="n">
        <x:f>Z28-AA28</x:f>
        <x:v>18</x:v>
      </x:c>
      <x:c r="AC28" s="52" t="n">
        <x:f>IFERROR(ABS(E28-D28)/E28,0)</x:f>
        <x:v>0.08793686583990981</x:v>
      </x:c>
      <x:c r="AD28" s="52" t="n">
        <x:f>IFERROR(L28/E28,1)</x:f>
        <x:v>1</x:v>
      </x:c>
      <x:c r="AE28" s="52" t="n">
        <x:f>IFERROR(X28/E28,1)</x:f>
        <x:v>1</x:v>
      </x:c>
      <x:c r="AF28" s="52" t="n">
        <x:f>IFERROR(I28/F28,0)</x:f>
        <x:v>0.665</x:v>
      </x:c>
      <x:c r="AG28" s="52" t="n">
        <x:f>IFERROR(U28/F28,0)</x:f>
        <x:v>0.5708333333333333</x:v>
      </x:c>
    </x:row>
    <x:row r="29">
      <x:c r="A29" s="50" t="n">
        <x:v>46167</x:v>
      </x:c>
      <x:c r="B29" s="48" t="str">
        <x:v>Curd</x:v>
      </x:c>
      <x:c r="C29" s="48" t="n">
        <x:v>7</x:v>
      </x:c>
      <x:c r="D29" s="54" t="n">
        <x:v>466</x:v>
      </x:c>
      <x:c r="E29" s="54" t="n">
        <x:v>536</x:v>
      </x:c>
      <x:c r="F29" s="54" t="n">
        <x:v>700</x:v>
      </x:c>
      <x:c r="G29" s="54" t="n">
        <x:f>ROUND(D29*0.97,0)</x:f>
        <x:v>452</x:v>
      </x:c>
      <x:c r="H29" s="52" t="n">
        <x:v>1.0046648837774879</x:v>
      </x:c>
      <x:c r="I29" s="54" t="n">
        <x:f>MIN(F29,ROUND(G29*H29,0))</x:f>
        <x:v>454</x:v>
      </x:c>
      <x:c r="J29" s="54" t="n">
        <x:f>Q24</x:f>
        <x:v>57</x:v>
      </x:c>
      <x:c r="K29" s="54" t="n">
        <x:f>I29+J29</x:f>
        <x:v>511</x:v>
      </x:c>
      <x:c r="L29" s="54" t="n">
        <x:f>MIN(E29,K29)</x:f>
        <x:v>511</x:v>
      </x:c>
      <x:c r="M29" s="54" t="n">
        <x:f>MAX(E29-K29,0)</x:f>
        <x:v>25</x:v>
      </x:c>
      <x:c r="N29" s="54" t="n">
        <x:f>MAX(K29-L29,0)</x:f>
        <x:v>0</x:v>
      </x:c>
      <x:c r="O29" s="52" t="n">
        <x:v>0.018</x:v>
      </x:c>
      <x:c r="P29" s="54" t="n">
        <x:f>MIN(N29,ROUND(N29*O29,0))</x:f>
        <x:v>0</x:v>
      </x:c>
      <x:c r="Q29" s="54" t="n">
        <x:f>N29-P29</x:f>
        <x:v>0</x:v>
      </x:c>
      <x:c r="R29" s="54" t="n">
        <x:v>84</x:v>
      </x:c>
      <x:c r="S29" s="54" t="n">
        <x:f>MIN(F29,MAX(0,ROUND(D29+R29-V29,0)))</x:f>
        <x:v>533</x:v>
      </x:c>
      <x:c r="T29" s="52" t="n">
        <x:v>1.003701084944743</x:v>
      </x:c>
      <x:c r="U29" s="54" t="n">
        <x:f>MIN(F29,MAX(0,ROUND(S29*T29,0)))</x:f>
        <x:v>535</x:v>
      </x:c>
      <x:c r="V29" s="54" t="n">
        <x:f>AB24</x:f>
        <x:v>17</x:v>
      </x:c>
      <x:c r="W29" s="54" t="n">
        <x:f>U29+V29</x:f>
        <x:v>552</x:v>
      </x:c>
      <x:c r="X29" s="54" t="n">
        <x:f>MIN(E29,W29)</x:f>
        <x:v>536</x:v>
      </x:c>
      <x:c r="Y29" s="54" t="n">
        <x:f>MAX(E29-W29,0)</x:f>
        <x:v>0</x:v>
      </x:c>
      <x:c r="Z29" s="54" t="n">
        <x:f>MAX(W29-X29,0)</x:f>
        <x:v>16</x:v>
      </x:c>
      <x:c r="AA29" s="54" t="n">
        <x:f>MIN(Z29,ROUND(Z29*O29,0))</x:f>
        <x:v>0</x:v>
      </x:c>
      <x:c r="AB29" s="54" t="n">
        <x:f>Z29-AA29</x:f>
        <x:v>16</x:v>
      </x:c>
      <x:c r="AC29" s="52" t="n">
        <x:f>IFERROR(ABS(E29-D29)/E29,0)</x:f>
        <x:v>0.13059701492537312</x:v>
      </x:c>
      <x:c r="AD29" s="52" t="n">
        <x:f>IFERROR(L29/E29,1)</x:f>
        <x:v>0.9533582089552238</x:v>
      </x:c>
      <x:c r="AE29" s="52" t="n">
        <x:f>IFERROR(X29/E29,1)</x:f>
        <x:v>1</x:v>
      </x:c>
      <x:c r="AF29" s="52" t="n">
        <x:f>IFERROR(I29/F29,0)</x:f>
        <x:v>0.6485714285714286</x:v>
      </x:c>
      <x:c r="AG29" s="52" t="n">
        <x:f>IFERROR(U29/F29,0)</x:f>
        <x:v>0.7642857142857142</x:v>
      </x:c>
    </x:row>
    <x:row r="30">
      <x:c r="A30" s="50" t="n">
        <x:v>46167</x:v>
      </x:c>
      <x:c r="B30" s="48" t="str">
        <x:v>Lassi</x:v>
      </x:c>
      <x:c r="C30" s="48" t="n">
        <x:v>7</x:v>
      </x:c>
      <x:c r="D30" s="54" t="n">
        <x:v>361</x:v>
      </x:c>
      <x:c r="E30" s="54" t="n">
        <x:v>318</x:v>
      </x:c>
      <x:c r="F30" s="54" t="n">
        <x:v>560</x:v>
      </x:c>
      <x:c r="G30" s="54" t="n">
        <x:f>ROUND(D30*0.97,0)</x:f>
        <x:v>350</x:v>
      </x:c>
      <x:c r="H30" s="52" t="n">
        <x:v>1.0065723908623376</x:v>
      </x:c>
      <x:c r="I30" s="54" t="n">
        <x:f>MIN(F30,ROUND(G30*H30,0))</x:f>
        <x:v>352</x:v>
      </x:c>
      <x:c r="J30" s="54" t="n">
        <x:f>Q25</x:f>
        <x:v>64</x:v>
      </x:c>
      <x:c r="K30" s="54" t="n">
        <x:f>I30+J30</x:f>
        <x:v>416</x:v>
      </x:c>
      <x:c r="L30" s="54" t="n">
        <x:f>MIN(E30,K30)</x:f>
        <x:v>318</x:v>
      </x:c>
      <x:c r="M30" s="54" t="n">
        <x:f>MAX(E30-K30,0)</x:f>
        <x:v>0</x:v>
      </x:c>
      <x:c r="N30" s="54" t="n">
        <x:f>MAX(K30-L30,0)</x:f>
        <x:v>98</x:v>
      </x:c>
      <x:c r="O30" s="52" t="n">
        <x:v>0.02</x:v>
      </x:c>
      <x:c r="P30" s="54" t="n">
        <x:f>MIN(N30,ROUND(N30*O30,0))</x:f>
        <x:v>2</x:v>
      </x:c>
      <x:c r="Q30" s="54" t="n">
        <x:f>N30-P30</x:f>
        <x:v>96</x:v>
      </x:c>
      <x:c r="R30" s="54" t="n">
        <x:v>65</x:v>
      </x:c>
      <x:c r="S30" s="54" t="n">
        <x:f>MIN(F30,MAX(0,ROUND(D30+R30-V30,0)))</x:f>
        <x:v>273</x:v>
      </x:c>
      <x:c r="T30" s="52" t="n">
        <x:v>1.0042609371880533</x:v>
      </x:c>
      <x:c r="U30" s="54" t="n">
        <x:f>MIN(F30,MAX(0,ROUND(S30*T30,0)))</x:f>
        <x:v>274</x:v>
      </x:c>
      <x:c r="V30" s="54" t="n">
        <x:f>AB25</x:f>
        <x:v>153</x:v>
      </x:c>
      <x:c r="W30" s="54" t="n">
        <x:f>U30+V30</x:f>
        <x:v>427</x:v>
      </x:c>
      <x:c r="X30" s="54" t="n">
        <x:f>MIN(E30,W30)</x:f>
        <x:v>318</x:v>
      </x:c>
      <x:c r="Y30" s="54" t="n">
        <x:f>MAX(E30-W30,0)</x:f>
        <x:v>0</x:v>
      </x:c>
      <x:c r="Z30" s="54" t="n">
        <x:f>MAX(W30-X30,0)</x:f>
        <x:v>109</x:v>
      </x:c>
      <x:c r="AA30" s="54" t="n">
        <x:f>MIN(Z30,ROUND(Z30*O30,0))</x:f>
        <x:v>2</x:v>
      </x:c>
      <x:c r="AB30" s="54" t="n">
        <x:f>Z30-AA30</x:f>
        <x:v>107</x:v>
      </x:c>
      <x:c r="AC30" s="52" t="n">
        <x:f>IFERROR(ABS(E30-D30)/E30,0)</x:f>
        <x:v>0.13522012578616352</x:v>
      </x:c>
      <x:c r="AD30" s="52" t="n">
        <x:f>IFERROR(L30/E30,1)</x:f>
        <x:v>1</x:v>
      </x:c>
      <x:c r="AE30" s="52" t="n">
        <x:f>IFERROR(X30/E30,1)</x:f>
        <x:v>1</x:v>
      </x:c>
      <x:c r="AF30" s="52" t="n">
        <x:f>IFERROR(I30/F30,0)</x:f>
        <x:v>0.6285714285714286</x:v>
      </x:c>
      <x:c r="AG30" s="52" t="n">
        <x:f>IFERROR(U30/F30,0)</x:f>
        <x:v>0.48928571428571427</x:v>
      </x:c>
    </x:row>
    <x:row r="31">
      <x:c r="A31" s="50" t="n">
        <x:v>46167</x:v>
      </x:c>
      <x:c r="B31" s="48" t="str">
        <x:v>Paneer</x:v>
      </x:c>
      <x:c r="C31" s="48" t="n">
        <x:v>5</x:v>
      </x:c>
      <x:c r="D31" s="54" t="n">
        <x:v>147</x:v>
      </x:c>
      <x:c r="E31" s="54" t="n">
        <x:v>164</x:v>
      </x:c>
      <x:c r="F31" s="54" t="n">
        <x:v>230</x:v>
      </x:c>
      <x:c r="G31" s="54" t="n">
        <x:f>ROUND(D31*0.97,0)</x:f>
        <x:v>143</x:v>
      </x:c>
      <x:c r="H31" s="52" t="n">
        <x:v>1.0010016922433838</x:v>
      </x:c>
      <x:c r="I31" s="54" t="n">
        <x:f>MIN(F31,ROUND(G31*H31,0))</x:f>
        <x:v>143</x:v>
      </x:c>
      <x:c r="J31" s="54" t="n">
        <x:f>Q26</x:f>
        <x:v>19</x:v>
      </x:c>
      <x:c r="K31" s="54" t="n">
        <x:f>I31+J31</x:f>
        <x:v>162</x:v>
      </x:c>
      <x:c r="L31" s="54" t="n">
        <x:f>MIN(E31,K31)</x:f>
        <x:v>162</x:v>
      </x:c>
      <x:c r="M31" s="54" t="n">
        <x:f>MAX(E31-K31,0)</x:f>
        <x:v>2</x:v>
      </x:c>
      <x:c r="N31" s="54" t="n">
        <x:f>MAX(K31-L31,0)</x:f>
        <x:v>0</x:v>
      </x:c>
      <x:c r="O31" s="52" t="n">
        <x:v>0.025</x:v>
      </x:c>
      <x:c r="P31" s="54" t="n">
        <x:f>MIN(N31,ROUND(N31*O31,0))</x:f>
        <x:v>0</x:v>
      </x:c>
      <x:c r="Q31" s="54" t="n">
        <x:f>N31-P31</x:f>
        <x:v>0</x:v>
      </x:c>
      <x:c r="R31" s="54" t="n">
        <x:v>29</x:v>
      </x:c>
      <x:c r="S31" s="54" t="n">
        <x:f>MIN(F31,MAX(0,ROUND(D31+R31-V31,0)))</x:f>
        <x:v>157</x:v>
      </x:c>
      <x:c r="T31" s="52" t="n">
        <x:v>0.9901022858521994</x:v>
      </x:c>
      <x:c r="U31" s="54" t="n">
        <x:f>MIN(F31,MAX(0,ROUND(S31*T31,0)))</x:f>
        <x:v>155</x:v>
      </x:c>
      <x:c r="V31" s="54" t="n">
        <x:f>AB26</x:f>
        <x:v>19</x:v>
      </x:c>
      <x:c r="W31" s="54" t="n">
        <x:f>U31+V31</x:f>
        <x:v>174</x:v>
      </x:c>
      <x:c r="X31" s="54" t="n">
        <x:f>MIN(E31,W31)</x:f>
        <x:v>164</x:v>
      </x:c>
      <x:c r="Y31" s="54" t="n">
        <x:f>MAX(E31-W31,0)</x:f>
        <x:v>0</x:v>
      </x:c>
      <x:c r="Z31" s="54" t="n">
        <x:f>MAX(W31-X31,0)</x:f>
        <x:v>10</x:v>
      </x:c>
      <x:c r="AA31" s="54" t="n">
        <x:f>MIN(Z31,ROUND(Z31*O31,0))</x:f>
        <x:v>0</x:v>
      </x:c>
      <x:c r="AB31" s="54" t="n">
        <x:f>Z31-AA31</x:f>
        <x:v>10</x:v>
      </x:c>
      <x:c r="AC31" s="52" t="n">
        <x:f>IFERROR(ABS(E31-D31)/E31,0)</x:f>
        <x:v>0.10365853658536585</x:v>
      </x:c>
      <x:c r="AD31" s="52" t="n">
        <x:f>IFERROR(L31/E31,1)</x:f>
        <x:v>0.9878048780487805</x:v>
      </x:c>
      <x:c r="AE31" s="52" t="n">
        <x:f>IFERROR(X31/E31,1)</x:f>
        <x:v>1</x:v>
      </x:c>
      <x:c r="AF31" s="52" t="n">
        <x:f>IFERROR(I31/F31,0)</x:f>
        <x:v>0.6217391304347826</x:v>
      </x:c>
      <x:c r="AG31" s="52" t="n">
        <x:f>IFERROR(U31/F31,0)</x:f>
        <x:v>0.6739130434782609</x:v>
      </x:c>
    </x:row>
    <x:row r="32">
      <x:c r="A32" s="50" t="n">
        <x:v>46168</x:v>
      </x:c>
      <x:c r="B32" s="48" t="str">
        <x:v>Toned Milk</x:v>
      </x:c>
      <x:c r="C32" s="48" t="n">
        <x:v>2</x:v>
      </x:c>
      <x:c r="D32" s="54" t="n">
        <x:v>1669</x:v>
      </x:c>
      <x:c r="E32" s="54" t="n">
        <x:v>1900</x:v>
      </x:c>
      <x:c r="F32" s="54" t="n">
        <x:v>2250</x:v>
      </x:c>
      <x:c r="G32" s="54" t="n">
        <x:f>ROUND(D32*0.97,0)</x:f>
        <x:v>1619</x:v>
      </x:c>
      <x:c r="H32" s="52" t="n">
        <x:v>0.997947089120274</x:v>
      </x:c>
      <x:c r="I32" s="54" t="n">
        <x:f>MIN(F32,ROUND(G32*H32,0))</x:f>
        <x:v>1616</x:v>
      </x:c>
      <x:c r="J32" s="54" t="n">
        <x:f>Q27</x:f>
        <x:v>1057</x:v>
      </x:c>
      <x:c r="K32" s="54" t="n">
        <x:f>I32+J32</x:f>
        <x:v>2673</x:v>
      </x:c>
      <x:c r="L32" s="54" t="n">
        <x:f>MIN(E32,K32)</x:f>
        <x:v>1900</x:v>
      </x:c>
      <x:c r="M32" s="54" t="n">
        <x:f>MAX(E32-K32,0)</x:f>
        <x:v>0</x:v>
      </x:c>
      <x:c r="N32" s="54" t="n">
        <x:f>MAX(K32-L32,0)</x:f>
        <x:v>773</x:v>
      </x:c>
      <x:c r="O32" s="52" t="n">
        <x:v>0.025</x:v>
      </x:c>
      <x:c r="P32" s="54" t="n">
        <x:f>MIN(N32,ROUND(N32*O32,0))</x:f>
        <x:v>19</x:v>
      </x:c>
      <x:c r="Q32" s="54" t="n">
        <x:f>N32-P32</x:f>
        <x:v>754</x:v>
      </x:c>
      <x:c r="R32" s="54" t="n">
        <x:v>200</x:v>
      </x:c>
      <x:c r="S32" s="54" t="n">
        <x:f>MIN(F32,MAX(0,ROUND(D32+R32-V32,0)))</x:f>
        <x:v>1387</x:v>
      </x:c>
      <x:c r="T32" s="52" t="n">
        <x:v>1.0191100858333635</x:v>
      </x:c>
      <x:c r="U32" s="54" t="n">
        <x:f>MIN(F32,MAX(0,ROUND(S32*T32,0)))</x:f>
        <x:v>1414</x:v>
      </x:c>
      <x:c r="V32" s="54" t="n">
        <x:f>AB27</x:f>
        <x:v>482</x:v>
      </x:c>
      <x:c r="W32" s="54" t="n">
        <x:f>U32+V32</x:f>
        <x:v>1896</x:v>
      </x:c>
      <x:c r="X32" s="54" t="n">
        <x:f>MIN(E32,W32)</x:f>
        <x:v>1896</x:v>
      </x:c>
      <x:c r="Y32" s="54" t="n">
        <x:f>MAX(E32-W32,0)</x:f>
        <x:v>4</x:v>
      </x:c>
      <x:c r="Z32" s="54" t="n">
        <x:f>MAX(W32-X32,0)</x:f>
        <x:v>0</x:v>
      </x:c>
      <x:c r="AA32" s="54" t="n">
        <x:f>MIN(Z32,ROUND(Z32*O32,0))</x:f>
        <x:v>0</x:v>
      </x:c>
      <x:c r="AB32" s="54" t="n">
        <x:f>Z32-AA32</x:f>
        <x:v>0</x:v>
      </x:c>
      <x:c r="AC32" s="52" t="n">
        <x:f>IFERROR(ABS(E32-D32)/E32,0)</x:f>
        <x:v>0.12157894736842105</x:v>
      </x:c>
      <x:c r="AD32" s="52" t="n">
        <x:f>IFERROR(L32/E32,1)</x:f>
        <x:v>1</x:v>
      </x:c>
      <x:c r="AE32" s="52" t="n">
        <x:f>IFERROR(X32/E32,1)</x:f>
        <x:v>0.9978947368421053</x:v>
      </x:c>
      <x:c r="AF32" s="52" t="n">
        <x:f>IFERROR(I32/F32,0)</x:f>
        <x:v>0.7182222222222222</x:v>
      </x:c>
      <x:c r="AG32" s="52" t="n">
        <x:f>IFERROR(U32/F32,0)</x:f>
        <x:v>0.6284444444444445</x:v>
      </x:c>
    </x:row>
    <x:row r="33">
      <x:c r="A33" s="50" t="n">
        <x:v>46168</x:v>
      </x:c>
      <x:c r="B33" s="48" t="str">
        <x:v>Full Cream Milk</x:v>
      </x:c>
      <x:c r="C33" s="48" t="n">
        <x:v>2</x:v>
      </x:c>
      <x:c r="D33" s="54" t="n">
        <x:v>835</x:v>
      </x:c>
      <x:c r="E33" s="54" t="n">
        <x:v>788</x:v>
      </x:c>
      <x:c r="F33" s="54" t="n">
        <x:v>1200</x:v>
      </x:c>
      <x:c r="G33" s="54" t="n">
        <x:f>ROUND(D33*0.97,0)</x:f>
        <x:v>810</x:v>
      </x:c>
      <x:c r="H33" s="52" t="n">
        <x:v>0.9838874254225427</x:v>
      </x:c>
      <x:c r="I33" s="54" t="n">
        <x:f>MIN(F33,ROUND(G33*H33,0))</x:f>
        <x:v>797</x:v>
      </x:c>
      <x:c r="J33" s="54" t="n">
        <x:f>Q28</x:f>
        <x:v>265</x:v>
      </x:c>
      <x:c r="K33" s="54" t="n">
        <x:f>I33+J33</x:f>
        <x:v>1062</x:v>
      </x:c>
      <x:c r="L33" s="54" t="n">
        <x:f>MIN(E33,K33)</x:f>
        <x:v>788</x:v>
      </x:c>
      <x:c r="M33" s="54" t="n">
        <x:f>MAX(E33-K33,0)</x:f>
        <x:v>0</x:v>
      </x:c>
      <x:c r="N33" s="54" t="n">
        <x:f>MAX(K33-L33,0)</x:f>
        <x:v>274</x:v>
      </x:c>
      <x:c r="O33" s="52" t="n">
        <x:v>0.03</x:v>
      </x:c>
      <x:c r="P33" s="54" t="n">
        <x:f>MIN(N33,ROUND(N33*O33,0))</x:f>
        <x:v>8</x:v>
      </x:c>
      <x:c r="Q33" s="54" t="n">
        <x:f>N33-P33</x:f>
        <x:v>266</x:v>
      </x:c>
      <x:c r="R33" s="54" t="n">
        <x:v>100</x:v>
      </x:c>
      <x:c r="S33" s="54" t="n">
        <x:f>MIN(F33,MAX(0,ROUND(D33+R33-V33,0)))</x:f>
        <x:v>917</x:v>
      </x:c>
      <x:c r="T33" s="52" t="n">
        <x:v>1.0116742000031034</x:v>
      </x:c>
      <x:c r="U33" s="54" t="n">
        <x:f>MIN(F33,MAX(0,ROUND(S33*T33,0)))</x:f>
        <x:v>928</x:v>
      </x:c>
      <x:c r="V33" s="54" t="n">
        <x:f>AB28</x:f>
        <x:v>18</x:v>
      </x:c>
      <x:c r="W33" s="54" t="n">
        <x:f>U33+V33</x:f>
        <x:v>946</x:v>
      </x:c>
      <x:c r="X33" s="54" t="n">
        <x:f>MIN(E33,W33)</x:f>
        <x:v>788</x:v>
      </x:c>
      <x:c r="Y33" s="54" t="n">
        <x:f>MAX(E33-W33,0)</x:f>
        <x:v>0</x:v>
      </x:c>
      <x:c r="Z33" s="54" t="n">
        <x:f>MAX(W33-X33,0)</x:f>
        <x:v>158</x:v>
      </x:c>
      <x:c r="AA33" s="54" t="n">
        <x:f>MIN(Z33,ROUND(Z33*O33,0))</x:f>
        <x:v>5</x:v>
      </x:c>
      <x:c r="AB33" s="54" t="n">
        <x:f>Z33-AA33</x:f>
        <x:v>153</x:v>
      </x:c>
      <x:c r="AC33" s="52" t="n">
        <x:f>IFERROR(ABS(E33-D33)/E33,0)</x:f>
        <x:v>0.05964467005076142</x:v>
      </x:c>
      <x:c r="AD33" s="52" t="n">
        <x:f>IFERROR(L33/E33,1)</x:f>
        <x:v>1</x:v>
      </x:c>
      <x:c r="AE33" s="52" t="n">
        <x:f>IFERROR(X33/E33,1)</x:f>
        <x:v>1</x:v>
      </x:c>
      <x:c r="AF33" s="52" t="n">
        <x:f>IFERROR(I33/F33,0)</x:f>
        <x:v>0.6641666666666667</x:v>
      </x:c>
      <x:c r="AG33" s="52" t="n">
        <x:f>IFERROR(U33/F33,0)</x:f>
        <x:v>0.7733333333333333</x:v>
      </x:c>
    </x:row>
    <x:row r="34">
      <x:c r="A34" s="50" t="n">
        <x:v>46168</x:v>
      </x:c>
      <x:c r="B34" s="48" t="str">
        <x:v>Curd</x:v>
      </x:c>
      <x:c r="C34" s="48" t="n">
        <x:v>7</x:v>
      </x:c>
      <x:c r="D34" s="54" t="n">
        <x:v>481</x:v>
      </x:c>
      <x:c r="E34" s="54" t="n">
        <x:v>495</x:v>
      </x:c>
      <x:c r="F34" s="54" t="n">
        <x:v>700</x:v>
      </x:c>
      <x:c r="G34" s="54" t="n">
        <x:f>ROUND(D34*0.97,0)</x:f>
        <x:v>467</x:v>
      </x:c>
      <x:c r="H34" s="52" t="n">
        <x:v>1.0119439340939458</x:v>
      </x:c>
      <x:c r="I34" s="54" t="n">
        <x:f>MIN(F34,ROUND(G34*H34,0))</x:f>
        <x:v>473</x:v>
      </x:c>
      <x:c r="J34" s="54" t="n">
        <x:f>Q29</x:f>
        <x:v>0</x:v>
      </x:c>
      <x:c r="K34" s="54" t="n">
        <x:f>I34+J34</x:f>
        <x:v>473</x:v>
      </x:c>
      <x:c r="L34" s="54" t="n">
        <x:f>MIN(E34,K34)</x:f>
        <x:v>473</x:v>
      </x:c>
      <x:c r="M34" s="54" t="n">
        <x:f>MAX(E34-K34,0)</x:f>
        <x:v>22</x:v>
      </x:c>
      <x:c r="N34" s="54" t="n">
        <x:f>MAX(K34-L34,0)</x:f>
        <x:v>0</x:v>
      </x:c>
      <x:c r="O34" s="52" t="n">
        <x:v>0.018</x:v>
      </x:c>
      <x:c r="P34" s="54" t="n">
        <x:f>MIN(N34,ROUND(N34*O34,0))</x:f>
        <x:v>0</x:v>
      </x:c>
      <x:c r="Q34" s="54" t="n">
        <x:f>N34-P34</x:f>
        <x:v>0</x:v>
      </x:c>
      <x:c r="R34" s="54" t="n">
        <x:v>87</x:v>
      </x:c>
      <x:c r="S34" s="54" t="n">
        <x:f>MIN(F34,MAX(0,ROUND(D34+R34-V34,0)))</x:f>
        <x:v>552</x:v>
      </x:c>
      <x:c r="T34" s="52" t="n">
        <x:v>1.0073091547322335</x:v>
      </x:c>
      <x:c r="U34" s="54" t="n">
        <x:f>MIN(F34,MAX(0,ROUND(S34*T34,0)))</x:f>
        <x:v>556</x:v>
      </x:c>
      <x:c r="V34" s="54" t="n">
        <x:f>AB29</x:f>
        <x:v>16</x:v>
      </x:c>
      <x:c r="W34" s="54" t="n">
        <x:f>U34+V34</x:f>
        <x:v>572</x:v>
      </x:c>
      <x:c r="X34" s="54" t="n">
        <x:f>MIN(E34,W34)</x:f>
        <x:v>495</x:v>
      </x:c>
      <x:c r="Y34" s="54" t="n">
        <x:f>MAX(E34-W34,0)</x:f>
        <x:v>0</x:v>
      </x:c>
      <x:c r="Z34" s="54" t="n">
        <x:f>MAX(W34-X34,0)</x:f>
        <x:v>77</x:v>
      </x:c>
      <x:c r="AA34" s="54" t="n">
        <x:f>MIN(Z34,ROUND(Z34*O34,0))</x:f>
        <x:v>1</x:v>
      </x:c>
      <x:c r="AB34" s="54" t="n">
        <x:f>Z34-AA34</x:f>
        <x:v>76</x:v>
      </x:c>
      <x:c r="AC34" s="52" t="n">
        <x:f>IFERROR(ABS(E34-D34)/E34,0)</x:f>
        <x:v>0.028282828282828285</x:v>
      </x:c>
      <x:c r="AD34" s="52" t="n">
        <x:f>IFERROR(L34/E34,1)</x:f>
        <x:v>0.9555555555555556</x:v>
      </x:c>
      <x:c r="AE34" s="52" t="n">
        <x:f>IFERROR(X34/E34,1)</x:f>
        <x:v>1</x:v>
      </x:c>
      <x:c r="AF34" s="52" t="n">
        <x:f>IFERROR(I34/F34,0)</x:f>
        <x:v>0.6757142857142857</x:v>
      </x:c>
      <x:c r="AG34" s="52" t="n">
        <x:f>IFERROR(U34/F34,0)</x:f>
        <x:v>0.7942857142857143</x:v>
      </x:c>
    </x:row>
    <x:row r="35">
      <x:c r="A35" s="50" t="n">
        <x:v>46168</x:v>
      </x:c>
      <x:c r="B35" s="48" t="str">
        <x:v>Lassi</x:v>
      </x:c>
      <x:c r="C35" s="48" t="n">
        <x:v>7</x:v>
      </x:c>
      <x:c r="D35" s="54" t="n">
        <x:v>377</x:v>
      </x:c>
      <x:c r="E35" s="54" t="n">
        <x:v>414</x:v>
      </x:c>
      <x:c r="F35" s="54" t="n">
        <x:v>560</x:v>
      </x:c>
      <x:c r="G35" s="54" t="n">
        <x:f>ROUND(D35*0.97,0)</x:f>
        <x:v>366</x:v>
      </x:c>
      <x:c r="H35" s="52" t="n">
        <x:v>1.0125075787785869</x:v>
      </x:c>
      <x:c r="I35" s="54" t="n">
        <x:f>MIN(F35,ROUND(G35*H35,0))</x:f>
        <x:v>371</x:v>
      </x:c>
      <x:c r="J35" s="54" t="n">
        <x:f>Q30</x:f>
        <x:v>96</x:v>
      </x:c>
      <x:c r="K35" s="54" t="n">
        <x:f>I35+J35</x:f>
        <x:v>467</x:v>
      </x:c>
      <x:c r="L35" s="54" t="n">
        <x:f>MIN(E35,K35)</x:f>
        <x:v>414</x:v>
      </x:c>
      <x:c r="M35" s="54" t="n">
        <x:f>MAX(E35-K35,0)</x:f>
        <x:v>0</x:v>
      </x:c>
      <x:c r="N35" s="54" t="n">
        <x:f>MAX(K35-L35,0)</x:f>
        <x:v>53</x:v>
      </x:c>
      <x:c r="O35" s="52" t="n">
        <x:v>0.02</x:v>
      </x:c>
      <x:c r="P35" s="54" t="n">
        <x:f>MIN(N35,ROUND(N35*O35,0))</x:f>
        <x:v>1</x:v>
      </x:c>
      <x:c r="Q35" s="54" t="n">
        <x:f>N35-P35</x:f>
        <x:v>52</x:v>
      </x:c>
      <x:c r="R35" s="54" t="n">
        <x:v>68</x:v>
      </x:c>
      <x:c r="S35" s="54" t="n">
        <x:f>MIN(F35,MAX(0,ROUND(D35+R35-V35,0)))</x:f>
        <x:v>338</x:v>
      </x:c>
      <x:c r="T35" s="52" t="n">
        <x:v>0.9929816507017827</x:v>
      </x:c>
      <x:c r="U35" s="54" t="n">
        <x:f>MIN(F35,MAX(0,ROUND(S35*T35,0)))</x:f>
        <x:v>336</x:v>
      </x:c>
      <x:c r="V35" s="54" t="n">
        <x:f>AB30</x:f>
        <x:v>107</x:v>
      </x:c>
      <x:c r="W35" s="54" t="n">
        <x:f>U35+V35</x:f>
        <x:v>443</x:v>
      </x:c>
      <x:c r="X35" s="54" t="n">
        <x:f>MIN(E35,W35)</x:f>
        <x:v>414</x:v>
      </x:c>
      <x:c r="Y35" s="54" t="n">
        <x:f>MAX(E35-W35,0)</x:f>
        <x:v>0</x:v>
      </x:c>
      <x:c r="Z35" s="54" t="n">
        <x:f>MAX(W35-X35,0)</x:f>
        <x:v>29</x:v>
      </x:c>
      <x:c r="AA35" s="54" t="n">
        <x:f>MIN(Z35,ROUND(Z35*O35,0))</x:f>
        <x:v>1</x:v>
      </x:c>
      <x:c r="AB35" s="54" t="n">
        <x:f>Z35-AA35</x:f>
        <x:v>28</x:v>
      </x:c>
      <x:c r="AC35" s="52" t="n">
        <x:f>IFERROR(ABS(E35-D35)/E35,0)</x:f>
        <x:v>0.0893719806763285</x:v>
      </x:c>
      <x:c r="AD35" s="52" t="n">
        <x:f>IFERROR(L35/E35,1)</x:f>
        <x:v>1</x:v>
      </x:c>
      <x:c r="AE35" s="52" t="n">
        <x:f>IFERROR(X35/E35,1)</x:f>
        <x:v>1</x:v>
      </x:c>
      <x:c r="AF35" s="52" t="n">
        <x:f>IFERROR(I35/F35,0)</x:f>
        <x:v>0.6625</x:v>
      </x:c>
      <x:c r="AG35" s="52" t="n">
        <x:f>IFERROR(U35/F35,0)</x:f>
        <x:v>0.6</x:v>
      </x:c>
    </x:row>
    <x:row r="36">
      <x:c r="A36" s="50" t="n">
        <x:v>46168</x:v>
      </x:c>
      <x:c r="B36" s="48" t="str">
        <x:v>Paneer</x:v>
      </x:c>
      <x:c r="C36" s="48" t="n">
        <x:v>5</x:v>
      </x:c>
      <x:c r="D36" s="54" t="n">
        <x:v>152</x:v>
      </x:c>
      <x:c r="E36" s="54" t="n">
        <x:v>166</x:v>
      </x:c>
      <x:c r="F36" s="54" t="n">
        <x:v>230</x:v>
      </x:c>
      <x:c r="G36" s="54" t="n">
        <x:f>ROUND(D36*0.97,0)</x:f>
        <x:v>147</x:v>
      </x:c>
      <x:c r="H36" s="52" t="n">
        <x:v>1.0161664749560229</x:v>
      </x:c>
      <x:c r="I36" s="54" t="n">
        <x:f>MIN(F36,ROUND(G36*H36,0))</x:f>
        <x:v>149</x:v>
      </x:c>
      <x:c r="J36" s="54" t="n">
        <x:f>Q31</x:f>
        <x:v>0</x:v>
      </x:c>
      <x:c r="K36" s="54" t="n">
        <x:f>I36+J36</x:f>
        <x:v>149</x:v>
      </x:c>
      <x:c r="L36" s="54" t="n">
        <x:f>MIN(E36,K36)</x:f>
        <x:v>149</x:v>
      </x:c>
      <x:c r="M36" s="54" t="n">
        <x:f>MAX(E36-K36,0)</x:f>
        <x:v>17</x:v>
      </x:c>
      <x:c r="N36" s="54" t="n">
        <x:f>MAX(K36-L36,0)</x:f>
        <x:v>0</x:v>
      </x:c>
      <x:c r="O36" s="52" t="n">
        <x:v>0.025</x:v>
      </x:c>
      <x:c r="P36" s="54" t="n">
        <x:f>MIN(N36,ROUND(N36*O36,0))</x:f>
        <x:v>0</x:v>
      </x:c>
      <x:c r="Q36" s="54" t="n">
        <x:f>N36-P36</x:f>
        <x:v>0</x:v>
      </x:c>
      <x:c r="R36" s="54" t="n">
        <x:v>30</x:v>
      </x:c>
      <x:c r="S36" s="54" t="n">
        <x:f>MIN(F36,MAX(0,ROUND(D36+R36-V36,0)))</x:f>
        <x:v>172</x:v>
      </x:c>
      <x:c r="T36" s="52" t="n">
        <x:v>1.0159663747103016</x:v>
      </x:c>
      <x:c r="U36" s="54" t="n">
        <x:f>MIN(F36,MAX(0,ROUND(S36*T36,0)))</x:f>
        <x:v>175</x:v>
      </x:c>
      <x:c r="V36" s="54" t="n">
        <x:f>AB31</x:f>
        <x:v>10</x:v>
      </x:c>
      <x:c r="W36" s="54" t="n">
        <x:f>U36+V36</x:f>
        <x:v>185</x:v>
      </x:c>
      <x:c r="X36" s="54" t="n">
        <x:f>MIN(E36,W36)</x:f>
        <x:v>166</x:v>
      </x:c>
      <x:c r="Y36" s="54" t="n">
        <x:f>MAX(E36-W36,0)</x:f>
        <x:v>0</x:v>
      </x:c>
      <x:c r="Z36" s="54" t="n">
        <x:f>MAX(W36-X36,0)</x:f>
        <x:v>19</x:v>
      </x:c>
      <x:c r="AA36" s="54" t="n">
        <x:f>MIN(Z36,ROUND(Z36*O36,0))</x:f>
        <x:v>0</x:v>
      </x:c>
      <x:c r="AB36" s="54" t="n">
        <x:f>Z36-AA36</x:f>
        <x:v>19</x:v>
      </x:c>
      <x:c r="AC36" s="52" t="n">
        <x:f>IFERROR(ABS(E36-D36)/E36,0)</x:f>
        <x:v>0.08433734939759036</x:v>
      </x:c>
      <x:c r="AD36" s="52" t="n">
        <x:f>IFERROR(L36/E36,1)</x:f>
        <x:v>0.8975903614457831</x:v>
      </x:c>
      <x:c r="AE36" s="52" t="n">
        <x:f>IFERROR(X36/E36,1)</x:f>
        <x:v>1</x:v>
      </x:c>
      <x:c r="AF36" s="52" t="n">
        <x:f>IFERROR(I36/F36,0)</x:f>
        <x:v>0.6478260869565218</x:v>
      </x:c>
      <x:c r="AG36" s="52" t="n">
        <x:f>IFERROR(U36/F36,0)</x:f>
        <x:v>0.7608695652173914</x:v>
      </x:c>
    </x:row>
    <x:row r="37">
      <x:c r="A37" s="50" t="n">
        <x:v>46169</x:v>
      </x:c>
      <x:c r="B37" s="48" t="str">
        <x:v>Toned Milk</x:v>
      </x:c>
      <x:c r="C37" s="48" t="n">
        <x:v>2</x:v>
      </x:c>
      <x:c r="D37" s="54" t="n">
        <x:v>1687</x:v>
      </x:c>
      <x:c r="E37" s="54" t="n">
        <x:v>1792</x:v>
      </x:c>
      <x:c r="F37" s="54" t="n">
        <x:v>2250</x:v>
      </x:c>
      <x:c r="G37" s="54" t="n">
        <x:f>ROUND(D37*0.97,0)</x:f>
        <x:v>1636</x:v>
      </x:c>
      <x:c r="H37" s="52" t="n">
        <x:v>1.0143202189555807</x:v>
      </x:c>
      <x:c r="I37" s="54" t="n">
        <x:f>MIN(F37,ROUND(G37*H37,0))</x:f>
        <x:v>1659</x:v>
      </x:c>
      <x:c r="J37" s="54" t="n">
        <x:f>Q32</x:f>
        <x:v>754</x:v>
      </x:c>
      <x:c r="K37" s="54" t="n">
        <x:f>I37+J37</x:f>
        <x:v>2413</x:v>
      </x:c>
      <x:c r="L37" s="54" t="n">
        <x:f>MIN(E37,K37)</x:f>
        <x:v>1792</x:v>
      </x:c>
      <x:c r="M37" s="54" t="n">
        <x:f>MAX(E37-K37,0)</x:f>
        <x:v>0</x:v>
      </x:c>
      <x:c r="N37" s="54" t="n">
        <x:f>MAX(K37-L37,0)</x:f>
        <x:v>621</x:v>
      </x:c>
      <x:c r="O37" s="52" t="n">
        <x:v>0.025</x:v>
      </x:c>
      <x:c r="P37" s="54" t="n">
        <x:f>MIN(N37,ROUND(N37*O37,0))</x:f>
        <x:v>16</x:v>
      </x:c>
      <x:c r="Q37" s="54" t="n">
        <x:f>N37-P37</x:f>
        <x:v>605</x:v>
      </x:c>
      <x:c r="R37" s="54" t="n">
        <x:v>202</x:v>
      </x:c>
      <x:c r="S37" s="54" t="n">
        <x:f>MIN(F37,MAX(0,ROUND(D37+R37-V37,0)))</x:f>
        <x:v>1889</x:v>
      </x:c>
      <x:c r="T37" s="52" t="n">
        <x:v>0.9959782945993294</x:v>
      </x:c>
      <x:c r="U37" s="54" t="n">
        <x:f>MIN(F37,MAX(0,ROUND(S37*T37,0)))</x:f>
        <x:v>1881</x:v>
      </x:c>
      <x:c r="V37" s="54" t="n">
        <x:f>AB32</x:f>
        <x:v>0</x:v>
      </x:c>
      <x:c r="W37" s="54" t="n">
        <x:f>U37+V37</x:f>
        <x:v>1881</x:v>
      </x:c>
      <x:c r="X37" s="54" t="n">
        <x:f>MIN(E37,W37)</x:f>
        <x:v>1792</x:v>
      </x:c>
      <x:c r="Y37" s="54" t="n">
        <x:f>MAX(E37-W37,0)</x:f>
        <x:v>0</x:v>
      </x:c>
      <x:c r="Z37" s="54" t="n">
        <x:f>MAX(W37-X37,0)</x:f>
        <x:v>89</x:v>
      </x:c>
      <x:c r="AA37" s="54" t="n">
        <x:f>MIN(Z37,ROUND(Z37*O37,0))</x:f>
        <x:v>2</x:v>
      </x:c>
      <x:c r="AB37" s="54" t="n">
        <x:f>Z37-AA37</x:f>
        <x:v>87</x:v>
      </x:c>
      <x:c r="AC37" s="52" t="n">
        <x:f>IFERROR(ABS(E37-D37)/E37,0)</x:f>
        <x:v>0.05859375</x:v>
      </x:c>
      <x:c r="AD37" s="52" t="n">
        <x:f>IFERROR(L37/E37,1)</x:f>
        <x:v>1</x:v>
      </x:c>
      <x:c r="AE37" s="52" t="n">
        <x:f>IFERROR(X37/E37,1)</x:f>
        <x:v>1</x:v>
      </x:c>
      <x:c r="AF37" s="52" t="n">
        <x:f>IFERROR(I37/F37,0)</x:f>
        <x:v>0.7373333333333333</x:v>
      </x:c>
      <x:c r="AG37" s="52" t="n">
        <x:f>IFERROR(U37/F37,0)</x:f>
        <x:v>0.836</x:v>
      </x:c>
    </x:row>
    <x:row r="38">
      <x:c r="A38" s="50" t="n">
        <x:v>46169</x:v>
      </x:c>
      <x:c r="B38" s="48" t="str">
        <x:v>Full Cream Milk</x:v>
      </x:c>
      <x:c r="C38" s="48" t="n">
        <x:v>2</x:v>
      </x:c>
      <x:c r="D38" s="54" t="n">
        <x:v>844</x:v>
      </x:c>
      <x:c r="E38" s="54" t="n">
        <x:v>703</x:v>
      </x:c>
      <x:c r="F38" s="54" t="n">
        <x:v>1200</x:v>
      </x:c>
      <x:c r="G38" s="54" t="n">
        <x:f>ROUND(D38*0.97,0)</x:f>
        <x:v>819</x:v>
      </x:c>
      <x:c r="H38" s="52" t="n">
        <x:v>1.0143861285238203</x:v>
      </x:c>
      <x:c r="I38" s="54" t="n">
        <x:f>MIN(F38,ROUND(G38*H38,0))</x:f>
        <x:v>831</x:v>
      </x:c>
      <x:c r="J38" s="54" t="n">
        <x:f>Q33</x:f>
        <x:v>266</x:v>
      </x:c>
      <x:c r="K38" s="54" t="n">
        <x:f>I38+J38</x:f>
        <x:v>1097</x:v>
      </x:c>
      <x:c r="L38" s="54" t="n">
        <x:f>MIN(E38,K38)</x:f>
        <x:v>703</x:v>
      </x:c>
      <x:c r="M38" s="54" t="n">
        <x:f>MAX(E38-K38,0)</x:f>
        <x:v>0</x:v>
      </x:c>
      <x:c r="N38" s="54" t="n">
        <x:f>MAX(K38-L38,0)</x:f>
        <x:v>394</x:v>
      </x:c>
      <x:c r="O38" s="52" t="n">
        <x:v>0.03</x:v>
      </x:c>
      <x:c r="P38" s="54" t="n">
        <x:f>MIN(N38,ROUND(N38*O38,0))</x:f>
        <x:v>12</x:v>
      </x:c>
      <x:c r="Q38" s="54" t="n">
        <x:f>N38-P38</x:f>
        <x:v>382</x:v>
      </x:c>
      <x:c r="R38" s="54" t="n">
        <x:v>101</x:v>
      </x:c>
      <x:c r="S38" s="54" t="n">
        <x:f>MIN(F38,MAX(0,ROUND(D38+R38-V38,0)))</x:f>
        <x:v>792</x:v>
      </x:c>
      <x:c r="T38" s="52" t="n">
        <x:v>1.0071188360746728</x:v>
      </x:c>
      <x:c r="U38" s="54" t="n">
        <x:f>MIN(F38,MAX(0,ROUND(S38*T38,0)))</x:f>
        <x:v>798</x:v>
      </x:c>
      <x:c r="V38" s="54" t="n">
        <x:f>AB33</x:f>
        <x:v>153</x:v>
      </x:c>
      <x:c r="W38" s="54" t="n">
        <x:f>U38+V38</x:f>
        <x:v>951</x:v>
      </x:c>
      <x:c r="X38" s="54" t="n">
        <x:f>MIN(E38,W38)</x:f>
        <x:v>703</x:v>
      </x:c>
      <x:c r="Y38" s="54" t="n">
        <x:f>MAX(E38-W38,0)</x:f>
        <x:v>0</x:v>
      </x:c>
      <x:c r="Z38" s="54" t="n">
        <x:f>MAX(W38-X38,0)</x:f>
        <x:v>248</x:v>
      </x:c>
      <x:c r="AA38" s="54" t="n">
        <x:f>MIN(Z38,ROUND(Z38*O38,0))</x:f>
        <x:v>7</x:v>
      </x:c>
      <x:c r="AB38" s="54" t="n">
        <x:f>Z38-AA38</x:f>
        <x:v>241</x:v>
      </x:c>
      <x:c r="AC38" s="52" t="n">
        <x:f>IFERROR(ABS(E38-D38)/E38,0)</x:f>
        <x:v>0.20056899004267426</x:v>
      </x:c>
      <x:c r="AD38" s="52" t="n">
        <x:f>IFERROR(L38/E38,1)</x:f>
        <x:v>1</x:v>
      </x:c>
      <x:c r="AE38" s="52" t="n">
        <x:f>IFERROR(X38/E38,1)</x:f>
        <x:v>1</x:v>
      </x:c>
      <x:c r="AF38" s="52" t="n">
        <x:f>IFERROR(I38/F38,0)</x:f>
        <x:v>0.6925</x:v>
      </x:c>
      <x:c r="AG38" s="52" t="n">
        <x:f>IFERROR(U38/F38,0)</x:f>
        <x:v>0.665</x:v>
      </x:c>
    </x:row>
    <x:row r="39">
      <x:c r="A39" s="50" t="n">
        <x:v>46169</x:v>
      </x:c>
      <x:c r="B39" s="48" t="str">
        <x:v>Curd</x:v>
      </x:c>
      <x:c r="C39" s="48" t="n">
        <x:v>7</x:v>
      </x:c>
      <x:c r="D39" s="54" t="n">
        <x:v>491</x:v>
      </x:c>
      <x:c r="E39" s="54" t="n">
        <x:v>563</x:v>
      </x:c>
      <x:c r="F39" s="54" t="n">
        <x:v>700</x:v>
      </x:c>
      <x:c r="G39" s="54" t="n">
        <x:f>ROUND(D39*0.97,0)</x:f>
        <x:v>476</x:v>
      </x:c>
      <x:c r="H39" s="52" t="n">
        <x:v>0.9868101179148395</x:v>
      </x:c>
      <x:c r="I39" s="54" t="n">
        <x:f>MIN(F39,ROUND(G39*H39,0))</x:f>
        <x:v>470</x:v>
      </x:c>
      <x:c r="J39" s="54" t="n">
        <x:f>Q34</x:f>
        <x:v>0</x:v>
      </x:c>
      <x:c r="K39" s="54" t="n">
        <x:f>I39+J39</x:f>
        <x:v>470</x:v>
      </x:c>
      <x:c r="L39" s="54" t="n">
        <x:f>MIN(E39,K39)</x:f>
        <x:v>470</x:v>
      </x:c>
      <x:c r="M39" s="54" t="n">
        <x:f>MAX(E39-K39,0)</x:f>
        <x:v>93</x:v>
      </x:c>
      <x:c r="N39" s="54" t="n">
        <x:f>MAX(K39-L39,0)</x:f>
        <x:v>0</x:v>
      </x:c>
      <x:c r="O39" s="52" t="n">
        <x:v>0.018</x:v>
      </x:c>
      <x:c r="P39" s="54" t="n">
        <x:f>MIN(N39,ROUND(N39*O39,0))</x:f>
        <x:v>0</x:v>
      </x:c>
      <x:c r="Q39" s="54" t="n">
        <x:f>N39-P39</x:f>
        <x:v>0</x:v>
      </x:c>
      <x:c r="R39" s="54" t="n">
        <x:v>88</x:v>
      </x:c>
      <x:c r="S39" s="54" t="n">
        <x:f>MIN(F39,MAX(0,ROUND(D39+R39-V39,0)))</x:f>
        <x:v>503</x:v>
      </x:c>
      <x:c r="T39" s="52" t="n">
        <x:v>0.9892927166370318</x:v>
      </x:c>
      <x:c r="U39" s="54" t="n">
        <x:f>MIN(F39,MAX(0,ROUND(S39*T39,0)))</x:f>
        <x:v>498</x:v>
      </x:c>
      <x:c r="V39" s="54" t="n">
        <x:f>AB34</x:f>
        <x:v>76</x:v>
      </x:c>
      <x:c r="W39" s="54" t="n">
        <x:f>U39+V39</x:f>
        <x:v>574</x:v>
      </x:c>
      <x:c r="X39" s="54" t="n">
        <x:f>MIN(E39,W39)</x:f>
        <x:v>563</x:v>
      </x:c>
      <x:c r="Y39" s="54" t="n">
        <x:f>MAX(E39-W39,0)</x:f>
        <x:v>0</x:v>
      </x:c>
      <x:c r="Z39" s="54" t="n">
        <x:f>MAX(W39-X39,0)</x:f>
        <x:v>11</x:v>
      </x:c>
      <x:c r="AA39" s="54" t="n">
        <x:f>MIN(Z39,ROUND(Z39*O39,0))</x:f>
        <x:v>0</x:v>
      </x:c>
      <x:c r="AB39" s="54" t="n">
        <x:f>Z39-AA39</x:f>
        <x:v>11</x:v>
      </x:c>
      <x:c r="AC39" s="52" t="n">
        <x:f>IFERROR(ABS(E39-D39)/E39,0)</x:f>
        <x:v>0.12788632326820604</x:v>
      </x:c>
      <x:c r="AD39" s="52" t="n">
        <x:f>IFERROR(L39/E39,1)</x:f>
        <x:v>0.8348134991119005</x:v>
      </x:c>
      <x:c r="AE39" s="52" t="n">
        <x:f>IFERROR(X39/E39,1)</x:f>
        <x:v>1</x:v>
      </x:c>
      <x:c r="AF39" s="52" t="n">
        <x:f>IFERROR(I39/F39,0)</x:f>
        <x:v>0.6714285714285714</x:v>
      </x:c>
      <x:c r="AG39" s="52" t="n">
        <x:f>IFERROR(U39/F39,0)</x:f>
        <x:v>0.7114285714285714</x:v>
      </x:c>
    </x:row>
    <x:row r="40">
      <x:c r="A40" s="50" t="n">
        <x:v>46169</x:v>
      </x:c>
      <x:c r="B40" s="48" t="str">
        <x:v>Lassi</x:v>
      </x:c>
      <x:c r="C40" s="48" t="n">
        <x:v>7</x:v>
      </x:c>
      <x:c r="D40" s="54" t="n">
        <x:v>393</x:v>
      </x:c>
      <x:c r="E40" s="54" t="n">
        <x:v>388</x:v>
      </x:c>
      <x:c r="F40" s="54" t="n">
        <x:v>560</x:v>
      </x:c>
      <x:c r="G40" s="54" t="n">
        <x:f>ROUND(D40*0.97,0)</x:f>
        <x:v>381</x:v>
      </x:c>
      <x:c r="H40" s="52" t="n">
        <x:v>1.009756400583272</x:v>
      </x:c>
      <x:c r="I40" s="54" t="n">
        <x:f>MIN(F40,ROUND(G40*H40,0))</x:f>
        <x:v>385</x:v>
      </x:c>
      <x:c r="J40" s="54" t="n">
        <x:f>Q35</x:f>
        <x:v>52</x:v>
      </x:c>
      <x:c r="K40" s="54" t="n">
        <x:f>I40+J40</x:f>
        <x:v>437</x:v>
      </x:c>
      <x:c r="L40" s="54" t="n">
        <x:f>MIN(E40,K40)</x:f>
        <x:v>388</x:v>
      </x:c>
      <x:c r="M40" s="54" t="n">
        <x:f>MAX(E40-K40,0)</x:f>
        <x:v>0</x:v>
      </x:c>
      <x:c r="N40" s="54" t="n">
        <x:f>MAX(K40-L40,0)</x:f>
        <x:v>49</x:v>
      </x:c>
      <x:c r="O40" s="52" t="n">
        <x:v>0.02</x:v>
      </x:c>
      <x:c r="P40" s="54" t="n">
        <x:f>MIN(N40,ROUND(N40*O40,0))</x:f>
        <x:v>1</x:v>
      </x:c>
      <x:c r="Q40" s="54" t="n">
        <x:f>N40-P40</x:f>
        <x:v>48</x:v>
      </x:c>
      <x:c r="R40" s="54" t="n">
        <x:v>71</x:v>
      </x:c>
      <x:c r="S40" s="54" t="n">
        <x:f>MIN(F40,MAX(0,ROUND(D40+R40-V40,0)))</x:f>
        <x:v>436</x:v>
      </x:c>
      <x:c r="T40" s="52" t="n">
        <x:v>0.9846561692661365</x:v>
      </x:c>
      <x:c r="U40" s="54" t="n">
        <x:f>MIN(F40,MAX(0,ROUND(S40*T40,0)))</x:f>
        <x:v>429</x:v>
      </x:c>
      <x:c r="V40" s="54" t="n">
        <x:f>AB35</x:f>
        <x:v>28</x:v>
      </x:c>
      <x:c r="W40" s="54" t="n">
        <x:f>U40+V40</x:f>
        <x:v>457</x:v>
      </x:c>
      <x:c r="X40" s="54" t="n">
        <x:f>MIN(E40,W40)</x:f>
        <x:v>388</x:v>
      </x:c>
      <x:c r="Y40" s="54" t="n">
        <x:f>MAX(E40-W40,0)</x:f>
        <x:v>0</x:v>
      </x:c>
      <x:c r="Z40" s="54" t="n">
        <x:f>MAX(W40-X40,0)</x:f>
        <x:v>69</x:v>
      </x:c>
      <x:c r="AA40" s="54" t="n">
        <x:f>MIN(Z40,ROUND(Z40*O40,0))</x:f>
        <x:v>1</x:v>
      </x:c>
      <x:c r="AB40" s="54" t="n">
        <x:f>Z40-AA40</x:f>
        <x:v>68</x:v>
      </x:c>
      <x:c r="AC40" s="52" t="n">
        <x:f>IFERROR(ABS(E40-D40)/E40,0)</x:f>
        <x:v>0.01288659793814433</x:v>
      </x:c>
      <x:c r="AD40" s="52" t="n">
        <x:f>IFERROR(L40/E40,1)</x:f>
        <x:v>1</x:v>
      </x:c>
      <x:c r="AE40" s="52" t="n">
        <x:f>IFERROR(X40/E40,1)</x:f>
        <x:v>1</x:v>
      </x:c>
      <x:c r="AF40" s="52" t="n">
        <x:f>IFERROR(I40/F40,0)</x:f>
        <x:v>0.6875</x:v>
      </x:c>
      <x:c r="AG40" s="52" t="n">
        <x:f>IFERROR(U40/F40,0)</x:f>
        <x:v>0.7660714285714286</x:v>
      </x:c>
    </x:row>
    <x:row r="41">
      <x:c r="A41" s="50" t="n">
        <x:v>46169</x:v>
      </x:c>
      <x:c r="B41" s="48" t="str">
        <x:v>Paneer</x:v>
      </x:c>
      <x:c r="C41" s="48" t="n">
        <x:v>5</x:v>
      </x:c>
      <x:c r="D41" s="54" t="n">
        <x:v>157</x:v>
      </x:c>
      <x:c r="E41" s="54" t="n">
        <x:v>151</x:v>
      </x:c>
      <x:c r="F41" s="54" t="n">
        <x:v>230</x:v>
      </x:c>
      <x:c r="G41" s="54" t="n">
        <x:f>ROUND(D41*0.97,0)</x:f>
        <x:v>152</x:v>
      </x:c>
      <x:c r="H41" s="52" t="n">
        <x:v>1.010230755627315</x:v>
      </x:c>
      <x:c r="I41" s="54" t="n">
        <x:f>MIN(F41,ROUND(G41*H41,0))</x:f>
        <x:v>154</x:v>
      </x:c>
      <x:c r="J41" s="54" t="n">
        <x:f>Q36</x:f>
        <x:v>0</x:v>
      </x:c>
      <x:c r="K41" s="54" t="n">
        <x:f>I41+J41</x:f>
        <x:v>154</x:v>
      </x:c>
      <x:c r="L41" s="54" t="n">
        <x:f>MIN(E41,K41)</x:f>
        <x:v>151</x:v>
      </x:c>
      <x:c r="M41" s="54" t="n">
        <x:f>MAX(E41-K41,0)</x:f>
        <x:v>0</x:v>
      </x:c>
      <x:c r="N41" s="54" t="n">
        <x:f>MAX(K41-L41,0)</x:f>
        <x:v>3</x:v>
      </x:c>
      <x:c r="O41" s="52" t="n">
        <x:v>0.025</x:v>
      </x:c>
      <x:c r="P41" s="54" t="n">
        <x:f>MIN(N41,ROUND(N41*O41,0))</x:f>
        <x:v>0</x:v>
      </x:c>
      <x:c r="Q41" s="54" t="n">
        <x:f>N41-P41</x:f>
        <x:v>3</x:v>
      </x:c>
      <x:c r="R41" s="54" t="n">
        <x:v>31</x:v>
      </x:c>
      <x:c r="S41" s="54" t="n">
        <x:f>MIN(F41,MAX(0,ROUND(D41+R41-V41,0)))</x:f>
        <x:v>169</x:v>
      </x:c>
      <x:c r="T41" s="52" t="n">
        <x:v>0.9877844423348965</x:v>
      </x:c>
      <x:c r="U41" s="54" t="n">
        <x:f>MIN(F41,MAX(0,ROUND(S41*T41,0)))</x:f>
        <x:v>167</x:v>
      </x:c>
      <x:c r="V41" s="54" t="n">
        <x:f>AB36</x:f>
        <x:v>19</x:v>
      </x:c>
      <x:c r="W41" s="54" t="n">
        <x:f>U41+V41</x:f>
        <x:v>186</x:v>
      </x:c>
      <x:c r="X41" s="54" t="n">
        <x:f>MIN(E41,W41)</x:f>
        <x:v>151</x:v>
      </x:c>
      <x:c r="Y41" s="54" t="n">
        <x:f>MAX(E41-W41,0)</x:f>
        <x:v>0</x:v>
      </x:c>
      <x:c r="Z41" s="54" t="n">
        <x:f>MAX(W41-X41,0)</x:f>
        <x:v>35</x:v>
      </x:c>
      <x:c r="AA41" s="54" t="n">
        <x:f>MIN(Z41,ROUND(Z41*O41,0))</x:f>
        <x:v>1</x:v>
      </x:c>
      <x:c r="AB41" s="54" t="n">
        <x:f>Z41-AA41</x:f>
        <x:v>34</x:v>
      </x:c>
      <x:c r="AC41" s="52" t="n">
        <x:f>IFERROR(ABS(E41-D41)/E41,0)</x:f>
        <x:v>0.039735099337748346</x:v>
      </x:c>
      <x:c r="AD41" s="52" t="n">
        <x:f>IFERROR(L41/E41,1)</x:f>
        <x:v>1</x:v>
      </x:c>
      <x:c r="AE41" s="52" t="n">
        <x:f>IFERROR(X41/E41,1)</x:f>
        <x:v>1</x:v>
      </x:c>
      <x:c r="AF41" s="52" t="n">
        <x:f>IFERROR(I41/F41,0)</x:f>
        <x:v>0.6695652173913044</x:v>
      </x:c>
      <x:c r="AG41" s="52" t="n">
        <x:f>IFERROR(U41/F41,0)</x:f>
        <x:v>0.7260869565217392</x:v>
      </x:c>
    </x:row>
    <x:row r="42">
      <x:c r="A42" s="50" t="n">
        <x:v>46170</x:v>
      </x:c>
      <x:c r="B42" s="48" t="str">
        <x:v>Toned Milk</x:v>
      </x:c>
      <x:c r="C42" s="48" t="n">
        <x:v>2</x:v>
      </x:c>
      <x:c r="D42" s="54" t="n">
        <x:v>1705</x:v>
      </x:c>
      <x:c r="E42" s="54" t="n">
        <x:v>1455</x:v>
      </x:c>
      <x:c r="F42" s="54" t="n">
        <x:v>2250</x:v>
      </x:c>
      <x:c r="G42" s="54" t="n">
        <x:f>ROUND(D42*0.97,0)</x:f>
        <x:v>1654</x:v>
      </x:c>
      <x:c r="H42" s="52" t="n">
        <x:v>1.0040683382763647</x:v>
      </x:c>
      <x:c r="I42" s="54" t="n">
        <x:f>MIN(F42,ROUND(G42*H42,0))</x:f>
        <x:v>1661</x:v>
      </x:c>
      <x:c r="J42" s="54" t="n">
        <x:f>Q37</x:f>
        <x:v>605</x:v>
      </x:c>
      <x:c r="K42" s="54" t="n">
        <x:f>I42+J42</x:f>
        <x:v>2266</x:v>
      </x:c>
      <x:c r="L42" s="54" t="n">
        <x:f>MIN(E42,K42)</x:f>
        <x:v>1455</x:v>
      </x:c>
      <x:c r="M42" s="54" t="n">
        <x:f>MAX(E42-K42,0)</x:f>
        <x:v>0</x:v>
      </x:c>
      <x:c r="N42" s="54" t="n">
        <x:f>MAX(K42-L42,0)</x:f>
        <x:v>811</x:v>
      </x:c>
      <x:c r="O42" s="52" t="n">
        <x:v>0.025</x:v>
      </x:c>
      <x:c r="P42" s="54" t="n">
        <x:f>MIN(N42,ROUND(N42*O42,0))</x:f>
        <x:v>20</x:v>
      </x:c>
      <x:c r="Q42" s="54" t="n">
        <x:f>N42-P42</x:f>
        <x:v>791</x:v>
      </x:c>
      <x:c r="R42" s="54" t="n">
        <x:v>205</x:v>
      </x:c>
      <x:c r="S42" s="54" t="n">
        <x:f>MIN(F42,MAX(0,ROUND(D42+R42-V42,0)))</x:f>
        <x:v>1823</x:v>
      </x:c>
      <x:c r="T42" s="52" t="n">
        <x:v>0.98679984448243</x:v>
      </x:c>
      <x:c r="U42" s="54" t="n">
        <x:f>MIN(F42,MAX(0,ROUND(S42*T42,0)))</x:f>
        <x:v>1799</x:v>
      </x:c>
      <x:c r="V42" s="54" t="n">
        <x:f>AB37</x:f>
        <x:v>87</x:v>
      </x:c>
      <x:c r="W42" s="54" t="n">
        <x:f>U42+V42</x:f>
        <x:v>1886</x:v>
      </x:c>
      <x:c r="X42" s="54" t="n">
        <x:f>MIN(E42,W42)</x:f>
        <x:v>1455</x:v>
      </x:c>
      <x:c r="Y42" s="54" t="n">
        <x:f>MAX(E42-W42,0)</x:f>
        <x:v>0</x:v>
      </x:c>
      <x:c r="Z42" s="54" t="n">
        <x:f>MAX(W42-X42,0)</x:f>
        <x:v>431</x:v>
      </x:c>
      <x:c r="AA42" s="54" t="n">
        <x:f>MIN(Z42,ROUND(Z42*O42,0))</x:f>
        <x:v>11</x:v>
      </x:c>
      <x:c r="AB42" s="54" t="n">
        <x:f>Z42-AA42</x:f>
        <x:v>420</x:v>
      </x:c>
      <x:c r="AC42" s="52" t="n">
        <x:f>IFERROR(ABS(E42-D42)/E42,0)</x:f>
        <x:v>0.1718213058419244</x:v>
      </x:c>
      <x:c r="AD42" s="52" t="n">
        <x:f>IFERROR(L42/E42,1)</x:f>
        <x:v>1</x:v>
      </x:c>
      <x:c r="AE42" s="52" t="n">
        <x:f>IFERROR(X42/E42,1)</x:f>
        <x:v>1</x:v>
      </x:c>
      <x:c r="AF42" s="52" t="n">
        <x:f>IFERROR(I42/F42,0)</x:f>
        <x:v>0.7382222222222222</x:v>
      </x:c>
      <x:c r="AG42" s="52" t="n">
        <x:f>IFERROR(U42/F42,0)</x:f>
        <x:v>0.7995555555555556</x:v>
      </x:c>
    </x:row>
    <x:row r="43">
      <x:c r="A43" s="50" t="n">
        <x:v>46170</x:v>
      </x:c>
      <x:c r="B43" s="48" t="str">
        <x:v>Full Cream Milk</x:v>
      </x:c>
      <x:c r="C43" s="48" t="n">
        <x:v>2</x:v>
      </x:c>
      <x:c r="D43" s="54" t="n">
        <x:v>852</x:v>
      </x:c>
      <x:c r="E43" s="54" t="n">
        <x:v>719</x:v>
      </x:c>
      <x:c r="F43" s="54" t="n">
        <x:v>1200</x:v>
      </x:c>
      <x:c r="G43" s="54" t="n">
        <x:f>ROUND(D43*0.97,0)</x:f>
        <x:v>826</x:v>
      </x:c>
      <x:c r="H43" s="52" t="n">
        <x:v>0.9851701047550051</x:v>
      </x:c>
      <x:c r="I43" s="54" t="n">
        <x:f>MIN(F43,ROUND(G43*H43,0))</x:f>
        <x:v>814</x:v>
      </x:c>
      <x:c r="J43" s="54" t="n">
        <x:f>Q38</x:f>
        <x:v>382</x:v>
      </x:c>
      <x:c r="K43" s="54" t="n">
        <x:f>I43+J43</x:f>
        <x:v>1196</x:v>
      </x:c>
      <x:c r="L43" s="54" t="n">
        <x:f>MIN(E43,K43)</x:f>
        <x:v>719</x:v>
      </x:c>
      <x:c r="M43" s="54" t="n">
        <x:f>MAX(E43-K43,0)</x:f>
        <x:v>0</x:v>
      </x:c>
      <x:c r="N43" s="54" t="n">
        <x:f>MAX(K43-L43,0)</x:f>
        <x:v>477</x:v>
      </x:c>
      <x:c r="O43" s="52" t="n">
        <x:v>0.03</x:v>
      </x:c>
      <x:c r="P43" s="54" t="n">
        <x:f>MIN(N43,ROUND(N43*O43,0))</x:f>
        <x:v>14</x:v>
      </x:c>
      <x:c r="Q43" s="54" t="n">
        <x:f>N43-P43</x:f>
        <x:v>463</x:v>
      </x:c>
      <x:c r="R43" s="54" t="n">
        <x:v>102</x:v>
      </x:c>
      <x:c r="S43" s="54" t="n">
        <x:f>MIN(F43,MAX(0,ROUND(D43+R43-V43,0)))</x:f>
        <x:v>713</x:v>
      </x:c>
      <x:c r="T43" s="52" t="n">
        <x:v>1.004159559446028</x:v>
      </x:c>
      <x:c r="U43" s="54" t="n">
        <x:f>MIN(F43,MAX(0,ROUND(S43*T43,0)))</x:f>
        <x:v>716</x:v>
      </x:c>
      <x:c r="V43" s="54" t="n">
        <x:f>AB38</x:f>
        <x:v>241</x:v>
      </x:c>
      <x:c r="W43" s="54" t="n">
        <x:f>U43+V43</x:f>
        <x:v>957</x:v>
      </x:c>
      <x:c r="X43" s="54" t="n">
        <x:f>MIN(E43,W43)</x:f>
        <x:v>719</x:v>
      </x:c>
      <x:c r="Y43" s="54" t="n">
        <x:f>MAX(E43-W43,0)</x:f>
        <x:v>0</x:v>
      </x:c>
      <x:c r="Z43" s="54" t="n">
        <x:f>MAX(W43-X43,0)</x:f>
        <x:v>238</x:v>
      </x:c>
      <x:c r="AA43" s="54" t="n">
        <x:f>MIN(Z43,ROUND(Z43*O43,0))</x:f>
        <x:v>7</x:v>
      </x:c>
      <x:c r="AB43" s="54" t="n">
        <x:f>Z43-AA43</x:f>
        <x:v>231</x:v>
      </x:c>
      <x:c r="AC43" s="52" t="n">
        <x:f>IFERROR(ABS(E43-D43)/E43,0)</x:f>
        <x:v>0.18497913769123783</x:v>
      </x:c>
      <x:c r="AD43" s="52" t="n">
        <x:f>IFERROR(L43/E43,1)</x:f>
        <x:v>1</x:v>
      </x:c>
      <x:c r="AE43" s="52" t="n">
        <x:f>IFERROR(X43/E43,1)</x:f>
        <x:v>1</x:v>
      </x:c>
      <x:c r="AF43" s="52" t="n">
        <x:f>IFERROR(I43/F43,0)</x:f>
        <x:v>0.6783333333333333</x:v>
      </x:c>
      <x:c r="AG43" s="52" t="n">
        <x:f>IFERROR(U43/F43,0)</x:f>
        <x:v>0.5966666666666667</x:v>
      </x:c>
    </x:row>
    <x:row r="44">
      <x:c r="A44" s="50" t="n">
        <x:v>46170</x:v>
      </x:c>
      <x:c r="B44" s="48" t="str">
        <x:v>Curd</x:v>
      </x:c>
      <x:c r="C44" s="48" t="n">
        <x:v>7</x:v>
      </x:c>
      <x:c r="D44" s="54" t="n">
        <x:v>501</x:v>
      </x:c>
      <x:c r="E44" s="54" t="n">
        <x:v>474</x:v>
      </x:c>
      <x:c r="F44" s="54" t="n">
        <x:v>700</x:v>
      </x:c>
      <x:c r="G44" s="54" t="n">
        <x:f>ROUND(D44*0.97,0)</x:f>
        <x:v>486</x:v>
      </x:c>
      <x:c r="H44" s="52" t="n">
        <x:v>0.9997097274144736</x:v>
      </x:c>
      <x:c r="I44" s="54" t="n">
        <x:f>MIN(F44,ROUND(G44*H44,0))</x:f>
        <x:v>486</x:v>
      </x:c>
      <x:c r="J44" s="54" t="n">
        <x:f>Q39</x:f>
        <x:v>0</x:v>
      </x:c>
      <x:c r="K44" s="54" t="n">
        <x:f>I44+J44</x:f>
        <x:v>486</x:v>
      </x:c>
      <x:c r="L44" s="54" t="n">
        <x:f>MIN(E44,K44)</x:f>
        <x:v>474</x:v>
      </x:c>
      <x:c r="M44" s="54" t="n">
        <x:f>MAX(E44-K44,0)</x:f>
        <x:v>0</x:v>
      </x:c>
      <x:c r="N44" s="54" t="n">
        <x:f>MAX(K44-L44,0)</x:f>
        <x:v>12</x:v>
      </x:c>
      <x:c r="O44" s="52" t="n">
        <x:v>0.018</x:v>
      </x:c>
      <x:c r="P44" s="54" t="n">
        <x:f>MIN(N44,ROUND(N44*O44,0))</x:f>
        <x:v>0</x:v>
      </x:c>
      <x:c r="Q44" s="54" t="n">
        <x:f>N44-P44</x:f>
        <x:v>12</x:v>
      </x:c>
      <x:c r="R44" s="54" t="n">
        <x:v>90</x:v>
      </x:c>
      <x:c r="S44" s="54" t="n">
        <x:f>MIN(F44,MAX(0,ROUND(D44+R44-V44,0)))</x:f>
        <x:v>580</x:v>
      </x:c>
      <x:c r="T44" s="52" t="n">
        <x:v>0.9813654123248173</x:v>
      </x:c>
      <x:c r="U44" s="54" t="n">
        <x:f>MIN(F44,MAX(0,ROUND(S44*T44,0)))</x:f>
        <x:v>569</x:v>
      </x:c>
      <x:c r="V44" s="54" t="n">
        <x:f>AB39</x:f>
        <x:v>11</x:v>
      </x:c>
      <x:c r="W44" s="54" t="n">
        <x:f>U44+V44</x:f>
        <x:v>580</x:v>
      </x:c>
      <x:c r="X44" s="54" t="n">
        <x:f>MIN(E44,W44)</x:f>
        <x:v>474</x:v>
      </x:c>
      <x:c r="Y44" s="54" t="n">
        <x:f>MAX(E44-W44,0)</x:f>
        <x:v>0</x:v>
      </x:c>
      <x:c r="Z44" s="54" t="n">
        <x:f>MAX(W44-X44,0)</x:f>
        <x:v>106</x:v>
      </x:c>
      <x:c r="AA44" s="54" t="n">
        <x:f>MIN(Z44,ROUND(Z44*O44,0))</x:f>
        <x:v>2</x:v>
      </x:c>
      <x:c r="AB44" s="54" t="n">
        <x:f>Z44-AA44</x:f>
        <x:v>104</x:v>
      </x:c>
      <x:c r="AC44" s="52" t="n">
        <x:f>IFERROR(ABS(E44-D44)/E44,0)</x:f>
        <x:v>0.056962025316455694</x:v>
      </x:c>
      <x:c r="AD44" s="52" t="n">
        <x:f>IFERROR(L44/E44,1)</x:f>
        <x:v>1</x:v>
      </x:c>
      <x:c r="AE44" s="52" t="n">
        <x:f>IFERROR(X44/E44,1)</x:f>
        <x:v>1</x:v>
      </x:c>
      <x:c r="AF44" s="52" t="n">
        <x:f>IFERROR(I44/F44,0)</x:f>
        <x:v>0.6942857142857143</x:v>
      </x:c>
      <x:c r="AG44" s="52" t="n">
        <x:f>IFERROR(U44/F44,0)</x:f>
        <x:v>0.8128571428571428</x:v>
      </x:c>
    </x:row>
    <x:row r="45">
      <x:c r="A45" s="50" t="n">
        <x:v>46170</x:v>
      </x:c>
      <x:c r="B45" s="48" t="str">
        <x:v>Lassi</x:v>
      </x:c>
      <x:c r="C45" s="48" t="n">
        <x:v>7</x:v>
      </x:c>
      <x:c r="D45" s="54" t="n">
        <x:v>401</x:v>
      </x:c>
      <x:c r="E45" s="54" t="n">
        <x:v>410</x:v>
      </x:c>
      <x:c r="F45" s="54" t="n">
        <x:v>560</x:v>
      </x:c>
      <x:c r="G45" s="54" t="n">
        <x:f>ROUND(D45*0.97,0)</x:f>
        <x:v>389</x:v>
      </x:c>
      <x:c r="H45" s="52" t="n">
        <x:v>0.9944583832149606</x:v>
      </x:c>
      <x:c r="I45" s="54" t="n">
        <x:f>MIN(F45,ROUND(G45*H45,0))</x:f>
        <x:v>387</x:v>
      </x:c>
      <x:c r="J45" s="54" t="n">
        <x:f>Q40</x:f>
        <x:v>48</x:v>
      </x:c>
      <x:c r="K45" s="54" t="n">
        <x:f>I45+J45</x:f>
        <x:v>435</x:v>
      </x:c>
      <x:c r="L45" s="54" t="n">
        <x:f>MIN(E45,K45)</x:f>
        <x:v>410</x:v>
      </x:c>
      <x:c r="M45" s="54" t="n">
        <x:f>MAX(E45-K45,0)</x:f>
        <x:v>0</x:v>
      </x:c>
      <x:c r="N45" s="54" t="n">
        <x:f>MAX(K45-L45,0)</x:f>
        <x:v>25</x:v>
      </x:c>
      <x:c r="O45" s="52" t="n">
        <x:v>0.02</x:v>
      </x:c>
      <x:c r="P45" s="54" t="n">
        <x:f>MIN(N45,ROUND(N45*O45,0))</x:f>
        <x:v>1</x:v>
      </x:c>
      <x:c r="Q45" s="54" t="n">
        <x:f>N45-P45</x:f>
        <x:v>24</x:v>
      </x:c>
      <x:c r="R45" s="54" t="n">
        <x:v>72</x:v>
      </x:c>
      <x:c r="S45" s="54" t="n">
        <x:f>MIN(F45,MAX(0,ROUND(D45+R45-V45,0)))</x:f>
        <x:v>405</x:v>
      </x:c>
      <x:c r="T45" s="52" t="n">
        <x:v>0.9884891771046265</x:v>
      </x:c>
      <x:c r="U45" s="54" t="n">
        <x:f>MIN(F45,MAX(0,ROUND(S45*T45,0)))</x:f>
        <x:v>400</x:v>
      </x:c>
      <x:c r="V45" s="54" t="n">
        <x:f>AB40</x:f>
        <x:v>68</x:v>
      </x:c>
      <x:c r="W45" s="54" t="n">
        <x:f>U45+V45</x:f>
        <x:v>468</x:v>
      </x:c>
      <x:c r="X45" s="54" t="n">
        <x:f>MIN(E45,W45)</x:f>
        <x:v>410</x:v>
      </x:c>
      <x:c r="Y45" s="54" t="n">
        <x:f>MAX(E45-W45,0)</x:f>
        <x:v>0</x:v>
      </x:c>
      <x:c r="Z45" s="54" t="n">
        <x:f>MAX(W45-X45,0)</x:f>
        <x:v>58</x:v>
      </x:c>
      <x:c r="AA45" s="54" t="n">
        <x:f>MIN(Z45,ROUND(Z45*O45,0))</x:f>
        <x:v>1</x:v>
      </x:c>
      <x:c r="AB45" s="54" t="n">
        <x:f>Z45-AA45</x:f>
        <x:v>57</x:v>
      </x:c>
      <x:c r="AC45" s="52" t="n">
        <x:f>IFERROR(ABS(E45-D45)/E45,0)</x:f>
        <x:v>0.02195121951219512</x:v>
      </x:c>
      <x:c r="AD45" s="52" t="n">
        <x:f>IFERROR(L45/E45,1)</x:f>
        <x:v>1</x:v>
      </x:c>
      <x:c r="AE45" s="52" t="n">
        <x:f>IFERROR(X45/E45,1)</x:f>
        <x:v>1</x:v>
      </x:c>
      <x:c r="AF45" s="52" t="n">
        <x:f>IFERROR(I45/F45,0)</x:f>
        <x:v>0.6910714285714286</x:v>
      </x:c>
      <x:c r="AG45" s="52" t="n">
        <x:f>IFERROR(U45/F45,0)</x:f>
        <x:v>0.7142857142857143</x:v>
      </x:c>
    </x:row>
    <x:row r="46">
      <x:c r="A46" s="50" t="n">
        <x:v>46170</x:v>
      </x:c>
      <x:c r="B46" s="48" t="str">
        <x:v>Paneer</x:v>
      </x:c>
      <x:c r="C46" s="48" t="n">
        <x:v>5</x:v>
      </x:c>
      <x:c r="D46" s="54" t="n">
        <x:v>160</x:v>
      </x:c>
      <x:c r="E46" s="54" t="n">
        <x:v>171</x:v>
      </x:c>
      <x:c r="F46" s="54" t="n">
        <x:v>230</x:v>
      </x:c>
      <x:c r="G46" s="54" t="n">
        <x:f>ROUND(D46*0.97,0)</x:f>
        <x:v>155</x:v>
      </x:c>
      <x:c r="H46" s="52" t="n">
        <x:v>0.9948665268454263</x:v>
      </x:c>
      <x:c r="I46" s="54" t="n">
        <x:f>MIN(F46,ROUND(G46*H46,0))</x:f>
        <x:v>154</x:v>
      </x:c>
      <x:c r="J46" s="54" t="n">
        <x:f>Q41</x:f>
        <x:v>3</x:v>
      </x:c>
      <x:c r="K46" s="54" t="n">
        <x:f>I46+J46</x:f>
        <x:v>157</x:v>
      </x:c>
      <x:c r="L46" s="54" t="n">
        <x:f>MIN(E46,K46)</x:f>
        <x:v>157</x:v>
      </x:c>
      <x:c r="M46" s="54" t="n">
        <x:f>MAX(E46-K46,0)</x:f>
        <x:v>14</x:v>
      </x:c>
      <x:c r="N46" s="54" t="n">
        <x:f>MAX(K46-L46,0)</x:f>
        <x:v>0</x:v>
      </x:c>
      <x:c r="O46" s="52" t="n">
        <x:v>0.025</x:v>
      </x:c>
      <x:c r="P46" s="54" t="n">
        <x:f>MIN(N46,ROUND(N46*O46,0))</x:f>
        <x:v>0</x:v>
      </x:c>
      <x:c r="Q46" s="54" t="n">
        <x:f>N46-P46</x:f>
        <x:v>0</x:v>
      </x:c>
      <x:c r="R46" s="54" t="n">
        <x:v>32</x:v>
      </x:c>
      <x:c r="S46" s="54" t="n">
        <x:f>MIN(F46,MAX(0,ROUND(D46+R46-V46,0)))</x:f>
        <x:v>158</x:v>
      </x:c>
      <x:c r="T46" s="52" t="n">
        <x:v>1.002363166217919</x:v>
      </x:c>
      <x:c r="U46" s="54" t="n">
        <x:f>MIN(F46,MAX(0,ROUND(S46*T46,0)))</x:f>
        <x:v>158</x:v>
      </x:c>
      <x:c r="V46" s="54" t="n">
        <x:f>AB41</x:f>
        <x:v>34</x:v>
      </x:c>
      <x:c r="W46" s="54" t="n">
        <x:f>U46+V46</x:f>
        <x:v>192</x:v>
      </x:c>
      <x:c r="X46" s="54" t="n">
        <x:f>MIN(E46,W46)</x:f>
        <x:v>171</x:v>
      </x:c>
      <x:c r="Y46" s="54" t="n">
        <x:f>MAX(E46-W46,0)</x:f>
        <x:v>0</x:v>
      </x:c>
      <x:c r="Z46" s="54" t="n">
        <x:f>MAX(W46-X46,0)</x:f>
        <x:v>21</x:v>
      </x:c>
      <x:c r="AA46" s="54" t="n">
        <x:f>MIN(Z46,ROUND(Z46*O46,0))</x:f>
        <x:v>1</x:v>
      </x:c>
      <x:c r="AB46" s="54" t="n">
        <x:f>Z46-AA46</x:f>
        <x:v>20</x:v>
      </x:c>
      <x:c r="AC46" s="52" t="n">
        <x:f>IFERROR(ABS(E46-D46)/E46,0)</x:f>
        <x:v>0.06432748538011696</x:v>
      </x:c>
      <x:c r="AD46" s="52" t="n">
        <x:f>IFERROR(L46/E46,1)</x:f>
        <x:v>0.9181286549707602</x:v>
      </x:c>
      <x:c r="AE46" s="52" t="n">
        <x:f>IFERROR(X46/E46,1)</x:f>
        <x:v>1</x:v>
      </x:c>
      <x:c r="AF46" s="52" t="n">
        <x:f>IFERROR(I46/F46,0)</x:f>
        <x:v>0.6695652173913044</x:v>
      </x:c>
      <x:c r="AG46" s="52" t="n">
        <x:f>IFERROR(U46/F46,0)</x:f>
        <x:v>0.6869565217391305</x:v>
      </x:c>
    </x:row>
    <x:row r="47">
      <x:c r="A47" s="50" t="n">
        <x:v>46171</x:v>
      </x:c>
      <x:c r="B47" s="48" t="str">
        <x:v>Toned Milk</x:v>
      </x:c>
      <x:c r="C47" s="48" t="n">
        <x:v>2</x:v>
      </x:c>
      <x:c r="D47" s="54" t="n">
        <x:v>1774</x:v>
      </x:c>
      <x:c r="E47" s="54" t="n">
        <x:v>1632</x:v>
      </x:c>
      <x:c r="F47" s="54" t="n">
        <x:v>2250</x:v>
      </x:c>
      <x:c r="G47" s="54" t="n">
        <x:f>ROUND(D47*0.97,0)</x:f>
        <x:v>1721</x:v>
      </x:c>
      <x:c r="H47" s="52" t="n">
        <x:v>1.0004972021112195</x:v>
      </x:c>
      <x:c r="I47" s="54" t="n">
        <x:f>MIN(F47,ROUND(G47*H47,0))</x:f>
        <x:v>1722</x:v>
      </x:c>
      <x:c r="J47" s="54" t="n">
        <x:f>Q42</x:f>
        <x:v>791</x:v>
      </x:c>
      <x:c r="K47" s="54" t="n">
        <x:f>I47+J47</x:f>
        <x:v>2513</x:v>
      </x:c>
      <x:c r="L47" s="54" t="n">
        <x:f>MIN(E47,K47)</x:f>
        <x:v>1632</x:v>
      </x:c>
      <x:c r="M47" s="54" t="n">
        <x:f>MAX(E47-K47,0)</x:f>
        <x:v>0</x:v>
      </x:c>
      <x:c r="N47" s="54" t="n">
        <x:f>MAX(K47-L47,0)</x:f>
        <x:v>881</x:v>
      </x:c>
      <x:c r="O47" s="52" t="n">
        <x:v>0.025</x:v>
      </x:c>
      <x:c r="P47" s="54" t="n">
        <x:f>MIN(N47,ROUND(N47*O47,0))</x:f>
        <x:v>22</x:v>
      </x:c>
      <x:c r="Q47" s="54" t="n">
        <x:f>N47-P47</x:f>
        <x:v>859</x:v>
      </x:c>
      <x:c r="R47" s="54" t="n">
        <x:v>213</x:v>
      </x:c>
      <x:c r="S47" s="54" t="n">
        <x:f>MIN(F47,MAX(0,ROUND(D47+R47-V47,0)))</x:f>
        <x:v>1567</x:v>
      </x:c>
      <x:c r="T47" s="52" t="n">
        <x:v>1.0079948878454699</x:v>
      </x:c>
      <x:c r="U47" s="54" t="n">
        <x:f>MIN(F47,MAX(0,ROUND(S47*T47,0)))</x:f>
        <x:v>1580</x:v>
      </x:c>
      <x:c r="V47" s="54" t="n">
        <x:f>AB42</x:f>
        <x:v>420</x:v>
      </x:c>
      <x:c r="W47" s="54" t="n">
        <x:f>U47+V47</x:f>
        <x:v>2000</x:v>
      </x:c>
      <x:c r="X47" s="54" t="n">
        <x:f>MIN(E47,W47)</x:f>
        <x:v>1632</x:v>
      </x:c>
      <x:c r="Y47" s="54" t="n">
        <x:f>MAX(E47-W47,0)</x:f>
        <x:v>0</x:v>
      </x:c>
      <x:c r="Z47" s="54" t="n">
        <x:f>MAX(W47-X47,0)</x:f>
        <x:v>368</x:v>
      </x:c>
      <x:c r="AA47" s="54" t="n">
        <x:f>MIN(Z47,ROUND(Z47*O47,0))</x:f>
        <x:v>9</x:v>
      </x:c>
      <x:c r="AB47" s="54" t="n">
        <x:f>Z47-AA47</x:f>
        <x:v>359</x:v>
      </x:c>
      <x:c r="AC47" s="52" t="n">
        <x:f>IFERROR(ABS(E47-D47)/E47,0)</x:f>
        <x:v>0.08700980392156862</x:v>
      </x:c>
      <x:c r="AD47" s="52" t="n">
        <x:f>IFERROR(L47/E47,1)</x:f>
        <x:v>1</x:v>
      </x:c>
      <x:c r="AE47" s="52" t="n">
        <x:f>IFERROR(X47/E47,1)</x:f>
        <x:v>1</x:v>
      </x:c>
      <x:c r="AF47" s="52" t="n">
        <x:f>IFERROR(I47/F47,0)</x:f>
        <x:v>0.7653333333333333</x:v>
      </x:c>
      <x:c r="AG47" s="52" t="n">
        <x:f>IFERROR(U47/F47,0)</x:f>
        <x:v>0.7022222222222222</x:v>
      </x:c>
    </x:row>
    <x:row r="48">
      <x:c r="A48" s="50" t="n">
        <x:v>46171</x:v>
      </x:c>
      <x:c r="B48" s="48" t="str">
        <x:v>Full Cream Milk</x:v>
      </x:c>
      <x:c r="C48" s="48" t="n">
        <x:v>2</x:v>
      </x:c>
      <x:c r="D48" s="54" t="n">
        <x:v>887</x:v>
      </x:c>
      <x:c r="E48" s="54" t="n">
        <x:v>1039</x:v>
      </x:c>
      <x:c r="F48" s="54" t="n">
        <x:v>1200</x:v>
      </x:c>
      <x:c r="G48" s="54" t="n">
        <x:f>ROUND(D48*0.97,0)</x:f>
        <x:v>860</x:v>
      </x:c>
      <x:c r="H48" s="52" t="n">
        <x:v>0.9934945373348949</x:v>
      </x:c>
      <x:c r="I48" s="54" t="n">
        <x:f>MIN(F48,ROUND(G48*H48,0))</x:f>
        <x:v>854</x:v>
      </x:c>
      <x:c r="J48" s="54" t="n">
        <x:f>Q43</x:f>
        <x:v>463</x:v>
      </x:c>
      <x:c r="K48" s="54" t="n">
        <x:f>I48+J48</x:f>
        <x:v>1317</x:v>
      </x:c>
      <x:c r="L48" s="54" t="n">
        <x:f>MIN(E48,K48)</x:f>
        <x:v>1039</x:v>
      </x:c>
      <x:c r="M48" s="54" t="n">
        <x:f>MAX(E48-K48,0)</x:f>
        <x:v>0</x:v>
      </x:c>
      <x:c r="N48" s="54" t="n">
        <x:f>MAX(K48-L48,0)</x:f>
        <x:v>278</x:v>
      </x:c>
      <x:c r="O48" s="52" t="n">
        <x:v>0.03</x:v>
      </x:c>
      <x:c r="P48" s="54" t="n">
        <x:f>MIN(N48,ROUND(N48*O48,0))</x:f>
        <x:v>8</x:v>
      </x:c>
      <x:c r="Q48" s="54" t="n">
        <x:f>N48-P48</x:f>
        <x:v>270</x:v>
      </x:c>
      <x:c r="R48" s="54" t="n">
        <x:v>106</x:v>
      </x:c>
      <x:c r="S48" s="54" t="n">
        <x:f>MIN(F48,MAX(0,ROUND(D48+R48-V48,0)))</x:f>
        <x:v>762</x:v>
      </x:c>
      <x:c r="T48" s="52" t="n">
        <x:v>0.986543786451719</x:v>
      </x:c>
      <x:c r="U48" s="54" t="n">
        <x:f>MIN(F48,MAX(0,ROUND(S48*T48,0)))</x:f>
        <x:v>752</x:v>
      </x:c>
      <x:c r="V48" s="54" t="n">
        <x:f>AB43</x:f>
        <x:v>231</x:v>
      </x:c>
      <x:c r="W48" s="54" t="n">
        <x:f>U48+V48</x:f>
        <x:v>983</x:v>
      </x:c>
      <x:c r="X48" s="54" t="n">
        <x:f>MIN(E48,W48)</x:f>
        <x:v>983</x:v>
      </x:c>
      <x:c r="Y48" s="54" t="n">
        <x:f>MAX(E48-W48,0)</x:f>
        <x:v>56</x:v>
      </x:c>
      <x:c r="Z48" s="54" t="n">
        <x:f>MAX(W48-X48,0)</x:f>
        <x:v>0</x:v>
      </x:c>
      <x:c r="AA48" s="54" t="n">
        <x:f>MIN(Z48,ROUND(Z48*O48,0))</x:f>
        <x:v>0</x:v>
      </x:c>
      <x:c r="AB48" s="54" t="n">
        <x:f>Z48-AA48</x:f>
        <x:v>0</x:v>
      </x:c>
      <x:c r="AC48" s="52" t="n">
        <x:f>IFERROR(ABS(E48-D48)/E48,0)</x:f>
        <x:v>0.14629451395572665</x:v>
      </x:c>
      <x:c r="AD48" s="52" t="n">
        <x:f>IFERROR(L48/E48,1)</x:f>
        <x:v>1</x:v>
      </x:c>
      <x:c r="AE48" s="52" t="n">
        <x:f>IFERROR(X48/E48,1)</x:f>
        <x:v>0.9461020211742059</x:v>
      </x:c>
      <x:c r="AF48" s="52" t="n">
        <x:f>IFERROR(I48/F48,0)</x:f>
        <x:v>0.7116666666666667</x:v>
      </x:c>
      <x:c r="AG48" s="52" t="n">
        <x:f>IFERROR(U48/F48,0)</x:f>
        <x:v>0.6266666666666667</x:v>
      </x:c>
    </x:row>
    <x:row r="49">
      <x:c r="A49" s="50" t="n">
        <x:v>46171</x:v>
      </x:c>
      <x:c r="B49" s="48" t="str">
        <x:v>Curd</x:v>
      </x:c>
      <x:c r="C49" s="48" t="n">
        <x:v>7</x:v>
      </x:c>
      <x:c r="D49" s="54" t="n">
        <x:v>522</x:v>
      </x:c>
      <x:c r="E49" s="54" t="n">
        <x:v>491</x:v>
      </x:c>
      <x:c r="F49" s="54" t="n">
        <x:v>700</x:v>
      </x:c>
      <x:c r="G49" s="54" t="n">
        <x:f>ROUND(D49*0.97,0)</x:f>
        <x:v>506</x:v>
      </x:c>
      <x:c r="H49" s="52" t="n">
        <x:v>1.0193833250183715</x:v>
      </x:c>
      <x:c r="I49" s="54" t="n">
        <x:f>MIN(F49,ROUND(G49*H49,0))</x:f>
        <x:v>516</x:v>
      </x:c>
      <x:c r="J49" s="54" t="n">
        <x:f>Q44</x:f>
        <x:v>12</x:v>
      </x:c>
      <x:c r="K49" s="54" t="n">
        <x:f>I49+J49</x:f>
        <x:v>528</x:v>
      </x:c>
      <x:c r="L49" s="54" t="n">
        <x:f>MIN(E49,K49)</x:f>
        <x:v>491</x:v>
      </x:c>
      <x:c r="M49" s="54" t="n">
        <x:f>MAX(E49-K49,0)</x:f>
        <x:v>0</x:v>
      </x:c>
      <x:c r="N49" s="54" t="n">
        <x:f>MAX(K49-L49,0)</x:f>
        <x:v>37</x:v>
      </x:c>
      <x:c r="O49" s="52" t="n">
        <x:v>0.018</x:v>
      </x:c>
      <x:c r="P49" s="54" t="n">
        <x:f>MIN(N49,ROUND(N49*O49,0))</x:f>
        <x:v>1</x:v>
      </x:c>
      <x:c r="Q49" s="54" t="n">
        <x:f>N49-P49</x:f>
        <x:v>36</x:v>
      </x:c>
      <x:c r="R49" s="54" t="n">
        <x:v>94</x:v>
      </x:c>
      <x:c r="S49" s="54" t="n">
        <x:f>MIN(F49,MAX(0,ROUND(D49+R49-V49,0)))</x:f>
        <x:v>512</x:v>
      </x:c>
      <x:c r="T49" s="52" t="n">
        <x:v>1.0136363368460606</x:v>
      </x:c>
      <x:c r="U49" s="54" t="n">
        <x:f>MIN(F49,MAX(0,ROUND(S49*T49,0)))</x:f>
        <x:v>519</x:v>
      </x:c>
      <x:c r="V49" s="54" t="n">
        <x:f>AB44</x:f>
        <x:v>104</x:v>
      </x:c>
      <x:c r="W49" s="54" t="n">
        <x:f>U49+V49</x:f>
        <x:v>623</x:v>
      </x:c>
      <x:c r="X49" s="54" t="n">
        <x:f>MIN(E49,W49)</x:f>
        <x:v>491</x:v>
      </x:c>
      <x:c r="Y49" s="54" t="n">
        <x:f>MAX(E49-W49,0)</x:f>
        <x:v>0</x:v>
      </x:c>
      <x:c r="Z49" s="54" t="n">
        <x:f>MAX(W49-X49,0)</x:f>
        <x:v>132</x:v>
      </x:c>
      <x:c r="AA49" s="54" t="n">
        <x:f>MIN(Z49,ROUND(Z49*O49,0))</x:f>
        <x:v>2</x:v>
      </x:c>
      <x:c r="AB49" s="54" t="n">
        <x:f>Z49-AA49</x:f>
        <x:v>130</x:v>
      </x:c>
      <x:c r="AC49" s="52" t="n">
        <x:f>IFERROR(ABS(E49-D49)/E49,0)</x:f>
        <x:v>0.06313645621181263</x:v>
      </x:c>
      <x:c r="AD49" s="52" t="n">
        <x:f>IFERROR(L49/E49,1)</x:f>
        <x:v>1</x:v>
      </x:c>
      <x:c r="AE49" s="52" t="n">
        <x:f>IFERROR(X49/E49,1)</x:f>
        <x:v>1</x:v>
      </x:c>
      <x:c r="AF49" s="52" t="n">
        <x:f>IFERROR(I49/F49,0)</x:f>
        <x:v>0.7371428571428571</x:v>
      </x:c>
      <x:c r="AG49" s="52" t="n">
        <x:f>IFERROR(U49/F49,0)</x:f>
        <x:v>0.7414285714285714</x:v>
      </x:c>
    </x:row>
    <x:row r="50">
      <x:c r="A50" s="50" t="n">
        <x:v>46171</x:v>
      </x:c>
      <x:c r="B50" s="48" t="str">
        <x:v>Lassi</x:v>
      </x:c>
      <x:c r="C50" s="48" t="n">
        <x:v>7</x:v>
      </x:c>
      <x:c r="D50" s="54" t="n">
        <x:v>417</x:v>
      </x:c>
      <x:c r="E50" s="54" t="n">
        <x:v>474</x:v>
      </x:c>
      <x:c r="F50" s="54" t="n">
        <x:v>560</x:v>
      </x:c>
      <x:c r="G50" s="54" t="n">
        <x:f>ROUND(D50*0.97,0)</x:f>
        <x:v>404</x:v>
      </x:c>
      <x:c r="H50" s="52" t="n">
        <x:v>1.0129041741871023</x:v>
      </x:c>
      <x:c r="I50" s="54" t="n">
        <x:f>MIN(F50,ROUND(G50*H50,0))</x:f>
        <x:v>409</x:v>
      </x:c>
      <x:c r="J50" s="54" t="n">
        <x:f>Q45</x:f>
        <x:v>24</x:v>
      </x:c>
      <x:c r="K50" s="54" t="n">
        <x:f>I50+J50</x:f>
        <x:v>433</x:v>
      </x:c>
      <x:c r="L50" s="54" t="n">
        <x:f>MIN(E50,K50)</x:f>
        <x:v>433</x:v>
      </x:c>
      <x:c r="M50" s="54" t="n">
        <x:f>MAX(E50-K50,0)</x:f>
        <x:v>41</x:v>
      </x:c>
      <x:c r="N50" s="54" t="n">
        <x:f>MAX(K50-L50,0)</x:f>
        <x:v>0</x:v>
      </x:c>
      <x:c r="O50" s="52" t="n">
        <x:v>0.02</x:v>
      </x:c>
      <x:c r="P50" s="54" t="n">
        <x:f>MIN(N50,ROUND(N50*O50,0))</x:f>
        <x:v>0</x:v>
      </x:c>
      <x:c r="Q50" s="54" t="n">
        <x:f>N50-P50</x:f>
        <x:v>0</x:v>
      </x:c>
      <x:c r="R50" s="54" t="n">
        <x:v>75</x:v>
      </x:c>
      <x:c r="S50" s="54" t="n">
        <x:f>MIN(F50,MAX(0,ROUND(D50+R50-V50,0)))</x:f>
        <x:v>435</x:v>
      </x:c>
      <x:c r="T50" s="52" t="n">
        <x:v>0.9849524757971775</x:v>
      </x:c>
      <x:c r="U50" s="54" t="n">
        <x:f>MIN(F50,MAX(0,ROUND(S50*T50,0)))</x:f>
        <x:v>428</x:v>
      </x:c>
      <x:c r="V50" s="54" t="n">
        <x:f>AB45</x:f>
        <x:v>57</x:v>
      </x:c>
      <x:c r="W50" s="54" t="n">
        <x:f>U50+V50</x:f>
        <x:v>485</x:v>
      </x:c>
      <x:c r="X50" s="54" t="n">
        <x:f>MIN(E50,W50)</x:f>
        <x:v>474</x:v>
      </x:c>
      <x:c r="Y50" s="54" t="n">
        <x:f>MAX(E50-W50,0)</x:f>
        <x:v>0</x:v>
      </x:c>
      <x:c r="Z50" s="54" t="n">
        <x:f>MAX(W50-X50,0)</x:f>
        <x:v>11</x:v>
      </x:c>
      <x:c r="AA50" s="54" t="n">
        <x:f>MIN(Z50,ROUND(Z50*O50,0))</x:f>
        <x:v>0</x:v>
      </x:c>
      <x:c r="AB50" s="54" t="n">
        <x:f>Z50-AA50</x:f>
        <x:v>11</x:v>
      </x:c>
      <x:c r="AC50" s="52" t="n">
        <x:f>IFERROR(ABS(E50-D50)/E50,0)</x:f>
        <x:v>0.12025316455696203</x:v>
      </x:c>
      <x:c r="AD50" s="52" t="n">
        <x:f>IFERROR(L50/E50,1)</x:f>
        <x:v>0.9135021097046413</x:v>
      </x:c>
      <x:c r="AE50" s="52" t="n">
        <x:f>IFERROR(X50/E50,1)</x:f>
        <x:v>1</x:v>
      </x:c>
      <x:c r="AF50" s="52" t="n">
        <x:f>IFERROR(I50/F50,0)</x:f>
        <x:v>0.7303571428571428</x:v>
      </x:c>
      <x:c r="AG50" s="52" t="n">
        <x:f>IFERROR(U50/F50,0)</x:f>
        <x:v>0.7642857142857142</x:v>
      </x:c>
    </x:row>
    <x:row r="51">
      <x:c r="A51" s="50" t="n">
        <x:v>46171</x:v>
      </x:c>
      <x:c r="B51" s="48" t="str">
        <x:v>Paneer</x:v>
      </x:c>
      <x:c r="C51" s="48" t="n">
        <x:v>5</x:v>
      </x:c>
      <x:c r="D51" s="54" t="n">
        <x:v>167</x:v>
      </x:c>
      <x:c r="E51" s="54" t="n">
        <x:v>178</x:v>
      </x:c>
      <x:c r="F51" s="54" t="n">
        <x:v>230</x:v>
      </x:c>
      <x:c r="G51" s="54" t="n">
        <x:f>ROUND(D51*0.97,0)</x:f>
        <x:v>162</x:v>
      </x:c>
      <x:c r="H51" s="52" t="n">
        <x:v>1.019310634738443</x:v>
      </x:c>
      <x:c r="I51" s="54" t="n">
        <x:f>MIN(F51,ROUND(G51*H51,0))</x:f>
        <x:v>165</x:v>
      </x:c>
      <x:c r="J51" s="54" t="n">
        <x:f>Q46</x:f>
        <x:v>0</x:v>
      </x:c>
      <x:c r="K51" s="54" t="n">
        <x:f>I51+J51</x:f>
        <x:v>165</x:v>
      </x:c>
      <x:c r="L51" s="54" t="n">
        <x:f>MIN(E51,K51)</x:f>
        <x:v>165</x:v>
      </x:c>
      <x:c r="M51" s="54" t="n">
        <x:f>MAX(E51-K51,0)</x:f>
        <x:v>13</x:v>
      </x:c>
      <x:c r="N51" s="54" t="n">
        <x:f>MAX(K51-L51,0)</x:f>
        <x:v>0</x:v>
      </x:c>
      <x:c r="O51" s="52" t="n">
        <x:v>0.025</x:v>
      </x:c>
      <x:c r="P51" s="54" t="n">
        <x:f>MIN(N51,ROUND(N51*O51,0))</x:f>
        <x:v>0</x:v>
      </x:c>
      <x:c r="Q51" s="54" t="n">
        <x:f>N51-P51</x:f>
        <x:v>0</x:v>
      </x:c>
      <x:c r="R51" s="54" t="n">
        <x:v>33</x:v>
      </x:c>
      <x:c r="S51" s="54" t="n">
        <x:f>MIN(F51,MAX(0,ROUND(D51+R51-V51,0)))</x:f>
        <x:v>180</x:v>
      </x:c>
      <x:c r="T51" s="52" t="n">
        <x:v>1.0058410797610227</x:v>
      </x:c>
      <x:c r="U51" s="54" t="n">
        <x:f>MIN(F51,MAX(0,ROUND(S51*T51,0)))</x:f>
        <x:v>181</x:v>
      </x:c>
      <x:c r="V51" s="54" t="n">
        <x:f>AB46</x:f>
        <x:v>20</x:v>
      </x:c>
      <x:c r="W51" s="54" t="n">
        <x:f>U51+V51</x:f>
        <x:v>201</x:v>
      </x:c>
      <x:c r="X51" s="54" t="n">
        <x:f>MIN(E51,W51)</x:f>
        <x:v>178</x:v>
      </x:c>
      <x:c r="Y51" s="54" t="n">
        <x:f>MAX(E51-W51,0)</x:f>
        <x:v>0</x:v>
      </x:c>
      <x:c r="Z51" s="54" t="n">
        <x:f>MAX(W51-X51,0)</x:f>
        <x:v>23</x:v>
      </x:c>
      <x:c r="AA51" s="54" t="n">
        <x:f>MIN(Z51,ROUND(Z51*O51,0))</x:f>
        <x:v>1</x:v>
      </x:c>
      <x:c r="AB51" s="54" t="n">
        <x:f>Z51-AA51</x:f>
        <x:v>22</x:v>
      </x:c>
      <x:c r="AC51" s="52" t="n">
        <x:f>IFERROR(ABS(E51-D51)/E51,0)</x:f>
        <x:v>0.06179775280898876</x:v>
      </x:c>
      <x:c r="AD51" s="52" t="n">
        <x:f>IFERROR(L51/E51,1)</x:f>
        <x:v>0.9269662921348315</x:v>
      </x:c>
      <x:c r="AE51" s="52" t="n">
        <x:f>IFERROR(X51/E51,1)</x:f>
        <x:v>1</x:v>
      </x:c>
      <x:c r="AF51" s="52" t="n">
        <x:f>IFERROR(I51/F51,0)</x:f>
        <x:v>0.717391304347826</x:v>
      </x:c>
      <x:c r="AG51" s="52" t="n">
        <x:f>IFERROR(U51/F51,0)</x:f>
        <x:v>0.7869565217391304</x:v>
      </x:c>
    </x:row>
    <x:row r="52">
      <x:c r="A52" s="50" t="n">
        <x:v>46172</x:v>
      </x:c>
      <x:c r="B52" s="48" t="str">
        <x:v>Toned Milk</x:v>
      </x:c>
      <x:c r="C52" s="48" t="n">
        <x:v>2</x:v>
      </x:c>
      <x:c r="D52" s="54" t="n">
        <x:v>1945</x:v>
      </x:c>
      <x:c r="E52" s="54" t="n">
        <x:v>1704</x:v>
      </x:c>
      <x:c r="F52" s="54" t="n">
        <x:v>2250</x:v>
      </x:c>
      <x:c r="G52" s="54" t="n">
        <x:f>ROUND(D52*0.97,0)</x:f>
        <x:v>1887</x:v>
      </x:c>
      <x:c r="H52" s="52" t="n">
        <x:v>0.997109484438516</x:v>
      </x:c>
      <x:c r="I52" s="54" t="n">
        <x:f>MIN(F52,ROUND(G52*H52,0))</x:f>
        <x:v>1882</x:v>
      </x:c>
      <x:c r="J52" s="54" t="n">
        <x:f>Q47</x:f>
        <x:v>859</x:v>
      </x:c>
      <x:c r="K52" s="54" t="n">
        <x:f>I52+J52</x:f>
        <x:v>2741</x:v>
      </x:c>
      <x:c r="L52" s="54" t="n">
        <x:f>MIN(E52,K52)</x:f>
        <x:v>1704</x:v>
      </x:c>
      <x:c r="M52" s="54" t="n">
        <x:f>MAX(E52-K52,0)</x:f>
        <x:v>0</x:v>
      </x:c>
      <x:c r="N52" s="54" t="n">
        <x:f>MAX(K52-L52,0)</x:f>
        <x:v>1037</x:v>
      </x:c>
      <x:c r="O52" s="52" t="n">
        <x:v>0.025</x:v>
      </x:c>
      <x:c r="P52" s="54" t="n">
        <x:f>MIN(N52,ROUND(N52*O52,0))</x:f>
        <x:v>26</x:v>
      </x:c>
      <x:c r="Q52" s="54" t="n">
        <x:f>N52-P52</x:f>
        <x:v>1011</x:v>
      </x:c>
      <x:c r="R52" s="54" t="n">
        <x:v>233</x:v>
      </x:c>
      <x:c r="S52" s="54" t="n">
        <x:f>MIN(F52,MAX(0,ROUND(D52+R52-V52,0)))</x:f>
        <x:v>1819</x:v>
      </x:c>
      <x:c r="T52" s="52" t="n">
        <x:v>1.0127075726492216</x:v>
      </x:c>
      <x:c r="U52" s="54" t="n">
        <x:f>MIN(F52,MAX(0,ROUND(S52*T52,0)))</x:f>
        <x:v>1842</x:v>
      </x:c>
      <x:c r="V52" s="54" t="n">
        <x:f>AB47</x:f>
        <x:v>359</x:v>
      </x:c>
      <x:c r="W52" s="54" t="n">
        <x:f>U52+V52</x:f>
        <x:v>2201</x:v>
      </x:c>
      <x:c r="X52" s="54" t="n">
        <x:f>MIN(E52,W52)</x:f>
        <x:v>1704</x:v>
      </x:c>
      <x:c r="Y52" s="54" t="n">
        <x:f>MAX(E52-W52,0)</x:f>
        <x:v>0</x:v>
      </x:c>
      <x:c r="Z52" s="54" t="n">
        <x:f>MAX(W52-X52,0)</x:f>
        <x:v>497</x:v>
      </x:c>
      <x:c r="AA52" s="54" t="n">
        <x:f>MIN(Z52,ROUND(Z52*O52,0))</x:f>
        <x:v>12</x:v>
      </x:c>
      <x:c r="AB52" s="54" t="n">
        <x:f>Z52-AA52</x:f>
        <x:v>485</x:v>
      </x:c>
      <x:c r="AC52" s="52" t="n">
        <x:f>IFERROR(ABS(E52-D52)/E52,0)</x:f>
        <x:v>0.1414319248826291</x:v>
      </x:c>
      <x:c r="AD52" s="52" t="n">
        <x:f>IFERROR(L52/E52,1)</x:f>
        <x:v>1</x:v>
      </x:c>
      <x:c r="AE52" s="52" t="n">
        <x:f>IFERROR(X52/E52,1)</x:f>
        <x:v>1</x:v>
      </x:c>
      <x:c r="AF52" s="52" t="n">
        <x:f>IFERROR(I52/F52,0)</x:f>
        <x:v>0.8364444444444444</x:v>
      </x:c>
      <x:c r="AG52" s="52" t="n">
        <x:f>IFERROR(U52/F52,0)</x:f>
        <x:v>0.8186666666666667</x:v>
      </x:c>
    </x:row>
    <x:row r="53">
      <x:c r="A53" s="50" t="n">
        <x:v>46172</x:v>
      </x:c>
      <x:c r="B53" s="48" t="str">
        <x:v>Full Cream Milk</x:v>
      </x:c>
      <x:c r="C53" s="48" t="n">
        <x:v>2</x:v>
      </x:c>
      <x:c r="D53" s="54" t="n">
        <x:v>972</x:v>
      </x:c>
      <x:c r="E53" s="54" t="n">
        <x:v>825</x:v>
      </x:c>
      <x:c r="F53" s="54" t="n">
        <x:v>1200</x:v>
      </x:c>
      <x:c r="G53" s="54" t="n">
        <x:f>ROUND(D53*0.97,0)</x:f>
        <x:v>943</x:v>
      </x:c>
      <x:c r="H53" s="52" t="n">
        <x:v>1.0041974591659502</x:v>
      </x:c>
      <x:c r="I53" s="54" t="n">
        <x:f>MIN(F53,ROUND(G53*H53,0))</x:f>
        <x:v>947</x:v>
      </x:c>
      <x:c r="J53" s="54" t="n">
        <x:f>Q48</x:f>
        <x:v>270</x:v>
      </x:c>
      <x:c r="K53" s="54" t="n">
        <x:f>I53+J53</x:f>
        <x:v>1217</x:v>
      </x:c>
      <x:c r="L53" s="54" t="n">
        <x:f>MIN(E53,K53)</x:f>
        <x:v>825</x:v>
      </x:c>
      <x:c r="M53" s="54" t="n">
        <x:f>MAX(E53-K53,0)</x:f>
        <x:v>0</x:v>
      </x:c>
      <x:c r="N53" s="54" t="n">
        <x:f>MAX(K53-L53,0)</x:f>
        <x:v>392</x:v>
      </x:c>
      <x:c r="O53" s="52" t="n">
        <x:v>0.03</x:v>
      </x:c>
      <x:c r="P53" s="54" t="n">
        <x:f>MIN(N53,ROUND(N53*O53,0))</x:f>
        <x:v>12</x:v>
      </x:c>
      <x:c r="Q53" s="54" t="n">
        <x:f>N53-P53</x:f>
        <x:v>380</x:v>
      </x:c>
      <x:c r="R53" s="54" t="n">
        <x:v>117</x:v>
      </x:c>
      <x:c r="S53" s="54" t="n">
        <x:f>MIN(F53,MAX(0,ROUND(D53+R53-V53,0)))</x:f>
        <x:v>1089</x:v>
      </x:c>
      <x:c r="T53" s="52" t="n">
        <x:v>1.0042535462299</x:v>
      </x:c>
      <x:c r="U53" s="54" t="n">
        <x:f>MIN(F53,MAX(0,ROUND(S53*T53,0)))</x:f>
        <x:v>1094</x:v>
      </x:c>
      <x:c r="V53" s="54" t="n">
        <x:f>AB48</x:f>
        <x:v>0</x:v>
      </x:c>
      <x:c r="W53" s="54" t="n">
        <x:f>U53+V53</x:f>
        <x:v>1094</x:v>
      </x:c>
      <x:c r="X53" s="54" t="n">
        <x:f>MIN(E53,W53)</x:f>
        <x:v>825</x:v>
      </x:c>
      <x:c r="Y53" s="54" t="n">
        <x:f>MAX(E53-W53,0)</x:f>
        <x:v>0</x:v>
      </x:c>
      <x:c r="Z53" s="54" t="n">
        <x:f>MAX(W53-X53,0)</x:f>
        <x:v>269</x:v>
      </x:c>
      <x:c r="AA53" s="54" t="n">
        <x:f>MIN(Z53,ROUND(Z53*O53,0))</x:f>
        <x:v>8</x:v>
      </x:c>
      <x:c r="AB53" s="54" t="n">
        <x:f>Z53-AA53</x:f>
        <x:v>261</x:v>
      </x:c>
      <x:c r="AC53" s="52" t="n">
        <x:f>IFERROR(ABS(E53-D53)/E53,0)</x:f>
        <x:v>0.1781818181818182</x:v>
      </x:c>
      <x:c r="AD53" s="52" t="n">
        <x:f>IFERROR(L53/E53,1)</x:f>
        <x:v>1</x:v>
      </x:c>
      <x:c r="AE53" s="52" t="n">
        <x:f>IFERROR(X53/E53,1)</x:f>
        <x:v>1</x:v>
      </x:c>
      <x:c r="AF53" s="52" t="n">
        <x:f>IFERROR(I53/F53,0)</x:f>
        <x:v>0.7891666666666667</x:v>
      </x:c>
      <x:c r="AG53" s="52" t="n">
        <x:f>IFERROR(U53/F53,0)</x:f>
        <x:v>0.9116666666666666</x:v>
      </x:c>
    </x:row>
    <x:row r="54">
      <x:c r="A54" s="50" t="n">
        <x:v>46172</x:v>
      </x:c>
      <x:c r="B54" s="48" t="str">
        <x:v>Curd</x:v>
      </x:c>
      <x:c r="C54" s="48" t="n">
        <x:v>7</x:v>
      </x:c>
      <x:c r="D54" s="54" t="n">
        <x:v>572</x:v>
      </x:c>
      <x:c r="E54" s="54" t="n">
        <x:v>532</x:v>
      </x:c>
      <x:c r="F54" s="54" t="n">
        <x:v>700</x:v>
      </x:c>
      <x:c r="G54" s="54" t="n">
        <x:f>ROUND(D54*0.97,0)</x:f>
        <x:v>555</x:v>
      </x:c>
      <x:c r="H54" s="52" t="n">
        <x:v>0.9935236297094933</x:v>
      </x:c>
      <x:c r="I54" s="54" t="n">
        <x:f>MIN(F54,ROUND(G54*H54,0))</x:f>
        <x:v>551</x:v>
      </x:c>
      <x:c r="J54" s="54" t="n">
        <x:f>Q49</x:f>
        <x:v>36</x:v>
      </x:c>
      <x:c r="K54" s="54" t="n">
        <x:f>I54+J54</x:f>
        <x:v>587</x:v>
      </x:c>
      <x:c r="L54" s="54" t="n">
        <x:f>MIN(E54,K54)</x:f>
        <x:v>532</x:v>
      </x:c>
      <x:c r="M54" s="54" t="n">
        <x:f>MAX(E54-K54,0)</x:f>
        <x:v>0</x:v>
      </x:c>
      <x:c r="N54" s="54" t="n">
        <x:f>MAX(K54-L54,0)</x:f>
        <x:v>55</x:v>
      </x:c>
      <x:c r="O54" s="52" t="n">
        <x:v>0.018</x:v>
      </x:c>
      <x:c r="P54" s="54" t="n">
        <x:f>MIN(N54,ROUND(N54*O54,0))</x:f>
        <x:v>1</x:v>
      </x:c>
      <x:c r="Q54" s="54" t="n">
        <x:f>N54-P54</x:f>
        <x:v>54</x:v>
      </x:c>
      <x:c r="R54" s="54" t="n">
        <x:v>103</x:v>
      </x:c>
      <x:c r="S54" s="54" t="n">
        <x:f>MIN(F54,MAX(0,ROUND(D54+R54-V54,0)))</x:f>
        <x:v>545</x:v>
      </x:c>
      <x:c r="T54" s="52" t="n">
        <x:v>0.9849237220718094</x:v>
      </x:c>
      <x:c r="U54" s="54" t="n">
        <x:f>MIN(F54,MAX(0,ROUND(S54*T54,0)))</x:f>
        <x:v>537</x:v>
      </x:c>
      <x:c r="V54" s="54" t="n">
        <x:f>AB49</x:f>
        <x:v>130</x:v>
      </x:c>
      <x:c r="W54" s="54" t="n">
        <x:f>U54+V54</x:f>
        <x:v>667</x:v>
      </x:c>
      <x:c r="X54" s="54" t="n">
        <x:f>MIN(E54,W54)</x:f>
        <x:v>532</x:v>
      </x:c>
      <x:c r="Y54" s="54" t="n">
        <x:f>MAX(E54-W54,0)</x:f>
        <x:v>0</x:v>
      </x:c>
      <x:c r="Z54" s="54" t="n">
        <x:f>MAX(W54-X54,0)</x:f>
        <x:v>135</x:v>
      </x:c>
      <x:c r="AA54" s="54" t="n">
        <x:f>MIN(Z54,ROUND(Z54*O54,0))</x:f>
        <x:v>2</x:v>
      </x:c>
      <x:c r="AB54" s="54" t="n">
        <x:f>Z54-AA54</x:f>
        <x:v>133</x:v>
      </x:c>
      <x:c r="AC54" s="52" t="n">
        <x:f>IFERROR(ABS(E54-D54)/E54,0)</x:f>
        <x:v>0.07518796992481203</x:v>
      </x:c>
      <x:c r="AD54" s="52" t="n">
        <x:f>IFERROR(L54/E54,1)</x:f>
        <x:v>1</x:v>
      </x:c>
      <x:c r="AE54" s="52" t="n">
        <x:f>IFERROR(X54/E54,1)</x:f>
        <x:v>1</x:v>
      </x:c>
      <x:c r="AF54" s="52" t="n">
        <x:f>IFERROR(I54/F54,0)</x:f>
        <x:v>0.7871428571428571</x:v>
      </x:c>
      <x:c r="AG54" s="52" t="n">
        <x:f>IFERROR(U54/F54,0)</x:f>
        <x:v>0.7671428571428571</x:v>
      </x:c>
    </x:row>
    <x:row r="55">
      <x:c r="A55" s="50" t="n">
        <x:v>46172</x:v>
      </x:c>
      <x:c r="B55" s="48" t="str">
        <x:v>Lassi</x:v>
      </x:c>
      <x:c r="C55" s="48" t="n">
        <x:v>7</x:v>
      </x:c>
      <x:c r="D55" s="54" t="n">
        <x:v>454</x:v>
      </x:c>
      <x:c r="E55" s="54" t="n">
        <x:v>509</x:v>
      </x:c>
      <x:c r="F55" s="54" t="n">
        <x:v>560</x:v>
      </x:c>
      <x:c r="G55" s="54" t="n">
        <x:f>ROUND(D55*0.97,0)</x:f>
        <x:v>440</x:v>
      </x:c>
      <x:c r="H55" s="52" t="n">
        <x:v>0.9906846028901202</x:v>
      </x:c>
      <x:c r="I55" s="54" t="n">
        <x:f>MIN(F55,ROUND(G55*H55,0))</x:f>
        <x:v>436</x:v>
      </x:c>
      <x:c r="J55" s="54" t="n">
        <x:f>Q50</x:f>
        <x:v>0</x:v>
      </x:c>
      <x:c r="K55" s="54" t="n">
        <x:f>I55+J55</x:f>
        <x:v>436</x:v>
      </x:c>
      <x:c r="L55" s="54" t="n">
        <x:f>MIN(E55,K55)</x:f>
        <x:v>436</x:v>
      </x:c>
      <x:c r="M55" s="54" t="n">
        <x:f>MAX(E55-K55,0)</x:f>
        <x:v>73</x:v>
      </x:c>
      <x:c r="N55" s="54" t="n">
        <x:f>MAX(K55-L55,0)</x:f>
        <x:v>0</x:v>
      </x:c>
      <x:c r="O55" s="52" t="n">
        <x:v>0.02</x:v>
      </x:c>
      <x:c r="P55" s="54" t="n">
        <x:f>MIN(N55,ROUND(N55*O55,0))</x:f>
        <x:v>0</x:v>
      </x:c>
      <x:c r="Q55" s="54" t="n">
        <x:f>N55-P55</x:f>
        <x:v>0</x:v>
      </x:c>
      <x:c r="R55" s="54" t="n">
        <x:v>82</x:v>
      </x:c>
      <x:c r="S55" s="54" t="n">
        <x:f>MIN(F55,MAX(0,ROUND(D55+R55-V55,0)))</x:f>
        <x:v>525</x:v>
      </x:c>
      <x:c r="T55" s="52" t="n">
        <x:v>1.0092669630561741</x:v>
      </x:c>
      <x:c r="U55" s="54" t="n">
        <x:f>MIN(F55,MAX(0,ROUND(S55*T55,0)))</x:f>
        <x:v>530</x:v>
      </x:c>
      <x:c r="V55" s="54" t="n">
        <x:f>AB50</x:f>
        <x:v>11</x:v>
      </x:c>
      <x:c r="W55" s="54" t="n">
        <x:f>U55+V55</x:f>
        <x:v>541</x:v>
      </x:c>
      <x:c r="X55" s="54" t="n">
        <x:f>MIN(E55,W55)</x:f>
        <x:v>509</x:v>
      </x:c>
      <x:c r="Y55" s="54" t="n">
        <x:f>MAX(E55-W55,0)</x:f>
        <x:v>0</x:v>
      </x:c>
      <x:c r="Z55" s="54" t="n">
        <x:f>MAX(W55-X55,0)</x:f>
        <x:v>32</x:v>
      </x:c>
      <x:c r="AA55" s="54" t="n">
        <x:f>MIN(Z55,ROUND(Z55*O55,0))</x:f>
        <x:v>1</x:v>
      </x:c>
      <x:c r="AB55" s="54" t="n">
        <x:f>Z55-AA55</x:f>
        <x:v>31</x:v>
      </x:c>
      <x:c r="AC55" s="52" t="n">
        <x:f>IFERROR(ABS(E55-D55)/E55,0)</x:f>
        <x:v>0.10805500982318271</x:v>
      </x:c>
      <x:c r="AD55" s="52" t="n">
        <x:f>IFERROR(L55/E55,1)</x:f>
        <x:v>0.8565815324165029</x:v>
      </x:c>
      <x:c r="AE55" s="52" t="n">
        <x:f>IFERROR(X55/E55,1)</x:f>
        <x:v>1</x:v>
      </x:c>
      <x:c r="AF55" s="52" t="n">
        <x:f>IFERROR(I55/F55,0)</x:f>
        <x:v>0.7785714285714286</x:v>
      </x:c>
      <x:c r="AG55" s="52" t="n">
        <x:f>IFERROR(U55/F55,0)</x:f>
        <x:v>0.9464285714285714</x:v>
      </x:c>
    </x:row>
    <x:row r="56">
      <x:c r="A56" s="50" t="n">
        <x:v>46172</x:v>
      </x:c>
      <x:c r="B56" s="48" t="str">
        <x:v>Paneer</x:v>
      </x:c>
      <x:c r="C56" s="48" t="n">
        <x:v>5</x:v>
      </x:c>
      <x:c r="D56" s="54" t="n">
        <x:v>180</x:v>
      </x:c>
      <x:c r="E56" s="54" t="n">
        <x:v>152</x:v>
      </x:c>
      <x:c r="F56" s="54" t="n">
        <x:v>230</x:v>
      </x:c>
      <x:c r="G56" s="54" t="n">
        <x:f>ROUND(D56*0.97,0)</x:f>
        <x:v>175</x:v>
      </x:c>
      <x:c r="H56" s="52" t="n">
        <x:v>0.9849483943351114</x:v>
      </x:c>
      <x:c r="I56" s="54" t="n">
        <x:f>MIN(F56,ROUND(G56*H56,0))</x:f>
        <x:v>172</x:v>
      </x:c>
      <x:c r="J56" s="54" t="n">
        <x:f>Q51</x:f>
        <x:v>0</x:v>
      </x:c>
      <x:c r="K56" s="54" t="n">
        <x:f>I56+J56</x:f>
        <x:v>172</x:v>
      </x:c>
      <x:c r="L56" s="54" t="n">
        <x:f>MIN(E56,K56)</x:f>
        <x:v>152</x:v>
      </x:c>
      <x:c r="M56" s="54" t="n">
        <x:f>MAX(E56-K56,0)</x:f>
        <x:v>0</x:v>
      </x:c>
      <x:c r="N56" s="54" t="n">
        <x:f>MAX(K56-L56,0)</x:f>
        <x:v>20</x:v>
      </x:c>
      <x:c r="O56" s="52" t="n">
        <x:v>0.025</x:v>
      </x:c>
      <x:c r="P56" s="54" t="n">
        <x:f>MIN(N56,ROUND(N56*O56,0))</x:f>
        <x:v>1</x:v>
      </x:c>
      <x:c r="Q56" s="54" t="n">
        <x:f>N56-P56</x:f>
        <x:v>19</x:v>
      </x:c>
      <x:c r="R56" s="54" t="n">
        <x:v>36</x:v>
      </x:c>
      <x:c r="S56" s="54" t="n">
        <x:f>MIN(F56,MAX(0,ROUND(D56+R56-V56,0)))</x:f>
        <x:v>194</x:v>
      </x:c>
      <x:c r="T56" s="52" t="n">
        <x:v>0.9979968272661563</x:v>
      </x:c>
      <x:c r="U56" s="54" t="n">
        <x:f>MIN(F56,MAX(0,ROUND(S56*T56,0)))</x:f>
        <x:v>194</x:v>
      </x:c>
      <x:c r="V56" s="54" t="n">
        <x:f>AB51</x:f>
        <x:v>22</x:v>
      </x:c>
      <x:c r="W56" s="54" t="n">
        <x:f>U56+V56</x:f>
        <x:v>216</x:v>
      </x:c>
      <x:c r="X56" s="54" t="n">
        <x:f>MIN(E56,W56)</x:f>
        <x:v>152</x:v>
      </x:c>
      <x:c r="Y56" s="54" t="n">
        <x:f>MAX(E56-W56,0)</x:f>
        <x:v>0</x:v>
      </x:c>
      <x:c r="Z56" s="54" t="n">
        <x:f>MAX(W56-X56,0)</x:f>
        <x:v>64</x:v>
      </x:c>
      <x:c r="AA56" s="54" t="n">
        <x:f>MIN(Z56,ROUND(Z56*O56,0))</x:f>
        <x:v>2</x:v>
      </x:c>
      <x:c r="AB56" s="54" t="n">
        <x:f>Z56-AA56</x:f>
        <x:v>62</x:v>
      </x:c>
      <x:c r="AC56" s="52" t="n">
        <x:f>IFERROR(ABS(E56-D56)/E56,0)</x:f>
        <x:v>0.18421052631578946</x:v>
      </x:c>
      <x:c r="AD56" s="52" t="n">
        <x:f>IFERROR(L56/E56,1)</x:f>
        <x:v>1</x:v>
      </x:c>
      <x:c r="AE56" s="52" t="n">
        <x:f>IFERROR(X56/E56,1)</x:f>
        <x:v>1</x:v>
      </x:c>
      <x:c r="AF56" s="52" t="n">
        <x:f>IFERROR(I56/F56,0)</x:f>
        <x:v>0.7478260869565218</x:v>
      </x:c>
      <x:c r="AG56" s="52" t="n">
        <x:f>IFERROR(U56/F56,0)</x:f>
        <x:v>0.8434782608695652</x:v>
      </x:c>
    </x:row>
    <x:row r="57">
      <x:c r="A57" s="50" t="n">
        <x:v>46173</x:v>
      </x:c>
      <x:c r="B57" s="48" t="str">
        <x:v>Toned Milk</x:v>
      </x:c>
      <x:c r="C57" s="48" t="n">
        <x:v>2</x:v>
      </x:c>
      <x:c r="D57" s="54" t="n">
        <x:v>1911</x:v>
      </x:c>
      <x:c r="E57" s="54" t="n">
        <x:v>2056</x:v>
      </x:c>
      <x:c r="F57" s="54" t="n">
        <x:v>2250</x:v>
      </x:c>
      <x:c r="G57" s="54" t="n">
        <x:f>ROUND(D57*0.97,0)</x:f>
        <x:v>1854</x:v>
      </x:c>
      <x:c r="H57" s="52" t="n">
        <x:v>0.985684369012816</x:v>
      </x:c>
      <x:c r="I57" s="54" t="n">
        <x:f>MIN(F57,ROUND(G57*H57,0))</x:f>
        <x:v>1827</x:v>
      </x:c>
      <x:c r="J57" s="54" t="n">
        <x:f>Q52</x:f>
        <x:v>1011</x:v>
      </x:c>
      <x:c r="K57" s="54" t="n">
        <x:f>I57+J57</x:f>
        <x:v>2838</x:v>
      </x:c>
      <x:c r="L57" s="54" t="n">
        <x:f>MIN(E57,K57)</x:f>
        <x:v>2056</x:v>
      </x:c>
      <x:c r="M57" s="54" t="n">
        <x:f>MAX(E57-K57,0)</x:f>
        <x:v>0</x:v>
      </x:c>
      <x:c r="N57" s="54" t="n">
        <x:f>MAX(K57-L57,0)</x:f>
        <x:v>782</x:v>
      </x:c>
      <x:c r="O57" s="52" t="n">
        <x:v>0.025</x:v>
      </x:c>
      <x:c r="P57" s="54" t="n">
        <x:f>MIN(N57,ROUND(N57*O57,0))</x:f>
        <x:v>20</x:v>
      </x:c>
      <x:c r="Q57" s="54" t="n">
        <x:f>N57-P57</x:f>
        <x:v>762</x:v>
      </x:c>
      <x:c r="R57" s="54" t="n">
        <x:v>229</x:v>
      </x:c>
      <x:c r="S57" s="54" t="n">
        <x:f>MIN(F57,MAX(0,ROUND(D57+R57-V57,0)))</x:f>
        <x:v>1655</x:v>
      </x:c>
      <x:c r="T57" s="52" t="n">
        <x:v>1.0015181039821708</x:v>
      </x:c>
      <x:c r="U57" s="54" t="n">
        <x:f>MIN(F57,MAX(0,ROUND(S57*T57,0)))</x:f>
        <x:v>1658</x:v>
      </x:c>
      <x:c r="V57" s="54" t="n">
        <x:f>AB52</x:f>
        <x:v>485</x:v>
      </x:c>
      <x:c r="W57" s="54" t="n">
        <x:f>U57+V57</x:f>
        <x:v>2143</x:v>
      </x:c>
      <x:c r="X57" s="54" t="n">
        <x:f>MIN(E57,W57)</x:f>
        <x:v>2056</x:v>
      </x:c>
      <x:c r="Y57" s="54" t="n">
        <x:f>MAX(E57-W57,0)</x:f>
        <x:v>0</x:v>
      </x:c>
      <x:c r="Z57" s="54" t="n">
        <x:f>MAX(W57-X57,0)</x:f>
        <x:v>87</x:v>
      </x:c>
      <x:c r="AA57" s="54" t="n">
        <x:f>MIN(Z57,ROUND(Z57*O57,0))</x:f>
        <x:v>2</x:v>
      </x:c>
      <x:c r="AB57" s="54" t="n">
        <x:f>Z57-AA57</x:f>
        <x:v>85</x:v>
      </x:c>
      <x:c r="AC57" s="52" t="n">
        <x:f>IFERROR(ABS(E57-D57)/E57,0)</x:f>
        <x:v>0.07052529182879377</x:v>
      </x:c>
      <x:c r="AD57" s="52" t="n">
        <x:f>IFERROR(L57/E57,1)</x:f>
        <x:v>1</x:v>
      </x:c>
      <x:c r="AE57" s="52" t="n">
        <x:f>IFERROR(X57/E57,1)</x:f>
        <x:v>1</x:v>
      </x:c>
      <x:c r="AF57" s="52" t="n">
        <x:f>IFERROR(I57/F57,0)</x:f>
        <x:v>0.812</x:v>
      </x:c>
      <x:c r="AG57" s="52" t="n">
        <x:f>IFERROR(U57/F57,0)</x:f>
        <x:v>0.7368888888888889</x:v>
      </x:c>
    </x:row>
    <x:row r="58">
      <x:c r="A58" s="50" t="n">
        <x:v>46173</x:v>
      </x:c>
      <x:c r="B58" s="48" t="str">
        <x:v>Full Cream Milk</x:v>
      </x:c>
      <x:c r="C58" s="48" t="n">
        <x:v>2</x:v>
      </x:c>
      <x:c r="D58" s="54" t="n">
        <x:v>956</x:v>
      </x:c>
      <x:c r="E58" s="54" t="n">
        <x:v>926</x:v>
      </x:c>
      <x:c r="F58" s="54" t="n">
        <x:v>1200</x:v>
      </x:c>
      <x:c r="G58" s="54" t="n">
        <x:f>ROUND(D58*0.97,0)</x:f>
        <x:v>927</x:v>
      </x:c>
      <x:c r="H58" s="52" t="n">
        <x:v>1.0000088419701232</x:v>
      </x:c>
      <x:c r="I58" s="54" t="n">
        <x:f>MIN(F58,ROUND(G58*H58,0))</x:f>
        <x:v>927</x:v>
      </x:c>
      <x:c r="J58" s="54" t="n">
        <x:f>Q53</x:f>
        <x:v>380</x:v>
      </x:c>
      <x:c r="K58" s="54" t="n">
        <x:f>I58+J58</x:f>
        <x:v>1307</x:v>
      </x:c>
      <x:c r="L58" s="54" t="n">
        <x:f>MIN(E58,K58)</x:f>
        <x:v>926</x:v>
      </x:c>
      <x:c r="M58" s="54" t="n">
        <x:f>MAX(E58-K58,0)</x:f>
        <x:v>0</x:v>
      </x:c>
      <x:c r="N58" s="54" t="n">
        <x:f>MAX(K58-L58,0)</x:f>
        <x:v>381</x:v>
      </x:c>
      <x:c r="O58" s="52" t="n">
        <x:v>0.03</x:v>
      </x:c>
      <x:c r="P58" s="54" t="n">
        <x:f>MIN(N58,ROUND(N58*O58,0))</x:f>
        <x:v>11</x:v>
      </x:c>
      <x:c r="Q58" s="54" t="n">
        <x:f>N58-P58</x:f>
        <x:v>370</x:v>
      </x:c>
      <x:c r="R58" s="54" t="n">
        <x:v>115</x:v>
      </x:c>
      <x:c r="S58" s="54" t="n">
        <x:f>MIN(F58,MAX(0,ROUND(D58+R58-V58,0)))</x:f>
        <x:v>810</x:v>
      </x:c>
      <x:c r="T58" s="52" t="n">
        <x:v>1.0001715002228913</x:v>
      </x:c>
      <x:c r="U58" s="54" t="n">
        <x:f>MIN(F58,MAX(0,ROUND(S58*T58,0)))</x:f>
        <x:v>810</x:v>
      </x:c>
      <x:c r="V58" s="54" t="n">
        <x:f>AB53</x:f>
        <x:v>261</x:v>
      </x:c>
      <x:c r="W58" s="54" t="n">
        <x:f>U58+V58</x:f>
        <x:v>1071</x:v>
      </x:c>
      <x:c r="X58" s="54" t="n">
        <x:f>MIN(E58,W58)</x:f>
        <x:v>926</x:v>
      </x:c>
      <x:c r="Y58" s="54" t="n">
        <x:f>MAX(E58-W58,0)</x:f>
        <x:v>0</x:v>
      </x:c>
      <x:c r="Z58" s="54" t="n">
        <x:f>MAX(W58-X58,0)</x:f>
        <x:v>145</x:v>
      </x:c>
      <x:c r="AA58" s="54" t="n">
        <x:f>MIN(Z58,ROUND(Z58*O58,0))</x:f>
        <x:v>4</x:v>
      </x:c>
      <x:c r="AB58" s="54" t="n">
        <x:f>Z58-AA58</x:f>
        <x:v>141</x:v>
      </x:c>
      <x:c r="AC58" s="52" t="n">
        <x:f>IFERROR(ABS(E58-D58)/E58,0)</x:f>
        <x:v>0.032397408207343416</x:v>
      </x:c>
      <x:c r="AD58" s="52" t="n">
        <x:f>IFERROR(L58/E58,1)</x:f>
        <x:v>1</x:v>
      </x:c>
      <x:c r="AE58" s="52" t="n">
        <x:f>IFERROR(X58/E58,1)</x:f>
        <x:v>1</x:v>
      </x:c>
      <x:c r="AF58" s="52" t="n">
        <x:f>IFERROR(I58/F58,0)</x:f>
        <x:v>0.7725</x:v>
      </x:c>
      <x:c r="AG58" s="52" t="n">
        <x:f>IFERROR(U58/F58,0)</x:f>
        <x:v>0.675</x:v>
      </x:c>
    </x:row>
    <x:row r="59">
      <x:c r="A59" s="50" t="n">
        <x:v>46173</x:v>
      </x:c>
      <x:c r="B59" s="48" t="str">
        <x:v>Curd</x:v>
      </x:c>
      <x:c r="C59" s="48" t="n">
        <x:v>7</x:v>
      </x:c>
      <x:c r="D59" s="54" t="n">
        <x:v>582</x:v>
      </x:c>
      <x:c r="E59" s="54" t="n">
        <x:v>633</x:v>
      </x:c>
      <x:c r="F59" s="54" t="n">
        <x:v>700</x:v>
      </x:c>
      <x:c r="G59" s="54" t="n">
        <x:f>ROUND(D59*0.97,0)</x:f>
        <x:v>565</x:v>
      </x:c>
      <x:c r="H59" s="52" t="n">
        <x:v>0.9906617044830407</x:v>
      </x:c>
      <x:c r="I59" s="54" t="n">
        <x:f>MIN(F59,ROUND(G59*H59,0))</x:f>
        <x:v>560</x:v>
      </x:c>
      <x:c r="J59" s="54" t="n">
        <x:f>Q54</x:f>
        <x:v>54</x:v>
      </x:c>
      <x:c r="K59" s="54" t="n">
        <x:f>I59+J59</x:f>
        <x:v>614</x:v>
      </x:c>
      <x:c r="L59" s="54" t="n">
        <x:f>MIN(E59,K59)</x:f>
        <x:v>614</x:v>
      </x:c>
      <x:c r="M59" s="54" t="n">
        <x:f>MAX(E59-K59,0)</x:f>
        <x:v>19</x:v>
      </x:c>
      <x:c r="N59" s="54" t="n">
        <x:f>MAX(K59-L59,0)</x:f>
        <x:v>0</x:v>
      </x:c>
      <x:c r="O59" s="52" t="n">
        <x:v>0.018</x:v>
      </x:c>
      <x:c r="P59" s="54" t="n">
        <x:f>MIN(N59,ROUND(N59*O59,0))</x:f>
        <x:v>0</x:v>
      </x:c>
      <x:c r="Q59" s="54" t="n">
        <x:f>N59-P59</x:f>
        <x:v>0</x:v>
      </x:c>
      <x:c r="R59" s="54" t="n">
        <x:v>105</x:v>
      </x:c>
      <x:c r="S59" s="54" t="n">
        <x:f>MIN(F59,MAX(0,ROUND(D59+R59-V59,0)))</x:f>
        <x:v>554</x:v>
      </x:c>
      <x:c r="T59" s="52" t="n">
        <x:v>0.9829735844145677</x:v>
      </x:c>
      <x:c r="U59" s="54" t="n">
        <x:f>MIN(F59,MAX(0,ROUND(S59*T59,0)))</x:f>
        <x:v>545</x:v>
      </x:c>
      <x:c r="V59" s="54" t="n">
        <x:f>AB54</x:f>
        <x:v>133</x:v>
      </x:c>
      <x:c r="W59" s="54" t="n">
        <x:f>U59+V59</x:f>
        <x:v>678</x:v>
      </x:c>
      <x:c r="X59" s="54" t="n">
        <x:f>MIN(E59,W59)</x:f>
        <x:v>633</x:v>
      </x:c>
      <x:c r="Y59" s="54" t="n">
        <x:f>MAX(E59-W59,0)</x:f>
        <x:v>0</x:v>
      </x:c>
      <x:c r="Z59" s="54" t="n">
        <x:f>MAX(W59-X59,0)</x:f>
        <x:v>45</x:v>
      </x:c>
      <x:c r="AA59" s="54" t="n">
        <x:f>MIN(Z59,ROUND(Z59*O59,0))</x:f>
        <x:v>1</x:v>
      </x:c>
      <x:c r="AB59" s="54" t="n">
        <x:f>Z59-AA59</x:f>
        <x:v>44</x:v>
      </x:c>
      <x:c r="AC59" s="52" t="n">
        <x:f>IFERROR(ABS(E59-D59)/E59,0)</x:f>
        <x:v>0.08056872037914692</x:v>
      </x:c>
      <x:c r="AD59" s="52" t="n">
        <x:f>IFERROR(L59/E59,1)</x:f>
        <x:v>0.9699842022116903</x:v>
      </x:c>
      <x:c r="AE59" s="52" t="n">
        <x:f>IFERROR(X59/E59,1)</x:f>
        <x:v>1</x:v>
      </x:c>
      <x:c r="AF59" s="52" t="n">
        <x:f>IFERROR(I59/F59,0)</x:f>
        <x:v>0.8</x:v>
      </x:c>
      <x:c r="AG59" s="52" t="n">
        <x:f>IFERROR(U59/F59,0)</x:f>
        <x:v>0.7785714285714286</x:v>
      </x:c>
    </x:row>
    <x:row r="60">
      <x:c r="A60" s="50" t="n">
        <x:v>46173</x:v>
      </x:c>
      <x:c r="B60" s="48" t="str">
        <x:v>Lassi</x:v>
      </x:c>
      <x:c r="C60" s="48" t="n">
        <x:v>7</x:v>
      </x:c>
      <x:c r="D60" s="54" t="n">
        <x:v>466</x:v>
      </x:c>
      <x:c r="E60" s="54" t="n">
        <x:v>519</x:v>
      </x:c>
      <x:c r="F60" s="54" t="n">
        <x:v>560</x:v>
      </x:c>
      <x:c r="G60" s="54" t="n">
        <x:f>ROUND(D60*0.97,0)</x:f>
        <x:v>452</x:v>
      </x:c>
      <x:c r="H60" s="52" t="n">
        <x:v>0.9930785810756853</x:v>
      </x:c>
      <x:c r="I60" s="54" t="n">
        <x:f>MIN(F60,ROUND(G60*H60,0))</x:f>
        <x:v>449</x:v>
      </x:c>
      <x:c r="J60" s="54" t="n">
        <x:f>Q55</x:f>
        <x:v>0</x:v>
      </x:c>
      <x:c r="K60" s="54" t="n">
        <x:f>I60+J60</x:f>
        <x:v>449</x:v>
      </x:c>
      <x:c r="L60" s="54" t="n">
        <x:f>MIN(E60,K60)</x:f>
        <x:v>449</x:v>
      </x:c>
      <x:c r="M60" s="54" t="n">
        <x:f>MAX(E60-K60,0)</x:f>
        <x:v>70</x:v>
      </x:c>
      <x:c r="N60" s="54" t="n">
        <x:f>MAX(K60-L60,0)</x:f>
        <x:v>0</x:v>
      </x:c>
      <x:c r="O60" s="52" t="n">
        <x:v>0.02</x:v>
      </x:c>
      <x:c r="P60" s="54" t="n">
        <x:f>MIN(N60,ROUND(N60*O60,0))</x:f>
        <x:v>0</x:v>
      </x:c>
      <x:c r="Q60" s="54" t="n">
        <x:f>N60-P60</x:f>
        <x:v>0</x:v>
      </x:c>
      <x:c r="R60" s="54" t="n">
        <x:v>84</x:v>
      </x:c>
      <x:c r="S60" s="54" t="n">
        <x:f>MIN(F60,MAX(0,ROUND(D60+R60-V60,0)))</x:f>
        <x:v>519</x:v>
      </x:c>
      <x:c r="T60" s="52" t="n">
        <x:v>1.0125465167907646</x:v>
      </x:c>
      <x:c r="U60" s="54" t="n">
        <x:f>MIN(F60,MAX(0,ROUND(S60*T60,0)))</x:f>
        <x:v>526</x:v>
      </x:c>
      <x:c r="V60" s="54" t="n">
        <x:f>AB55</x:f>
        <x:v>31</x:v>
      </x:c>
      <x:c r="W60" s="54" t="n">
        <x:f>U60+V60</x:f>
        <x:v>557</x:v>
      </x:c>
      <x:c r="X60" s="54" t="n">
        <x:f>MIN(E60,W60)</x:f>
        <x:v>519</x:v>
      </x:c>
      <x:c r="Y60" s="54" t="n">
        <x:f>MAX(E60-W60,0)</x:f>
        <x:v>0</x:v>
      </x:c>
      <x:c r="Z60" s="54" t="n">
        <x:f>MAX(W60-X60,0)</x:f>
        <x:v>38</x:v>
      </x:c>
      <x:c r="AA60" s="54" t="n">
        <x:f>MIN(Z60,ROUND(Z60*O60,0))</x:f>
        <x:v>1</x:v>
      </x:c>
      <x:c r="AB60" s="54" t="n">
        <x:f>Z60-AA60</x:f>
        <x:v>37</x:v>
      </x:c>
      <x:c r="AC60" s="52" t="n">
        <x:f>IFERROR(ABS(E60-D60)/E60,0)</x:f>
        <x:v>0.10211946050096339</x:v>
      </x:c>
      <x:c r="AD60" s="52" t="n">
        <x:f>IFERROR(L60/E60,1)</x:f>
        <x:v>0.8651252408477842</x:v>
      </x:c>
      <x:c r="AE60" s="52" t="n">
        <x:f>IFERROR(X60/E60,1)</x:f>
        <x:v>1</x:v>
      </x:c>
      <x:c r="AF60" s="52" t="n">
        <x:f>IFERROR(I60/F60,0)</x:f>
        <x:v>0.8017857142857143</x:v>
      </x:c>
      <x:c r="AG60" s="52" t="n">
        <x:f>IFERROR(U60/F60,0)</x:f>
        <x:v>0.9392857142857143</x:v>
      </x:c>
    </x:row>
    <x:row r="61">
      <x:c r="A61" s="50" t="n">
        <x:v>46173</x:v>
      </x:c>
      <x:c r="B61" s="48" t="str">
        <x:v>Paneer</x:v>
      </x:c>
      <x:c r="C61" s="48" t="n">
        <x:v>5</x:v>
      </x:c>
      <x:c r="D61" s="54" t="n">
        <x:v>185</x:v>
      </x:c>
      <x:c r="E61" s="54" t="n">
        <x:v>179</x:v>
      </x:c>
      <x:c r="F61" s="54" t="n">
        <x:v>230</x:v>
      </x:c>
      <x:c r="G61" s="54" t="n">
        <x:f>ROUND(D61*0.97,0)</x:f>
        <x:v>179</x:v>
      </x:c>
      <x:c r="H61" s="52" t="n">
        <x:v>0.9995417850585112</x:v>
      </x:c>
      <x:c r="I61" s="54" t="n">
        <x:f>MIN(F61,ROUND(G61*H61,0))</x:f>
        <x:v>179</x:v>
      </x:c>
      <x:c r="J61" s="54" t="n">
        <x:f>Q56</x:f>
        <x:v>19</x:v>
      </x:c>
      <x:c r="K61" s="54" t="n">
        <x:f>I61+J61</x:f>
        <x:v>198</x:v>
      </x:c>
      <x:c r="L61" s="54" t="n">
        <x:f>MIN(E61,K61)</x:f>
        <x:v>179</x:v>
      </x:c>
      <x:c r="M61" s="54" t="n">
        <x:f>MAX(E61-K61,0)</x:f>
        <x:v>0</x:v>
      </x:c>
      <x:c r="N61" s="54" t="n">
        <x:f>MAX(K61-L61,0)</x:f>
        <x:v>19</x:v>
      </x:c>
      <x:c r="O61" s="52" t="n">
        <x:v>0.025</x:v>
      </x:c>
      <x:c r="P61" s="54" t="n">
        <x:f>MIN(N61,ROUND(N61*O61,0))</x:f>
        <x:v>0</x:v>
      </x:c>
      <x:c r="Q61" s="54" t="n">
        <x:f>N61-P61</x:f>
        <x:v>19</x:v>
      </x:c>
      <x:c r="R61" s="54" t="n">
        <x:v>37</x:v>
      </x:c>
      <x:c r="S61" s="54" t="n">
        <x:f>MIN(F61,MAX(0,ROUND(D61+R61-V61,0)))</x:f>
        <x:v>160</x:v>
      </x:c>
      <x:c r="T61" s="52" t="n">
        <x:v>1.0031612774059901</x:v>
      </x:c>
      <x:c r="U61" s="54" t="n">
        <x:f>MIN(F61,MAX(0,ROUND(S61*T61,0)))</x:f>
        <x:v>161</x:v>
      </x:c>
      <x:c r="V61" s="54" t="n">
        <x:f>AB56</x:f>
        <x:v>62</x:v>
      </x:c>
      <x:c r="W61" s="54" t="n">
        <x:f>U61+V61</x:f>
        <x:v>223</x:v>
      </x:c>
      <x:c r="X61" s="54" t="n">
        <x:f>MIN(E61,W61)</x:f>
        <x:v>179</x:v>
      </x:c>
      <x:c r="Y61" s="54" t="n">
        <x:f>MAX(E61-W61,0)</x:f>
        <x:v>0</x:v>
      </x:c>
      <x:c r="Z61" s="54" t="n">
        <x:f>MAX(W61-X61,0)</x:f>
        <x:v>44</x:v>
      </x:c>
      <x:c r="AA61" s="54" t="n">
        <x:f>MIN(Z61,ROUND(Z61*O61,0))</x:f>
        <x:v>1</x:v>
      </x:c>
      <x:c r="AB61" s="54" t="n">
        <x:f>Z61-AA61</x:f>
        <x:v>43</x:v>
      </x:c>
      <x:c r="AC61" s="52" t="n">
        <x:f>IFERROR(ABS(E61-D61)/E61,0)</x:f>
        <x:v>0.0335195530726257</x:v>
      </x:c>
      <x:c r="AD61" s="52" t="n">
        <x:f>IFERROR(L61/E61,1)</x:f>
        <x:v>1</x:v>
      </x:c>
      <x:c r="AE61" s="52" t="n">
        <x:f>IFERROR(X61/E61,1)</x:f>
        <x:v>1</x:v>
      </x:c>
      <x:c r="AF61" s="52" t="n">
        <x:f>IFERROR(I61/F61,0)</x:f>
        <x:v>0.7782608695652173</x:v>
      </x:c>
      <x:c r="AG61" s="52" t="n">
        <x:f>IFERROR(U61/F61,0)</x:f>
        <x:v>0.7</x:v>
      </x:c>
    </x:row>
    <x:row r="62">
      <x:c r="A62" s="50" t="n">
        <x:v>46174</x:v>
      </x:c>
      <x:c r="B62" s="48" t="str">
        <x:v>Toned Milk</x:v>
      </x:c>
      <x:c r="C62" s="48" t="n">
        <x:v>2</x:v>
      </x:c>
      <x:c r="D62" s="54" t="n">
        <x:v>1639</x:v>
      </x:c>
      <x:c r="E62" s="54" t="n">
        <x:v>1423</x:v>
      </x:c>
      <x:c r="F62" s="54" t="n">
        <x:v>2250</x:v>
      </x:c>
      <x:c r="G62" s="54" t="n">
        <x:f>ROUND(D62*0.97,0)</x:f>
        <x:v>1590</x:v>
      </x:c>
      <x:c r="H62" s="52" t="n">
        <x:v>0.9923026861473313</x:v>
      </x:c>
      <x:c r="I62" s="54" t="n">
        <x:f>MIN(F62,ROUND(G62*H62,0))</x:f>
        <x:v>1578</x:v>
      </x:c>
      <x:c r="J62" s="54" t="n">
        <x:f>Q57</x:f>
        <x:v>762</x:v>
      </x:c>
      <x:c r="K62" s="54" t="n">
        <x:f>I62+J62</x:f>
        <x:v>2340</x:v>
      </x:c>
      <x:c r="L62" s="54" t="n">
        <x:f>MIN(E62,K62)</x:f>
        <x:v>1423</x:v>
      </x:c>
      <x:c r="M62" s="54" t="n">
        <x:f>MAX(E62-K62,0)</x:f>
        <x:v>0</x:v>
      </x:c>
      <x:c r="N62" s="54" t="n">
        <x:f>MAX(K62-L62,0)</x:f>
        <x:v>917</x:v>
      </x:c>
      <x:c r="O62" s="52" t="n">
        <x:v>0.025</x:v>
      </x:c>
      <x:c r="P62" s="54" t="n">
        <x:f>MIN(N62,ROUND(N62*O62,0))</x:f>
        <x:v>23</x:v>
      </x:c>
      <x:c r="Q62" s="54" t="n">
        <x:f>N62-P62</x:f>
        <x:v>894</x:v>
      </x:c>
      <x:c r="R62" s="54" t="n">
        <x:v>197</x:v>
      </x:c>
      <x:c r="S62" s="54" t="n">
        <x:f>MIN(F62,MAX(0,ROUND(D62+R62-V62,0)))</x:f>
        <x:v>1751</x:v>
      </x:c>
      <x:c r="T62" s="52" t="n">
        <x:v>1.0056442771598797</x:v>
      </x:c>
      <x:c r="U62" s="54" t="n">
        <x:f>MIN(F62,MAX(0,ROUND(S62*T62,0)))</x:f>
        <x:v>1761</x:v>
      </x:c>
      <x:c r="V62" s="54" t="n">
        <x:f>AB57</x:f>
        <x:v>85</x:v>
      </x:c>
      <x:c r="W62" s="54" t="n">
        <x:f>U62+V62</x:f>
        <x:v>1846</x:v>
      </x:c>
      <x:c r="X62" s="54" t="n">
        <x:f>MIN(E62,W62)</x:f>
        <x:v>1423</x:v>
      </x:c>
      <x:c r="Y62" s="54" t="n">
        <x:f>MAX(E62-W62,0)</x:f>
        <x:v>0</x:v>
      </x:c>
      <x:c r="Z62" s="54" t="n">
        <x:f>MAX(W62-X62,0)</x:f>
        <x:v>423</x:v>
      </x:c>
      <x:c r="AA62" s="54" t="n">
        <x:f>MIN(Z62,ROUND(Z62*O62,0))</x:f>
        <x:v>11</x:v>
      </x:c>
      <x:c r="AB62" s="54" t="n">
        <x:f>Z62-AA62</x:f>
        <x:v>412</x:v>
      </x:c>
      <x:c r="AC62" s="52" t="n">
        <x:f>IFERROR(ABS(E62-D62)/E62,0)</x:f>
        <x:v>0.151791988756149</x:v>
      </x:c>
      <x:c r="AD62" s="52" t="n">
        <x:f>IFERROR(L62/E62,1)</x:f>
        <x:v>1</x:v>
      </x:c>
      <x:c r="AE62" s="52" t="n">
        <x:f>IFERROR(X62/E62,1)</x:f>
        <x:v>1</x:v>
      </x:c>
      <x:c r="AF62" s="52" t="n">
        <x:f>IFERROR(I62/F62,0)</x:f>
        <x:v>0.7013333333333334</x:v>
      </x:c>
      <x:c r="AG62" s="52" t="n">
        <x:f>IFERROR(U62/F62,0)</x:f>
        <x:v>0.7826666666666666</x:v>
      </x:c>
    </x:row>
    <x:row r="63">
      <x:c r="A63" s="50" t="n">
        <x:v>46174</x:v>
      </x:c>
      <x:c r="B63" s="48" t="str">
        <x:v>Full Cream Milk</x:v>
      </x:c>
      <x:c r="C63" s="48" t="n">
        <x:v>2</x:v>
      </x:c>
      <x:c r="D63" s="54" t="n">
        <x:v>811</x:v>
      </x:c>
      <x:c r="E63" s="54" t="n">
        <x:v>757</x:v>
      </x:c>
      <x:c r="F63" s="54" t="n">
        <x:v>1200</x:v>
      </x:c>
      <x:c r="G63" s="54" t="n">
        <x:f>ROUND(D63*0.97,0)</x:f>
        <x:v>787</x:v>
      </x:c>
      <x:c r="H63" s="52" t="n">
        <x:v>0.9983950311469659</x:v>
      </x:c>
      <x:c r="I63" s="54" t="n">
        <x:f>MIN(F63,ROUND(G63*H63,0))</x:f>
        <x:v>786</x:v>
      </x:c>
      <x:c r="J63" s="54" t="n">
        <x:f>Q58</x:f>
        <x:v>370</x:v>
      </x:c>
      <x:c r="K63" s="54" t="n">
        <x:f>I63+J63</x:f>
        <x:v>1156</x:v>
      </x:c>
      <x:c r="L63" s="54" t="n">
        <x:f>MIN(E63,K63)</x:f>
        <x:v>757</x:v>
      </x:c>
      <x:c r="M63" s="54" t="n">
        <x:f>MAX(E63-K63,0)</x:f>
        <x:v>0</x:v>
      </x:c>
      <x:c r="N63" s="54" t="n">
        <x:f>MAX(K63-L63,0)</x:f>
        <x:v>399</x:v>
      </x:c>
      <x:c r="O63" s="52" t="n">
        <x:v>0.03</x:v>
      </x:c>
      <x:c r="P63" s="54" t="n">
        <x:f>MIN(N63,ROUND(N63*O63,0))</x:f>
        <x:v>12</x:v>
      </x:c>
      <x:c r="Q63" s="54" t="n">
        <x:f>N63-P63</x:f>
        <x:v>387</x:v>
      </x:c>
      <x:c r="R63" s="54" t="n">
        <x:v>97</x:v>
      </x:c>
      <x:c r="S63" s="54" t="n">
        <x:f>MIN(F63,MAX(0,ROUND(D63+R63-V63,0)))</x:f>
        <x:v>767</x:v>
      </x:c>
      <x:c r="T63" s="52" t="n">
        <x:v>1.0143255660456283</x:v>
      </x:c>
      <x:c r="U63" s="54" t="n">
        <x:f>MIN(F63,MAX(0,ROUND(S63*T63,0)))</x:f>
        <x:v>778</x:v>
      </x:c>
      <x:c r="V63" s="54" t="n">
        <x:f>AB58</x:f>
        <x:v>141</x:v>
      </x:c>
      <x:c r="W63" s="54" t="n">
        <x:f>U63+V63</x:f>
        <x:v>919</x:v>
      </x:c>
      <x:c r="X63" s="54" t="n">
        <x:f>MIN(E63,W63)</x:f>
        <x:v>757</x:v>
      </x:c>
      <x:c r="Y63" s="54" t="n">
        <x:f>MAX(E63-W63,0)</x:f>
        <x:v>0</x:v>
      </x:c>
      <x:c r="Z63" s="54" t="n">
        <x:f>MAX(W63-X63,0)</x:f>
        <x:v>162</x:v>
      </x:c>
      <x:c r="AA63" s="54" t="n">
        <x:f>MIN(Z63,ROUND(Z63*O63,0))</x:f>
        <x:v>5</x:v>
      </x:c>
      <x:c r="AB63" s="54" t="n">
        <x:f>Z63-AA63</x:f>
        <x:v>157</x:v>
      </x:c>
      <x:c r="AC63" s="52" t="n">
        <x:f>IFERROR(ABS(E63-D63)/E63,0)</x:f>
        <x:v>0.071334214002642</x:v>
      </x:c>
      <x:c r="AD63" s="52" t="n">
        <x:f>IFERROR(L63/E63,1)</x:f>
        <x:v>1</x:v>
      </x:c>
      <x:c r="AE63" s="52" t="n">
        <x:f>IFERROR(X63/E63,1)</x:f>
        <x:v>1</x:v>
      </x:c>
      <x:c r="AF63" s="52" t="n">
        <x:f>IFERROR(I63/F63,0)</x:f>
        <x:v>0.655</x:v>
      </x:c>
      <x:c r="AG63" s="52" t="n">
        <x:f>IFERROR(U63/F63,0)</x:f>
        <x:v>0.6483333333333333</x:v>
      </x:c>
    </x:row>
    <x:row r="64">
      <x:c r="A64" s="50" t="n">
        <x:v>46174</x:v>
      </x:c>
      <x:c r="B64" s="48" t="str">
        <x:v>Curd</x:v>
      </x:c>
      <x:c r="C64" s="48" t="n">
        <x:v>7</x:v>
      </x:c>
      <x:c r="D64" s="54" t="n">
        <x:v>467</x:v>
      </x:c>
      <x:c r="E64" s="54" t="n">
        <x:v>528</x:v>
      </x:c>
      <x:c r="F64" s="54" t="n">
        <x:v>700</x:v>
      </x:c>
      <x:c r="G64" s="54" t="n">
        <x:f>ROUND(D64*0.97,0)</x:f>
        <x:v>453</x:v>
      </x:c>
      <x:c r="H64" s="52" t="n">
        <x:v>0.9991587574992398</x:v>
      </x:c>
      <x:c r="I64" s="54" t="n">
        <x:f>MIN(F64,ROUND(G64*H64,0))</x:f>
        <x:v>453</x:v>
      </x:c>
      <x:c r="J64" s="54" t="n">
        <x:f>Q59</x:f>
        <x:v>0</x:v>
      </x:c>
      <x:c r="K64" s="54" t="n">
        <x:f>I64+J64</x:f>
        <x:v>453</x:v>
      </x:c>
      <x:c r="L64" s="54" t="n">
        <x:f>MIN(E64,K64)</x:f>
        <x:v>453</x:v>
      </x:c>
      <x:c r="M64" s="54" t="n">
        <x:f>MAX(E64-K64,0)</x:f>
        <x:v>75</x:v>
      </x:c>
      <x:c r="N64" s="54" t="n">
        <x:f>MAX(K64-L64,0)</x:f>
        <x:v>0</x:v>
      </x:c>
      <x:c r="O64" s="52" t="n">
        <x:v>0.018</x:v>
      </x:c>
      <x:c r="P64" s="54" t="n">
        <x:f>MIN(N64,ROUND(N64*O64,0))</x:f>
        <x:v>0</x:v>
      </x:c>
      <x:c r="Q64" s="54" t="n">
        <x:f>N64-P64</x:f>
        <x:v>0</x:v>
      </x:c>
      <x:c r="R64" s="54" t="n">
        <x:v>84</x:v>
      </x:c>
      <x:c r="S64" s="54" t="n">
        <x:f>MIN(F64,MAX(0,ROUND(D64+R64-V64,0)))</x:f>
        <x:v>507</x:v>
      </x:c>
      <x:c r="T64" s="52" t="n">
        <x:v>1.0024620960470663</x:v>
      </x:c>
      <x:c r="U64" s="54" t="n">
        <x:f>MIN(F64,MAX(0,ROUND(S64*T64,0)))</x:f>
        <x:v>508</x:v>
      </x:c>
      <x:c r="V64" s="54" t="n">
        <x:f>AB59</x:f>
        <x:v>44</x:v>
      </x:c>
      <x:c r="W64" s="54" t="n">
        <x:f>U64+V64</x:f>
        <x:v>552</x:v>
      </x:c>
      <x:c r="X64" s="54" t="n">
        <x:f>MIN(E64,W64)</x:f>
        <x:v>528</x:v>
      </x:c>
      <x:c r="Y64" s="54" t="n">
        <x:f>MAX(E64-W64,0)</x:f>
        <x:v>0</x:v>
      </x:c>
      <x:c r="Z64" s="54" t="n">
        <x:f>MAX(W64-X64,0)</x:f>
        <x:v>24</x:v>
      </x:c>
      <x:c r="AA64" s="54" t="n">
        <x:f>MIN(Z64,ROUND(Z64*O64,0))</x:f>
        <x:v>0</x:v>
      </x:c>
      <x:c r="AB64" s="54" t="n">
        <x:f>Z64-AA64</x:f>
        <x:v>24</x:v>
      </x:c>
      <x:c r="AC64" s="52" t="n">
        <x:f>IFERROR(ABS(E64-D64)/E64,0)</x:f>
        <x:v>0.11553030303030302</x:v>
      </x:c>
      <x:c r="AD64" s="52" t="n">
        <x:f>IFERROR(L64/E64,1)</x:f>
        <x:v>0.8579545454545454</x:v>
      </x:c>
      <x:c r="AE64" s="52" t="n">
        <x:f>IFERROR(X64/E64,1)</x:f>
        <x:v>1</x:v>
      </x:c>
      <x:c r="AF64" s="52" t="n">
        <x:f>IFERROR(I64/F64,0)</x:f>
        <x:v>0.6471428571428571</x:v>
      </x:c>
      <x:c r="AG64" s="52" t="n">
        <x:f>IFERROR(U64/F64,0)</x:f>
        <x:v>0.7257142857142858</x:v>
      </x:c>
    </x:row>
    <x:row r="65">
      <x:c r="A65" s="50" t="n">
        <x:v>46174</x:v>
      </x:c>
      <x:c r="B65" s="48" t="str">
        <x:v>Lassi</x:v>
      </x:c>
      <x:c r="C65" s="48" t="n">
        <x:v>7</x:v>
      </x:c>
      <x:c r="D65" s="54" t="n">
        <x:v>362</x:v>
      </x:c>
      <x:c r="E65" s="54" t="n">
        <x:v>420</x:v>
      </x:c>
      <x:c r="F65" s="54" t="n">
        <x:v>560</x:v>
      </x:c>
      <x:c r="G65" s="54" t="n">
        <x:f>ROUND(D65*0.97,0)</x:f>
        <x:v>351</x:v>
      </x:c>
      <x:c r="H65" s="52" t="n">
        <x:v>1.011753281737354</x:v>
      </x:c>
      <x:c r="I65" s="54" t="n">
        <x:f>MIN(F65,ROUND(G65*H65,0))</x:f>
        <x:v>355</x:v>
      </x:c>
      <x:c r="J65" s="54" t="n">
        <x:f>Q60</x:f>
        <x:v>0</x:v>
      </x:c>
      <x:c r="K65" s="54" t="n">
        <x:f>I65+J65</x:f>
        <x:v>355</x:v>
      </x:c>
      <x:c r="L65" s="54" t="n">
        <x:f>MIN(E65,K65)</x:f>
        <x:v>355</x:v>
      </x:c>
      <x:c r="M65" s="54" t="n">
        <x:f>MAX(E65-K65,0)</x:f>
        <x:v>65</x:v>
      </x:c>
      <x:c r="N65" s="54" t="n">
        <x:f>MAX(K65-L65,0)</x:f>
        <x:v>0</x:v>
      </x:c>
      <x:c r="O65" s="52" t="n">
        <x:v>0.02</x:v>
      </x:c>
      <x:c r="P65" s="54" t="n">
        <x:f>MIN(N65,ROUND(N65*O65,0))</x:f>
        <x:v>0</x:v>
      </x:c>
      <x:c r="Q65" s="54" t="n">
        <x:f>N65-P65</x:f>
        <x:v>0</x:v>
      </x:c>
      <x:c r="R65" s="54" t="n">
        <x:v>65</x:v>
      </x:c>
      <x:c r="S65" s="54" t="n">
        <x:f>MIN(F65,MAX(0,ROUND(D65+R65-V65,0)))</x:f>
        <x:v>390</x:v>
      </x:c>
      <x:c r="T65" s="52" t="n">
        <x:v>1.0031077856781894</x:v>
      </x:c>
      <x:c r="U65" s="54" t="n">
        <x:f>MIN(F65,MAX(0,ROUND(S65*T65,0)))</x:f>
        <x:v>391</x:v>
      </x:c>
      <x:c r="V65" s="54" t="n">
        <x:f>AB60</x:f>
        <x:v>37</x:v>
      </x:c>
      <x:c r="W65" s="54" t="n">
        <x:f>U65+V65</x:f>
        <x:v>428</x:v>
      </x:c>
      <x:c r="X65" s="54" t="n">
        <x:f>MIN(E65,W65)</x:f>
        <x:v>420</x:v>
      </x:c>
      <x:c r="Y65" s="54" t="n">
        <x:f>MAX(E65-W65,0)</x:f>
        <x:v>0</x:v>
      </x:c>
      <x:c r="Z65" s="54" t="n">
        <x:f>MAX(W65-X65,0)</x:f>
        <x:v>8</x:v>
      </x:c>
      <x:c r="AA65" s="54" t="n">
        <x:f>MIN(Z65,ROUND(Z65*O65,0))</x:f>
        <x:v>0</x:v>
      </x:c>
      <x:c r="AB65" s="54" t="n">
        <x:f>Z65-AA65</x:f>
        <x:v>8</x:v>
      </x:c>
      <x:c r="AC65" s="52" t="n">
        <x:f>IFERROR(ABS(E65-D65)/E65,0)</x:f>
        <x:v>0.1380952380952381</x:v>
      </x:c>
      <x:c r="AD65" s="52" t="n">
        <x:f>IFERROR(L65/E65,1)</x:f>
        <x:v>0.8452380952380952</x:v>
      </x:c>
      <x:c r="AE65" s="52" t="n">
        <x:f>IFERROR(X65/E65,1)</x:f>
        <x:v>1</x:v>
      </x:c>
      <x:c r="AF65" s="52" t="n">
        <x:f>IFERROR(I65/F65,0)</x:f>
        <x:v>0.6339285714285714</x:v>
      </x:c>
      <x:c r="AG65" s="52" t="n">
        <x:f>IFERROR(U65/F65,0)</x:f>
        <x:v>0.6982142857142857</x:v>
      </x:c>
    </x:row>
    <x:row r="66">
      <x:c r="A66" s="50" t="n">
        <x:v>46174</x:v>
      </x:c>
      <x:c r="B66" s="48" t="str">
        <x:v>Paneer</x:v>
      </x:c>
      <x:c r="C66" s="48" t="n">
        <x:v>5</x:v>
      </x:c>
      <x:c r="D66" s="54" t="n">
        <x:v>148</x:v>
      </x:c>
      <x:c r="E66" s="54" t="n">
        <x:v>129</x:v>
      </x:c>
      <x:c r="F66" s="54" t="n">
        <x:v>230</x:v>
      </x:c>
      <x:c r="G66" s="54" t="n">
        <x:f>ROUND(D66*0.97,0)</x:f>
        <x:v>144</x:v>
      </x:c>
      <x:c r="H66" s="52" t="n">
        <x:v>1.0019806719334778</x:v>
      </x:c>
      <x:c r="I66" s="54" t="n">
        <x:f>MIN(F66,ROUND(G66*H66,0))</x:f>
        <x:v>144</x:v>
      </x:c>
      <x:c r="J66" s="54" t="n">
        <x:f>Q61</x:f>
        <x:v>19</x:v>
      </x:c>
      <x:c r="K66" s="54" t="n">
        <x:f>I66+J66</x:f>
        <x:v>163</x:v>
      </x:c>
      <x:c r="L66" s="54" t="n">
        <x:f>MIN(E66,K66)</x:f>
        <x:v>129</x:v>
      </x:c>
      <x:c r="M66" s="54" t="n">
        <x:f>MAX(E66-K66,0)</x:f>
        <x:v>0</x:v>
      </x:c>
      <x:c r="N66" s="54" t="n">
        <x:f>MAX(K66-L66,0)</x:f>
        <x:v>34</x:v>
      </x:c>
      <x:c r="O66" s="52" t="n">
        <x:v>0.025</x:v>
      </x:c>
      <x:c r="P66" s="54" t="n">
        <x:f>MIN(N66,ROUND(N66*O66,0))</x:f>
        <x:v>1</x:v>
      </x:c>
      <x:c r="Q66" s="54" t="n">
        <x:f>N66-P66</x:f>
        <x:v>33</x:v>
      </x:c>
      <x:c r="R66" s="54" t="n">
        <x:v>30</x:v>
      </x:c>
      <x:c r="S66" s="54" t="n">
        <x:f>MIN(F66,MAX(0,ROUND(D66+R66-V66,0)))</x:f>
        <x:v>135</x:v>
      </x:c>
      <x:c r="T66" s="52" t="n">
        <x:v>0.9988207928041424</x:v>
      </x:c>
      <x:c r="U66" s="54" t="n">
        <x:f>MIN(F66,MAX(0,ROUND(S66*T66,0)))</x:f>
        <x:v>135</x:v>
      </x:c>
      <x:c r="V66" s="54" t="n">
        <x:f>AB61</x:f>
        <x:v>43</x:v>
      </x:c>
      <x:c r="W66" s="54" t="n">
        <x:f>U66+V66</x:f>
        <x:v>178</x:v>
      </x:c>
      <x:c r="X66" s="54" t="n">
        <x:f>MIN(E66,W66)</x:f>
        <x:v>129</x:v>
      </x:c>
      <x:c r="Y66" s="54" t="n">
        <x:f>MAX(E66-W66,0)</x:f>
        <x:v>0</x:v>
      </x:c>
      <x:c r="Z66" s="54" t="n">
        <x:f>MAX(W66-X66,0)</x:f>
        <x:v>49</x:v>
      </x:c>
      <x:c r="AA66" s="54" t="n">
        <x:f>MIN(Z66,ROUND(Z66*O66,0))</x:f>
        <x:v>1</x:v>
      </x:c>
      <x:c r="AB66" s="54" t="n">
        <x:f>Z66-AA66</x:f>
        <x:v>48</x:v>
      </x:c>
      <x:c r="AC66" s="52" t="n">
        <x:f>IFERROR(ABS(E66-D66)/E66,0)</x:f>
        <x:v>0.14728682170542637</x:v>
      </x:c>
      <x:c r="AD66" s="52" t="n">
        <x:f>IFERROR(L66/E66,1)</x:f>
        <x:v>1</x:v>
      </x:c>
      <x:c r="AE66" s="52" t="n">
        <x:f>IFERROR(X66/E66,1)</x:f>
        <x:v>1</x:v>
      </x:c>
      <x:c r="AF66" s="52" t="n">
        <x:f>IFERROR(I66/F66,0)</x:f>
        <x:v>0.6260869565217392</x:v>
      </x:c>
      <x:c r="AG66" s="52" t="n">
        <x:f>IFERROR(U66/F66,0)</x:f>
        <x:v>0.5869565217391305</x:v>
      </x:c>
    </x:row>
    <x:row r="67">
      <x:c r="A67" s="50" t="n">
        <x:v>46175</x:v>
      </x:c>
      <x:c r="B67" s="48" t="str">
        <x:v>Toned Milk</x:v>
      </x:c>
      <x:c r="C67" s="48" t="n">
        <x:v>2</x:v>
      </x:c>
      <x:c r="D67" s="54" t="n">
        <x:v>1674</x:v>
      </x:c>
      <x:c r="E67" s="54" t="n">
        <x:v>1445</x:v>
      </x:c>
      <x:c r="F67" s="54" t="n">
        <x:v>2250</x:v>
      </x:c>
      <x:c r="G67" s="54" t="n">
        <x:f>ROUND(D67*0.97,0)</x:f>
        <x:v>1624</x:v>
      </x:c>
      <x:c r="H67" s="52" t="n">
        <x:v>1.0132538736155143</x:v>
      </x:c>
      <x:c r="I67" s="54" t="n">
        <x:f>MIN(F67,ROUND(G67*H67,0))</x:f>
        <x:v>1646</x:v>
      </x:c>
      <x:c r="J67" s="54" t="n">
        <x:f>Q62</x:f>
        <x:v>894</x:v>
      </x:c>
      <x:c r="K67" s="54" t="n">
        <x:f>I67+J67</x:f>
        <x:v>2540</x:v>
      </x:c>
      <x:c r="L67" s="54" t="n">
        <x:f>MIN(E67,K67)</x:f>
        <x:v>1445</x:v>
      </x:c>
      <x:c r="M67" s="54" t="n">
        <x:f>MAX(E67-K67,0)</x:f>
        <x:v>0</x:v>
      </x:c>
      <x:c r="N67" s="54" t="n">
        <x:f>MAX(K67-L67,0)</x:f>
        <x:v>1095</x:v>
      </x:c>
      <x:c r="O67" s="52" t="n">
        <x:v>0.025</x:v>
      </x:c>
      <x:c r="P67" s="54" t="n">
        <x:f>MIN(N67,ROUND(N67*O67,0))</x:f>
        <x:v>27</x:v>
      </x:c>
      <x:c r="Q67" s="54" t="n">
        <x:f>N67-P67</x:f>
        <x:v>1068</x:v>
      </x:c>
      <x:c r="R67" s="54" t="n">
        <x:v>201</x:v>
      </x:c>
      <x:c r="S67" s="54" t="n">
        <x:f>MIN(F67,MAX(0,ROUND(D67+R67-V67,0)))</x:f>
        <x:v>1463</x:v>
      </x:c>
      <x:c r="T67" s="52" t="n">
        <x:v>0.9947798417950051</x:v>
      </x:c>
      <x:c r="U67" s="54" t="n">
        <x:f>MIN(F67,MAX(0,ROUND(S67*T67,0)))</x:f>
        <x:v>1455</x:v>
      </x:c>
      <x:c r="V67" s="54" t="n">
        <x:f>AB62</x:f>
        <x:v>412</x:v>
      </x:c>
      <x:c r="W67" s="54" t="n">
        <x:f>U67+V67</x:f>
        <x:v>1867</x:v>
      </x:c>
      <x:c r="X67" s="54" t="n">
        <x:f>MIN(E67,W67)</x:f>
        <x:v>1445</x:v>
      </x:c>
      <x:c r="Y67" s="54" t="n">
        <x:f>MAX(E67-W67,0)</x:f>
        <x:v>0</x:v>
      </x:c>
      <x:c r="Z67" s="54" t="n">
        <x:f>MAX(W67-X67,0)</x:f>
        <x:v>422</x:v>
      </x:c>
      <x:c r="AA67" s="54" t="n">
        <x:f>MIN(Z67,ROUND(Z67*O67,0))</x:f>
        <x:v>11</x:v>
      </x:c>
      <x:c r="AB67" s="54" t="n">
        <x:f>Z67-AA67</x:f>
        <x:v>411</x:v>
      </x:c>
      <x:c r="AC67" s="52" t="n">
        <x:f>IFERROR(ABS(E67-D67)/E67,0)</x:f>
        <x:v>0.15847750865051904</x:v>
      </x:c>
      <x:c r="AD67" s="52" t="n">
        <x:f>IFERROR(L67/E67,1)</x:f>
        <x:v>1</x:v>
      </x:c>
      <x:c r="AE67" s="52" t="n">
        <x:f>IFERROR(X67/E67,1)</x:f>
        <x:v>1</x:v>
      </x:c>
      <x:c r="AF67" s="52" t="n">
        <x:f>IFERROR(I67/F67,0)</x:f>
        <x:v>0.7315555555555555</x:v>
      </x:c>
      <x:c r="AG67" s="52" t="n">
        <x:f>IFERROR(U67/F67,0)</x:f>
        <x:v>0.6466666666666666</x:v>
      </x:c>
    </x:row>
    <x:row r="68">
      <x:c r="A68" s="50" t="n">
        <x:v>46175</x:v>
      </x:c>
      <x:c r="B68" s="48" t="str">
        <x:v>Full Cream Milk</x:v>
      </x:c>
      <x:c r="C68" s="48" t="n">
        <x:v>2</x:v>
      </x:c>
      <x:c r="D68" s="54" t="n">
        <x:v>837</x:v>
      </x:c>
      <x:c r="E68" s="54" t="n">
        <x:v>758</x:v>
      </x:c>
      <x:c r="F68" s="54" t="n">
        <x:v>1200</x:v>
      </x:c>
      <x:c r="G68" s="54" t="n">
        <x:f>ROUND(D68*0.97,0)</x:f>
        <x:v>812</x:v>
      </x:c>
      <x:c r="H68" s="52" t="n">
        <x:v>1.0182292788321814</x:v>
      </x:c>
      <x:c r="I68" s="54" t="n">
        <x:f>MIN(F68,ROUND(G68*H68,0))</x:f>
        <x:v>827</x:v>
      </x:c>
      <x:c r="J68" s="54" t="n">
        <x:f>Q63</x:f>
        <x:v>387</x:v>
      </x:c>
      <x:c r="K68" s="54" t="n">
        <x:f>I68+J68</x:f>
        <x:v>1214</x:v>
      </x:c>
      <x:c r="L68" s="54" t="n">
        <x:f>MIN(E68,K68)</x:f>
        <x:v>758</x:v>
      </x:c>
      <x:c r="M68" s="54" t="n">
        <x:f>MAX(E68-K68,0)</x:f>
        <x:v>0</x:v>
      </x:c>
      <x:c r="N68" s="54" t="n">
        <x:f>MAX(K68-L68,0)</x:f>
        <x:v>456</x:v>
      </x:c>
      <x:c r="O68" s="52" t="n">
        <x:v>0.03</x:v>
      </x:c>
      <x:c r="P68" s="54" t="n">
        <x:f>MIN(N68,ROUND(N68*O68,0))</x:f>
        <x:v>14</x:v>
      </x:c>
      <x:c r="Q68" s="54" t="n">
        <x:f>N68-P68</x:f>
        <x:v>442</x:v>
      </x:c>
      <x:c r="R68" s="54" t="n">
        <x:v>100</x:v>
      </x:c>
      <x:c r="S68" s="54" t="n">
        <x:f>MIN(F68,MAX(0,ROUND(D68+R68-V68,0)))</x:f>
        <x:v>780</x:v>
      </x:c>
      <x:c r="T68" s="52" t="n">
        <x:v>1.0175449663718188</x:v>
      </x:c>
      <x:c r="U68" s="54" t="n">
        <x:f>MIN(F68,MAX(0,ROUND(S68*T68,0)))</x:f>
        <x:v>794</x:v>
      </x:c>
      <x:c r="V68" s="54" t="n">
        <x:f>AB63</x:f>
        <x:v>157</x:v>
      </x:c>
      <x:c r="W68" s="54" t="n">
        <x:f>U68+V68</x:f>
        <x:v>951</x:v>
      </x:c>
      <x:c r="X68" s="54" t="n">
        <x:f>MIN(E68,W68)</x:f>
        <x:v>758</x:v>
      </x:c>
      <x:c r="Y68" s="54" t="n">
        <x:f>MAX(E68-W68,0)</x:f>
        <x:v>0</x:v>
      </x:c>
      <x:c r="Z68" s="54" t="n">
        <x:f>MAX(W68-X68,0)</x:f>
        <x:v>193</x:v>
      </x:c>
      <x:c r="AA68" s="54" t="n">
        <x:f>MIN(Z68,ROUND(Z68*O68,0))</x:f>
        <x:v>6</x:v>
      </x:c>
      <x:c r="AB68" s="54" t="n">
        <x:f>Z68-AA68</x:f>
        <x:v>187</x:v>
      </x:c>
      <x:c r="AC68" s="52" t="n">
        <x:f>IFERROR(ABS(E68-D68)/E68,0)</x:f>
        <x:v>0.10422163588390501</x:v>
      </x:c>
      <x:c r="AD68" s="52" t="n">
        <x:f>IFERROR(L68/E68,1)</x:f>
        <x:v>1</x:v>
      </x:c>
      <x:c r="AE68" s="52" t="n">
        <x:f>IFERROR(X68/E68,1)</x:f>
        <x:v>1</x:v>
      </x:c>
      <x:c r="AF68" s="52" t="n">
        <x:f>IFERROR(I68/F68,0)</x:f>
        <x:v>0.6891666666666667</x:v>
      </x:c>
      <x:c r="AG68" s="52" t="n">
        <x:f>IFERROR(U68/F68,0)</x:f>
        <x:v>0.6616666666666666</x:v>
      </x:c>
    </x:row>
    <x:row r="69">
      <x:c r="A69" s="50" t="n">
        <x:v>46175</x:v>
      </x:c>
      <x:c r="B69" s="48" t="str">
        <x:v>Curd</x:v>
      </x:c>
      <x:c r="C69" s="48" t="n">
        <x:v>7</x:v>
      </x:c>
      <x:c r="D69" s="54" t="n">
        <x:v>482</x:v>
      </x:c>
      <x:c r="E69" s="54" t="n">
        <x:v>507</x:v>
      </x:c>
      <x:c r="F69" s="54" t="n">
        <x:v>700</x:v>
      </x:c>
      <x:c r="G69" s="54" t="n">
        <x:f>ROUND(D69*0.97,0)</x:f>
        <x:v>468</x:v>
      </x:c>
      <x:c r="H69" s="52" t="n">
        <x:v>1.0038820641463977</x:v>
      </x:c>
      <x:c r="I69" s="54" t="n">
        <x:f>MIN(F69,ROUND(G69*H69,0))</x:f>
        <x:v>470</x:v>
      </x:c>
      <x:c r="J69" s="54" t="n">
        <x:f>Q64</x:f>
        <x:v>0</x:v>
      </x:c>
      <x:c r="K69" s="54" t="n">
        <x:f>I69+J69</x:f>
        <x:v>470</x:v>
      </x:c>
      <x:c r="L69" s="54" t="n">
        <x:f>MIN(E69,K69)</x:f>
        <x:v>470</x:v>
      </x:c>
      <x:c r="M69" s="54" t="n">
        <x:f>MAX(E69-K69,0)</x:f>
        <x:v>37</x:v>
      </x:c>
      <x:c r="N69" s="54" t="n">
        <x:f>MAX(K69-L69,0)</x:f>
        <x:v>0</x:v>
      </x:c>
      <x:c r="O69" s="52" t="n">
        <x:v>0.018</x:v>
      </x:c>
      <x:c r="P69" s="54" t="n">
        <x:f>MIN(N69,ROUND(N69*O69,0))</x:f>
        <x:v>0</x:v>
      </x:c>
      <x:c r="Q69" s="54" t="n">
        <x:f>N69-P69</x:f>
        <x:v>0</x:v>
      </x:c>
      <x:c r="R69" s="54" t="n">
        <x:v>87</x:v>
      </x:c>
      <x:c r="S69" s="54" t="n">
        <x:f>MIN(F69,MAX(0,ROUND(D69+R69-V69,0)))</x:f>
        <x:v>545</x:v>
      </x:c>
      <x:c r="T69" s="52" t="n">
        <x:v>0.9932079777026968</x:v>
      </x:c>
      <x:c r="U69" s="54" t="n">
        <x:f>MIN(F69,MAX(0,ROUND(S69*T69,0)))</x:f>
        <x:v>541</x:v>
      </x:c>
      <x:c r="V69" s="54" t="n">
        <x:f>AB64</x:f>
        <x:v>24</x:v>
      </x:c>
      <x:c r="W69" s="54" t="n">
        <x:f>U69+V69</x:f>
        <x:v>565</x:v>
      </x:c>
      <x:c r="X69" s="54" t="n">
        <x:f>MIN(E69,W69)</x:f>
        <x:v>507</x:v>
      </x:c>
      <x:c r="Y69" s="54" t="n">
        <x:f>MAX(E69-W69,0)</x:f>
        <x:v>0</x:v>
      </x:c>
      <x:c r="Z69" s="54" t="n">
        <x:f>MAX(W69-X69,0)</x:f>
        <x:v>58</x:v>
      </x:c>
      <x:c r="AA69" s="54" t="n">
        <x:f>MIN(Z69,ROUND(Z69*O69,0))</x:f>
        <x:v>1</x:v>
      </x:c>
      <x:c r="AB69" s="54" t="n">
        <x:f>Z69-AA69</x:f>
        <x:v>57</x:v>
      </x:c>
      <x:c r="AC69" s="52" t="n">
        <x:f>IFERROR(ABS(E69-D69)/E69,0)</x:f>
        <x:v>0.04930966469428008</x:v>
      </x:c>
      <x:c r="AD69" s="52" t="n">
        <x:f>IFERROR(L69/E69,1)</x:f>
        <x:v>0.9270216962524654</x:v>
      </x:c>
      <x:c r="AE69" s="52" t="n">
        <x:f>IFERROR(X69/E69,1)</x:f>
        <x:v>1</x:v>
      </x:c>
      <x:c r="AF69" s="52" t="n">
        <x:f>IFERROR(I69/F69,0)</x:f>
        <x:v>0.6714285714285714</x:v>
      </x:c>
      <x:c r="AG69" s="52" t="n">
        <x:f>IFERROR(U69/F69,0)</x:f>
        <x:v>0.7728571428571429</x:v>
      </x:c>
    </x:row>
    <x:row r="70">
      <x:c r="A70" s="50" t="n">
        <x:v>46175</x:v>
      </x:c>
      <x:c r="B70" s="48" t="str">
        <x:v>Lassi</x:v>
      </x:c>
      <x:c r="C70" s="48" t="n">
        <x:v>7</x:v>
      </x:c>
      <x:c r="D70" s="54" t="n">
        <x:v>378</x:v>
      </x:c>
      <x:c r="E70" s="54" t="n">
        <x:v>355</x:v>
      </x:c>
      <x:c r="F70" s="54" t="n">
        <x:v>560</x:v>
      </x:c>
      <x:c r="G70" s="54" t="n">
        <x:f>ROUND(D70*0.97,0)</x:f>
        <x:v>367</x:v>
      </x:c>
      <x:c r="H70" s="52" t="n">
        <x:v>0.9945223980679085</x:v>
      </x:c>
      <x:c r="I70" s="54" t="n">
        <x:f>MIN(F70,ROUND(G70*H70,0))</x:f>
        <x:v>365</x:v>
      </x:c>
      <x:c r="J70" s="54" t="n">
        <x:f>Q65</x:f>
        <x:v>0</x:v>
      </x:c>
      <x:c r="K70" s="54" t="n">
        <x:f>I70+J70</x:f>
        <x:v>365</x:v>
      </x:c>
      <x:c r="L70" s="54" t="n">
        <x:f>MIN(E70,K70)</x:f>
        <x:v>355</x:v>
      </x:c>
      <x:c r="M70" s="54" t="n">
        <x:f>MAX(E70-K70,0)</x:f>
        <x:v>0</x:v>
      </x:c>
      <x:c r="N70" s="54" t="n">
        <x:f>MAX(K70-L70,0)</x:f>
        <x:v>10</x:v>
      </x:c>
      <x:c r="O70" s="52" t="n">
        <x:v>0.02</x:v>
      </x:c>
      <x:c r="P70" s="54" t="n">
        <x:f>MIN(N70,ROUND(N70*O70,0))</x:f>
        <x:v>0</x:v>
      </x:c>
      <x:c r="Q70" s="54" t="n">
        <x:f>N70-P70</x:f>
        <x:v>10</x:v>
      </x:c>
      <x:c r="R70" s="54" t="n">
        <x:v>68</x:v>
      </x:c>
      <x:c r="S70" s="54" t="n">
        <x:f>MIN(F70,MAX(0,ROUND(D70+R70-V70,0)))</x:f>
        <x:v>438</x:v>
      </x:c>
      <x:c r="T70" s="52" t="n">
        <x:v>0.9834358282862667</x:v>
      </x:c>
      <x:c r="U70" s="54" t="n">
        <x:f>MIN(F70,MAX(0,ROUND(S70*T70,0)))</x:f>
        <x:v>431</x:v>
      </x:c>
      <x:c r="V70" s="54" t="n">
        <x:f>AB65</x:f>
        <x:v>8</x:v>
      </x:c>
      <x:c r="W70" s="54" t="n">
        <x:f>U70+V70</x:f>
        <x:v>439</x:v>
      </x:c>
      <x:c r="X70" s="54" t="n">
        <x:f>MIN(E70,W70)</x:f>
        <x:v>355</x:v>
      </x:c>
      <x:c r="Y70" s="54" t="n">
        <x:f>MAX(E70-W70,0)</x:f>
        <x:v>0</x:v>
      </x:c>
      <x:c r="Z70" s="54" t="n">
        <x:f>MAX(W70-X70,0)</x:f>
        <x:v>84</x:v>
      </x:c>
      <x:c r="AA70" s="54" t="n">
        <x:f>MIN(Z70,ROUND(Z70*O70,0))</x:f>
        <x:v>2</x:v>
      </x:c>
      <x:c r="AB70" s="54" t="n">
        <x:f>Z70-AA70</x:f>
        <x:v>82</x:v>
      </x:c>
      <x:c r="AC70" s="52" t="n">
        <x:f>IFERROR(ABS(E70-D70)/E70,0)</x:f>
        <x:v>0.0647887323943662</x:v>
      </x:c>
      <x:c r="AD70" s="52" t="n">
        <x:f>IFERROR(L70/E70,1)</x:f>
        <x:v>1</x:v>
      </x:c>
      <x:c r="AE70" s="52" t="n">
        <x:f>IFERROR(X70/E70,1)</x:f>
        <x:v>1</x:v>
      </x:c>
      <x:c r="AF70" s="52" t="n">
        <x:f>IFERROR(I70/F70,0)</x:f>
        <x:v>0.6517857142857143</x:v>
      </x:c>
      <x:c r="AG70" s="52" t="n">
        <x:f>IFERROR(U70/F70,0)</x:f>
        <x:v>0.7696428571428572</x:v>
      </x:c>
    </x:row>
    <x:row r="71">
      <x:c r="A71" s="50" t="n">
        <x:v>46175</x:v>
      </x:c>
      <x:c r="B71" s="48" t="str">
        <x:v>Paneer</x:v>
      </x:c>
      <x:c r="C71" s="48" t="n">
        <x:v>5</x:v>
      </x:c>
      <x:c r="D71" s="54" t="n">
        <x:v>153</x:v>
      </x:c>
      <x:c r="E71" s="54" t="n">
        <x:v>154</x:v>
      </x:c>
      <x:c r="F71" s="54" t="n">
        <x:v>230</x:v>
      </x:c>
      <x:c r="G71" s="54" t="n">
        <x:f>ROUND(D71*0.97,0)</x:f>
        <x:v>148</x:v>
      </x:c>
      <x:c r="H71" s="52" t="n">
        <x:v>1.0135114049183858</x:v>
      </x:c>
      <x:c r="I71" s="54" t="n">
        <x:f>MIN(F71,ROUND(G71*H71,0))</x:f>
        <x:v>150</x:v>
      </x:c>
      <x:c r="J71" s="54" t="n">
        <x:f>Q66</x:f>
        <x:v>33</x:v>
      </x:c>
      <x:c r="K71" s="54" t="n">
        <x:f>I71+J71</x:f>
        <x:v>183</x:v>
      </x:c>
      <x:c r="L71" s="54" t="n">
        <x:f>MIN(E71,K71)</x:f>
        <x:v>154</x:v>
      </x:c>
      <x:c r="M71" s="54" t="n">
        <x:f>MAX(E71-K71,0)</x:f>
        <x:v>0</x:v>
      </x:c>
      <x:c r="N71" s="54" t="n">
        <x:f>MAX(K71-L71,0)</x:f>
        <x:v>29</x:v>
      </x:c>
      <x:c r="O71" s="52" t="n">
        <x:v>0.025</x:v>
      </x:c>
      <x:c r="P71" s="54" t="n">
        <x:f>MIN(N71,ROUND(N71*O71,0))</x:f>
        <x:v>1</x:v>
      </x:c>
      <x:c r="Q71" s="54" t="n">
        <x:f>N71-P71</x:f>
        <x:v>28</x:v>
      </x:c>
      <x:c r="R71" s="54" t="n">
        <x:v>31</x:v>
      </x:c>
      <x:c r="S71" s="54" t="n">
        <x:f>MIN(F71,MAX(0,ROUND(D71+R71-V71,0)))</x:f>
        <x:v>136</x:v>
      </x:c>
      <x:c r="T71" s="52" t="n">
        <x:v>0.9850993603487519</x:v>
      </x:c>
      <x:c r="U71" s="54" t="n">
        <x:f>MIN(F71,MAX(0,ROUND(S71*T71,0)))</x:f>
        <x:v>134</x:v>
      </x:c>
      <x:c r="V71" s="54" t="n">
        <x:f>AB66</x:f>
        <x:v>48</x:v>
      </x:c>
      <x:c r="W71" s="54" t="n">
        <x:f>U71+V71</x:f>
        <x:v>182</x:v>
      </x:c>
      <x:c r="X71" s="54" t="n">
        <x:f>MIN(E71,W71)</x:f>
        <x:v>154</x:v>
      </x:c>
      <x:c r="Y71" s="54" t="n">
        <x:f>MAX(E71-W71,0)</x:f>
        <x:v>0</x:v>
      </x:c>
      <x:c r="Z71" s="54" t="n">
        <x:f>MAX(W71-X71,0)</x:f>
        <x:v>28</x:v>
      </x:c>
      <x:c r="AA71" s="54" t="n">
        <x:f>MIN(Z71,ROUND(Z71*O71,0))</x:f>
        <x:v>1</x:v>
      </x:c>
      <x:c r="AB71" s="54" t="n">
        <x:f>Z71-AA71</x:f>
        <x:v>27</x:v>
      </x:c>
      <x:c r="AC71" s="52" t="n">
        <x:f>IFERROR(ABS(E71-D71)/E71,0)</x:f>
        <x:v>0.006493506493506494</x:v>
      </x:c>
      <x:c r="AD71" s="52" t="n">
        <x:f>IFERROR(L71/E71,1)</x:f>
        <x:v>1</x:v>
      </x:c>
      <x:c r="AE71" s="52" t="n">
        <x:f>IFERROR(X71/E71,1)</x:f>
        <x:v>1</x:v>
      </x:c>
      <x:c r="AF71" s="52" t="n">
        <x:f>IFERROR(I71/F71,0)</x:f>
        <x:v>0.6521739130434783</x:v>
      </x:c>
      <x:c r="AG71" s="52" t="n">
        <x:f>IFERROR(U71/F71,0)</x:f>
        <x:v>0.5826086956521739</x:v>
      </x:c>
    </x:row>
    <x:row r="72">
      <x:c r="A72" s="50" t="n">
        <x:v>46176</x:v>
      </x:c>
      <x:c r="B72" s="48" t="str">
        <x:v>Toned Milk</x:v>
      </x:c>
      <x:c r="C72" s="48" t="n">
        <x:v>2</x:v>
      </x:c>
      <x:c r="D72" s="54" t="n">
        <x:v>1691</x:v>
      </x:c>
      <x:c r="E72" s="54" t="n">
        <x:v>1969</x:v>
      </x:c>
      <x:c r="F72" s="54" t="n">
        <x:v>2250</x:v>
      </x:c>
      <x:c r="G72" s="54" t="n">
        <x:f>ROUND(D72*0.97,0)</x:f>
        <x:v>1640</x:v>
      </x:c>
      <x:c r="H72" s="52" t="n">
        <x:v>1.0184488687723021</x:v>
      </x:c>
      <x:c r="I72" s="54" t="n">
        <x:f>MIN(F72,ROUND(G72*H72,0))</x:f>
        <x:v>1670</x:v>
      </x:c>
      <x:c r="J72" s="54" t="n">
        <x:f>Q67</x:f>
        <x:v>1068</x:v>
      </x:c>
      <x:c r="K72" s="54" t="n">
        <x:f>I72+J72</x:f>
        <x:v>2738</x:v>
      </x:c>
      <x:c r="L72" s="54" t="n">
        <x:f>MIN(E72,K72)</x:f>
        <x:v>1969</x:v>
      </x:c>
      <x:c r="M72" s="54" t="n">
        <x:f>MAX(E72-K72,0)</x:f>
        <x:v>0</x:v>
      </x:c>
      <x:c r="N72" s="54" t="n">
        <x:f>MAX(K72-L72,0)</x:f>
        <x:v>769</x:v>
      </x:c>
      <x:c r="O72" s="52" t="n">
        <x:v>0.025</x:v>
      </x:c>
      <x:c r="P72" s="54" t="n">
        <x:f>MIN(N72,ROUND(N72*O72,0))</x:f>
        <x:v>19</x:v>
      </x:c>
      <x:c r="Q72" s="54" t="n">
        <x:f>N72-P72</x:f>
        <x:v>750</x:v>
      </x:c>
      <x:c r="R72" s="54" t="n">
        <x:v>203</x:v>
      </x:c>
      <x:c r="S72" s="54" t="n">
        <x:f>MIN(F72,MAX(0,ROUND(D72+R72-V72,0)))</x:f>
        <x:v>1483</x:v>
      </x:c>
      <x:c r="T72" s="52" t="n">
        <x:v>1.0042593611699213</x:v>
      </x:c>
      <x:c r="U72" s="54" t="n">
        <x:f>MIN(F72,MAX(0,ROUND(S72*T72,0)))</x:f>
        <x:v>1489</x:v>
      </x:c>
      <x:c r="V72" s="54" t="n">
        <x:f>AB67</x:f>
        <x:v>411</x:v>
      </x:c>
      <x:c r="W72" s="54" t="n">
        <x:f>U72+V72</x:f>
        <x:v>1900</x:v>
      </x:c>
      <x:c r="X72" s="54" t="n">
        <x:f>MIN(E72,W72)</x:f>
        <x:v>1900</x:v>
      </x:c>
      <x:c r="Y72" s="54" t="n">
        <x:f>MAX(E72-W72,0)</x:f>
        <x:v>69</x:v>
      </x:c>
      <x:c r="Z72" s="54" t="n">
        <x:f>MAX(W72-X72,0)</x:f>
        <x:v>0</x:v>
      </x:c>
      <x:c r="AA72" s="54" t="n">
        <x:f>MIN(Z72,ROUND(Z72*O72,0))</x:f>
        <x:v>0</x:v>
      </x:c>
      <x:c r="AB72" s="54" t="n">
        <x:f>Z72-AA72</x:f>
        <x:v>0</x:v>
      </x:c>
      <x:c r="AC72" s="52" t="n">
        <x:f>IFERROR(ABS(E72-D72)/E72,0)</x:f>
        <x:v>0.14118842051802946</x:v>
      </x:c>
      <x:c r="AD72" s="52" t="n">
        <x:f>IFERROR(L72/E72,1)</x:f>
        <x:v>1</x:v>
      </x:c>
      <x:c r="AE72" s="52" t="n">
        <x:f>IFERROR(X72/E72,1)</x:f>
        <x:v>0.9649568308786186</x:v>
      </x:c>
      <x:c r="AF72" s="52" t="n">
        <x:f>IFERROR(I72/F72,0)</x:f>
        <x:v>0.7422222222222222</x:v>
      </x:c>
      <x:c r="AG72" s="52" t="n">
        <x:f>IFERROR(U72/F72,0)</x:f>
        <x:v>0.6617777777777778</x:v>
      </x:c>
    </x:row>
    <x:row r="73">
      <x:c r="A73" s="50" t="n">
        <x:v>46176</x:v>
      </x:c>
      <x:c r="B73" s="48" t="str">
        <x:v>Full Cream Milk</x:v>
      </x:c>
      <x:c r="C73" s="48" t="n">
        <x:v>2</x:v>
      </x:c>
      <x:c r="D73" s="54" t="n">
        <x:v>846</x:v>
      </x:c>
      <x:c r="E73" s="54" t="n">
        <x:v>897</x:v>
      </x:c>
      <x:c r="F73" s="54" t="n">
        <x:v>1200</x:v>
      </x:c>
      <x:c r="G73" s="54" t="n">
        <x:f>ROUND(D73*0.97,0)</x:f>
        <x:v>821</x:v>
      </x:c>
      <x:c r="H73" s="52" t="n">
        <x:v>1.0165534352371162</x:v>
      </x:c>
      <x:c r="I73" s="54" t="n">
        <x:f>MIN(F73,ROUND(G73*H73,0))</x:f>
        <x:v>835</x:v>
      </x:c>
      <x:c r="J73" s="54" t="n">
        <x:f>Q68</x:f>
        <x:v>442</x:v>
      </x:c>
      <x:c r="K73" s="54" t="n">
        <x:f>I73+J73</x:f>
        <x:v>1277</x:v>
      </x:c>
      <x:c r="L73" s="54" t="n">
        <x:f>MIN(E73,K73)</x:f>
        <x:v>897</x:v>
      </x:c>
      <x:c r="M73" s="54" t="n">
        <x:f>MAX(E73-K73,0)</x:f>
        <x:v>0</x:v>
      </x:c>
      <x:c r="N73" s="54" t="n">
        <x:f>MAX(K73-L73,0)</x:f>
        <x:v>380</x:v>
      </x:c>
      <x:c r="O73" s="52" t="n">
        <x:v>0.03</x:v>
      </x:c>
      <x:c r="P73" s="54" t="n">
        <x:f>MIN(N73,ROUND(N73*O73,0))</x:f>
        <x:v>11</x:v>
      </x:c>
      <x:c r="Q73" s="54" t="n">
        <x:f>N73-P73</x:f>
        <x:v>369</x:v>
      </x:c>
      <x:c r="R73" s="54" t="n">
        <x:v>102</x:v>
      </x:c>
      <x:c r="S73" s="54" t="n">
        <x:f>MIN(F73,MAX(0,ROUND(D73+R73-V73,0)))</x:f>
        <x:v>761</x:v>
      </x:c>
      <x:c r="T73" s="52" t="n">
        <x:v>0.9884806205984455</x:v>
      </x:c>
      <x:c r="U73" s="54" t="n">
        <x:f>MIN(F73,MAX(0,ROUND(S73*T73,0)))</x:f>
        <x:v>752</x:v>
      </x:c>
      <x:c r="V73" s="54" t="n">
        <x:f>AB68</x:f>
        <x:v>187</x:v>
      </x:c>
      <x:c r="W73" s="54" t="n">
        <x:f>U73+V73</x:f>
        <x:v>939</x:v>
      </x:c>
      <x:c r="X73" s="54" t="n">
        <x:f>MIN(E73,W73)</x:f>
        <x:v>897</x:v>
      </x:c>
      <x:c r="Y73" s="54" t="n">
        <x:f>MAX(E73-W73,0)</x:f>
        <x:v>0</x:v>
      </x:c>
      <x:c r="Z73" s="54" t="n">
        <x:f>MAX(W73-X73,0)</x:f>
        <x:v>42</x:v>
      </x:c>
      <x:c r="AA73" s="54" t="n">
        <x:f>MIN(Z73,ROUND(Z73*O73,0))</x:f>
        <x:v>1</x:v>
      </x:c>
      <x:c r="AB73" s="54" t="n">
        <x:f>Z73-AA73</x:f>
        <x:v>41</x:v>
      </x:c>
      <x:c r="AC73" s="52" t="n">
        <x:f>IFERROR(ABS(E73-D73)/E73,0)</x:f>
        <x:v>0.056856187290969896</x:v>
      </x:c>
      <x:c r="AD73" s="52" t="n">
        <x:f>IFERROR(L73/E73,1)</x:f>
        <x:v>1</x:v>
      </x:c>
      <x:c r="AE73" s="52" t="n">
        <x:f>IFERROR(X73/E73,1)</x:f>
        <x:v>1</x:v>
      </x:c>
      <x:c r="AF73" s="52" t="n">
        <x:f>IFERROR(I73/F73,0)</x:f>
        <x:v>0.6958333333333333</x:v>
      </x:c>
      <x:c r="AG73" s="52" t="n">
        <x:f>IFERROR(U73/F73,0)</x:f>
        <x:v>0.6266666666666667</x:v>
      </x:c>
    </x:row>
    <x:row r="74">
      <x:c r="A74" s="50" t="n">
        <x:v>46176</x:v>
      </x:c>
      <x:c r="B74" s="48" t="str">
        <x:v>Curd</x:v>
      </x:c>
      <x:c r="C74" s="48" t="n">
        <x:v>7</x:v>
      </x:c>
      <x:c r="D74" s="54" t="n">
        <x:v>492</x:v>
      </x:c>
      <x:c r="E74" s="54" t="n">
        <x:v>511</x:v>
      </x:c>
      <x:c r="F74" s="54" t="n">
        <x:v>700</x:v>
      </x:c>
      <x:c r="G74" s="54" t="n">
        <x:f>ROUND(D74*0.97,0)</x:f>
        <x:v>477</x:v>
      </x:c>
      <x:c r="H74" s="52" t="n">
        <x:v>0.9914411948758102</x:v>
      </x:c>
      <x:c r="I74" s="54" t="n">
        <x:f>MIN(F74,ROUND(G74*H74,0))</x:f>
        <x:v>473</x:v>
      </x:c>
      <x:c r="J74" s="54" t="n">
        <x:f>Q69</x:f>
        <x:v>0</x:v>
      </x:c>
      <x:c r="K74" s="54" t="n">
        <x:f>I74+J74</x:f>
        <x:v>473</x:v>
      </x:c>
      <x:c r="L74" s="54" t="n">
        <x:f>MIN(E74,K74)</x:f>
        <x:v>473</x:v>
      </x:c>
      <x:c r="M74" s="54" t="n">
        <x:f>MAX(E74-K74,0)</x:f>
        <x:v>38</x:v>
      </x:c>
      <x:c r="N74" s="54" t="n">
        <x:f>MAX(K74-L74,0)</x:f>
        <x:v>0</x:v>
      </x:c>
      <x:c r="O74" s="52" t="n">
        <x:v>0.018</x:v>
      </x:c>
      <x:c r="P74" s="54" t="n">
        <x:f>MIN(N74,ROUND(N74*O74,0))</x:f>
        <x:v>0</x:v>
      </x:c>
      <x:c r="Q74" s="54" t="n">
        <x:f>N74-P74</x:f>
        <x:v>0</x:v>
      </x:c>
      <x:c r="R74" s="54" t="n">
        <x:v>89</x:v>
      </x:c>
      <x:c r="S74" s="54" t="n">
        <x:f>MIN(F74,MAX(0,ROUND(D74+R74-V74,0)))</x:f>
        <x:v>524</x:v>
      </x:c>
      <x:c r="T74" s="52" t="n">
        <x:v>1.014425842050466</x:v>
      </x:c>
      <x:c r="U74" s="54" t="n">
        <x:f>MIN(F74,MAX(0,ROUND(S74*T74,0)))</x:f>
        <x:v>532</x:v>
      </x:c>
      <x:c r="V74" s="54" t="n">
        <x:f>AB69</x:f>
        <x:v>57</x:v>
      </x:c>
      <x:c r="W74" s="54" t="n">
        <x:f>U74+V74</x:f>
        <x:v>589</x:v>
      </x:c>
      <x:c r="X74" s="54" t="n">
        <x:f>MIN(E74,W74)</x:f>
        <x:v>511</x:v>
      </x:c>
      <x:c r="Y74" s="54" t="n">
        <x:f>MAX(E74-W74,0)</x:f>
        <x:v>0</x:v>
      </x:c>
      <x:c r="Z74" s="54" t="n">
        <x:f>MAX(W74-X74,0)</x:f>
        <x:v>78</x:v>
      </x:c>
      <x:c r="AA74" s="54" t="n">
        <x:f>MIN(Z74,ROUND(Z74*O74,0))</x:f>
        <x:v>1</x:v>
      </x:c>
      <x:c r="AB74" s="54" t="n">
        <x:f>Z74-AA74</x:f>
        <x:v>77</x:v>
      </x:c>
      <x:c r="AC74" s="52" t="n">
        <x:f>IFERROR(ABS(E74-D74)/E74,0)</x:f>
        <x:v>0.03718199608610567</x:v>
      </x:c>
      <x:c r="AD74" s="52" t="n">
        <x:f>IFERROR(L74/E74,1)</x:f>
        <x:v>0.9256360078277887</x:v>
      </x:c>
      <x:c r="AE74" s="52" t="n">
        <x:f>IFERROR(X74/E74,1)</x:f>
        <x:v>1</x:v>
      </x:c>
      <x:c r="AF74" s="52" t="n">
        <x:f>IFERROR(I74/F74,0)</x:f>
        <x:v>0.6757142857142857</x:v>
      </x:c>
      <x:c r="AG74" s="52" t="n">
        <x:f>IFERROR(U74/F74,0)</x:f>
        <x:v>0.76</x:v>
      </x:c>
    </x:row>
    <x:row r="75">
      <x:c r="A75" s="50" t="n">
        <x:v>46176</x:v>
      </x:c>
      <x:c r="B75" s="48" t="str">
        <x:v>Lassi</x:v>
      </x:c>
      <x:c r="C75" s="48" t="n">
        <x:v>7</x:v>
      </x:c>
      <x:c r="D75" s="54" t="n">
        <x:v>394</x:v>
      </x:c>
      <x:c r="E75" s="54" t="n">
        <x:v>409</x:v>
      </x:c>
      <x:c r="F75" s="54" t="n">
        <x:v>560</x:v>
      </x:c>
      <x:c r="G75" s="54" t="n">
        <x:f>ROUND(D75*0.97,0)</x:f>
        <x:v>382</x:v>
      </x:c>
      <x:c r="H75" s="52" t="n">
        <x:v>1.0085998072027162</x:v>
      </x:c>
      <x:c r="I75" s="54" t="n">
        <x:f>MIN(F75,ROUND(G75*H75,0))</x:f>
        <x:v>385</x:v>
      </x:c>
      <x:c r="J75" s="54" t="n">
        <x:f>Q70</x:f>
        <x:v>10</x:v>
      </x:c>
      <x:c r="K75" s="54" t="n">
        <x:f>I75+J75</x:f>
        <x:v>395</x:v>
      </x:c>
      <x:c r="L75" s="54" t="n">
        <x:f>MIN(E75,K75)</x:f>
        <x:v>395</x:v>
      </x:c>
      <x:c r="M75" s="54" t="n">
        <x:f>MAX(E75-K75,0)</x:f>
        <x:v>14</x:v>
      </x:c>
      <x:c r="N75" s="54" t="n">
        <x:f>MAX(K75-L75,0)</x:f>
        <x:v>0</x:v>
      </x:c>
      <x:c r="O75" s="52" t="n">
        <x:v>0.02</x:v>
      </x:c>
      <x:c r="P75" s="54" t="n">
        <x:f>MIN(N75,ROUND(N75*O75,0))</x:f>
        <x:v>0</x:v>
      </x:c>
      <x:c r="Q75" s="54" t="n">
        <x:f>N75-P75</x:f>
        <x:v>0</x:v>
      </x:c>
      <x:c r="R75" s="54" t="n">
        <x:v>71</x:v>
      </x:c>
      <x:c r="S75" s="54" t="n">
        <x:f>MIN(F75,MAX(0,ROUND(D75+R75-V75,0)))</x:f>
        <x:v>383</x:v>
      </x:c>
      <x:c r="T75" s="52" t="n">
        <x:v>1.0102243639554043</x:v>
      </x:c>
      <x:c r="U75" s="54" t="n">
        <x:f>MIN(F75,MAX(0,ROUND(S75*T75,0)))</x:f>
        <x:v>387</x:v>
      </x:c>
      <x:c r="V75" s="54" t="n">
        <x:f>AB70</x:f>
        <x:v>82</x:v>
      </x:c>
      <x:c r="W75" s="54" t="n">
        <x:f>U75+V75</x:f>
        <x:v>469</x:v>
      </x:c>
      <x:c r="X75" s="54" t="n">
        <x:f>MIN(E75,W75)</x:f>
        <x:v>409</x:v>
      </x:c>
      <x:c r="Y75" s="54" t="n">
        <x:f>MAX(E75-W75,0)</x:f>
        <x:v>0</x:v>
      </x:c>
      <x:c r="Z75" s="54" t="n">
        <x:f>MAX(W75-X75,0)</x:f>
        <x:v>60</x:v>
      </x:c>
      <x:c r="AA75" s="54" t="n">
        <x:f>MIN(Z75,ROUND(Z75*O75,0))</x:f>
        <x:v>1</x:v>
      </x:c>
      <x:c r="AB75" s="54" t="n">
        <x:f>Z75-AA75</x:f>
        <x:v>59</x:v>
      </x:c>
      <x:c r="AC75" s="52" t="n">
        <x:f>IFERROR(ABS(E75-D75)/E75,0)</x:f>
        <x:v>0.03667481662591687</x:v>
      </x:c>
      <x:c r="AD75" s="52" t="n">
        <x:f>IFERROR(L75/E75,1)</x:f>
        <x:v>0.9657701711491442</x:v>
      </x:c>
      <x:c r="AE75" s="52" t="n">
        <x:f>IFERROR(X75/E75,1)</x:f>
        <x:v>1</x:v>
      </x:c>
      <x:c r="AF75" s="52" t="n">
        <x:f>IFERROR(I75/F75,0)</x:f>
        <x:v>0.6875</x:v>
      </x:c>
      <x:c r="AG75" s="52" t="n">
        <x:f>IFERROR(U75/F75,0)</x:f>
        <x:v>0.6910714285714286</x:v>
      </x:c>
    </x:row>
    <x:row r="76">
      <x:c r="A76" s="50" t="n">
        <x:v>46176</x:v>
      </x:c>
      <x:c r="B76" s="48" t="str">
        <x:v>Paneer</x:v>
      </x:c>
      <x:c r="C76" s="48" t="n">
        <x:v>5</x:v>
      </x:c>
      <x:c r="D76" s="54" t="n">
        <x:v>158</x:v>
      </x:c>
      <x:c r="E76" s="54" t="n">
        <x:v>184</x:v>
      </x:c>
      <x:c r="F76" s="54" t="n">
        <x:v>230</x:v>
      </x:c>
      <x:c r="G76" s="54" t="n">
        <x:f>ROUND(D76*0.97,0)</x:f>
        <x:v>153</x:v>
      </x:c>
      <x:c r="H76" s="52" t="n">
        <x:v>0.9834674971821777</x:v>
      </x:c>
      <x:c r="I76" s="54" t="n">
        <x:f>MIN(F76,ROUND(G76*H76,0))</x:f>
        <x:v>150</x:v>
      </x:c>
      <x:c r="J76" s="54" t="n">
        <x:f>Q71</x:f>
        <x:v>28</x:v>
      </x:c>
      <x:c r="K76" s="54" t="n">
        <x:f>I76+J76</x:f>
        <x:v>178</x:v>
      </x:c>
      <x:c r="L76" s="54" t="n">
        <x:f>MIN(E76,K76)</x:f>
        <x:v>178</x:v>
      </x:c>
      <x:c r="M76" s="54" t="n">
        <x:f>MAX(E76-K76,0)</x:f>
        <x:v>6</x:v>
      </x:c>
      <x:c r="N76" s="54" t="n">
        <x:f>MAX(K76-L76,0)</x:f>
        <x:v>0</x:v>
      </x:c>
      <x:c r="O76" s="52" t="n">
        <x:v>0.025</x:v>
      </x:c>
      <x:c r="P76" s="54" t="n">
        <x:f>MIN(N76,ROUND(N76*O76,0))</x:f>
        <x:v>0</x:v>
      </x:c>
      <x:c r="Q76" s="54" t="n">
        <x:f>N76-P76</x:f>
        <x:v>0</x:v>
      </x:c>
      <x:c r="R76" s="54" t="n">
        <x:v>32</x:v>
      </x:c>
      <x:c r="S76" s="54" t="n">
        <x:f>MIN(F76,MAX(0,ROUND(D76+R76-V76,0)))</x:f>
        <x:v>163</x:v>
      </x:c>
      <x:c r="T76" s="52" t="n">
        <x:v>0.9865050212601654</x:v>
      </x:c>
      <x:c r="U76" s="54" t="n">
        <x:f>MIN(F76,MAX(0,ROUND(S76*T76,0)))</x:f>
        <x:v>161</x:v>
      </x:c>
      <x:c r="V76" s="54" t="n">
        <x:f>AB71</x:f>
        <x:v>27</x:v>
      </x:c>
      <x:c r="W76" s="54" t="n">
        <x:f>U76+V76</x:f>
        <x:v>188</x:v>
      </x:c>
      <x:c r="X76" s="54" t="n">
        <x:f>MIN(E76,W76)</x:f>
        <x:v>184</x:v>
      </x:c>
      <x:c r="Y76" s="54" t="n">
        <x:f>MAX(E76-W76,0)</x:f>
        <x:v>0</x:v>
      </x:c>
      <x:c r="Z76" s="54" t="n">
        <x:f>MAX(W76-X76,0)</x:f>
        <x:v>4</x:v>
      </x:c>
      <x:c r="AA76" s="54" t="n">
        <x:f>MIN(Z76,ROUND(Z76*O76,0))</x:f>
        <x:v>0</x:v>
      </x:c>
      <x:c r="AB76" s="54" t="n">
        <x:f>Z76-AA76</x:f>
        <x:v>4</x:v>
      </x:c>
      <x:c r="AC76" s="52" t="n">
        <x:f>IFERROR(ABS(E76-D76)/E76,0)</x:f>
        <x:v>0.14130434782608695</x:v>
      </x:c>
      <x:c r="AD76" s="52" t="n">
        <x:f>IFERROR(L76/E76,1)</x:f>
        <x:v>0.967391304347826</x:v>
      </x:c>
      <x:c r="AE76" s="52" t="n">
        <x:f>IFERROR(X76/E76,1)</x:f>
        <x:v>1</x:v>
      </x:c>
      <x:c r="AF76" s="52" t="n">
        <x:f>IFERROR(I76/F76,0)</x:f>
        <x:v>0.6521739130434783</x:v>
      </x:c>
      <x:c r="AG76" s="52" t="n">
        <x:f>IFERROR(U76/F76,0)</x:f>
        <x:v>0.7</x:v>
      </x:c>
    </x:row>
    <x:row r="77">
      <x:c r="A77" s="50" t="n">
        <x:v>46177</x:v>
      </x:c>
      <x:c r="B77" s="48" t="str">
        <x:v>Toned Milk</x:v>
      </x:c>
      <x:c r="C77" s="48" t="n">
        <x:v>2</x:v>
      </x:c>
      <x:c r="D77" s="54" t="n">
        <x:v>1709</x:v>
      </x:c>
      <x:c r="E77" s="54" t="n">
        <x:v>1484</x:v>
      </x:c>
      <x:c r="F77" s="54" t="n">
        <x:v>2250</x:v>
      </x:c>
      <x:c r="G77" s="54" t="n">
        <x:f>ROUND(D77*0.97,0)</x:f>
        <x:v>1658</x:v>
      </x:c>
      <x:c r="H77" s="52" t="n">
        <x:v>1.004320548109315</x:v>
      </x:c>
      <x:c r="I77" s="54" t="n">
        <x:f>MIN(F77,ROUND(G77*H77,0))</x:f>
        <x:v>1665</x:v>
      </x:c>
      <x:c r="J77" s="54" t="n">
        <x:f>Q72</x:f>
        <x:v>750</x:v>
      </x:c>
      <x:c r="K77" s="54" t="n">
        <x:f>I77+J77</x:f>
        <x:v>2415</x:v>
      </x:c>
      <x:c r="L77" s="54" t="n">
        <x:f>MIN(E77,K77)</x:f>
        <x:v>1484</x:v>
      </x:c>
      <x:c r="M77" s="54" t="n">
        <x:f>MAX(E77-K77,0)</x:f>
        <x:v>0</x:v>
      </x:c>
      <x:c r="N77" s="54" t="n">
        <x:f>MAX(K77-L77,0)</x:f>
        <x:v>931</x:v>
      </x:c>
      <x:c r="O77" s="52" t="n">
        <x:v>0.025</x:v>
      </x:c>
      <x:c r="P77" s="54" t="n">
        <x:f>MIN(N77,ROUND(N77*O77,0))</x:f>
        <x:v>23</x:v>
      </x:c>
      <x:c r="Q77" s="54" t="n">
        <x:f>N77-P77</x:f>
        <x:v>908</x:v>
      </x:c>
      <x:c r="R77" s="54" t="n">
        <x:v>205</x:v>
      </x:c>
      <x:c r="S77" s="54" t="n">
        <x:f>MIN(F77,MAX(0,ROUND(D77+R77-V77,0)))</x:f>
        <x:v>1914</x:v>
      </x:c>
      <x:c r="T77" s="52" t="n">
        <x:v>1.0040287689715588</x:v>
      </x:c>
      <x:c r="U77" s="54" t="n">
        <x:f>MIN(F77,MAX(0,ROUND(S77*T77,0)))</x:f>
        <x:v>1922</x:v>
      </x:c>
      <x:c r="V77" s="54" t="n">
        <x:f>AB72</x:f>
        <x:v>0</x:v>
      </x:c>
      <x:c r="W77" s="54" t="n">
        <x:f>U77+V77</x:f>
        <x:v>1922</x:v>
      </x:c>
      <x:c r="X77" s="54" t="n">
        <x:f>MIN(E77,W77)</x:f>
        <x:v>1484</x:v>
      </x:c>
      <x:c r="Y77" s="54" t="n">
        <x:f>MAX(E77-W77,0)</x:f>
        <x:v>0</x:v>
      </x:c>
      <x:c r="Z77" s="54" t="n">
        <x:f>MAX(W77-X77,0)</x:f>
        <x:v>438</x:v>
      </x:c>
      <x:c r="AA77" s="54" t="n">
        <x:f>MIN(Z77,ROUND(Z77*O77,0))</x:f>
        <x:v>11</x:v>
      </x:c>
      <x:c r="AB77" s="54" t="n">
        <x:f>Z77-AA77</x:f>
        <x:v>427</x:v>
      </x:c>
      <x:c r="AC77" s="52" t="n">
        <x:f>IFERROR(ABS(E77-D77)/E77,0)</x:f>
        <x:v>0.15161725067385445</x:v>
      </x:c>
      <x:c r="AD77" s="52" t="n">
        <x:f>IFERROR(L77/E77,1)</x:f>
        <x:v>1</x:v>
      </x:c>
      <x:c r="AE77" s="52" t="n">
        <x:f>IFERROR(X77/E77,1)</x:f>
        <x:v>1</x:v>
      </x:c>
      <x:c r="AF77" s="52" t="n">
        <x:f>IFERROR(I77/F77,0)</x:f>
        <x:v>0.74</x:v>
      </x:c>
      <x:c r="AG77" s="52" t="n">
        <x:f>IFERROR(U77/F77,0)</x:f>
        <x:v>0.8542222222222222</x:v>
      </x:c>
    </x:row>
    <x:row r="78">
      <x:c r="A78" s="50" t="n">
        <x:v>46177</x:v>
      </x:c>
      <x:c r="B78" s="48" t="str">
        <x:v>Full Cream Milk</x:v>
      </x:c>
      <x:c r="C78" s="48" t="n">
        <x:v>2</x:v>
      </x:c>
      <x:c r="D78" s="54" t="n">
        <x:v>854</x:v>
      </x:c>
      <x:c r="E78" s="54" t="n">
        <x:v>970</x:v>
      </x:c>
      <x:c r="F78" s="54" t="n">
        <x:v>1200</x:v>
      </x:c>
      <x:c r="G78" s="54" t="n">
        <x:f>ROUND(D78*0.97,0)</x:f>
        <x:v>828</x:v>
      </x:c>
      <x:c r="H78" s="52" t="n">
        <x:v>1.0102664961359171</x:v>
      </x:c>
      <x:c r="I78" s="54" t="n">
        <x:f>MIN(F78,ROUND(G78*H78,0))</x:f>
        <x:v>837</x:v>
      </x:c>
      <x:c r="J78" s="54" t="n">
        <x:f>Q73</x:f>
        <x:v>369</x:v>
      </x:c>
      <x:c r="K78" s="54" t="n">
        <x:f>I78+J78</x:f>
        <x:v>1206</x:v>
      </x:c>
      <x:c r="L78" s="54" t="n">
        <x:f>MIN(E78,K78)</x:f>
        <x:v>970</x:v>
      </x:c>
      <x:c r="M78" s="54" t="n">
        <x:f>MAX(E78-K78,0)</x:f>
        <x:v>0</x:v>
      </x:c>
      <x:c r="N78" s="54" t="n">
        <x:f>MAX(K78-L78,0)</x:f>
        <x:v>236</x:v>
      </x:c>
      <x:c r="O78" s="52" t="n">
        <x:v>0.03</x:v>
      </x:c>
      <x:c r="P78" s="54" t="n">
        <x:f>MIN(N78,ROUND(N78*O78,0))</x:f>
        <x:v>7</x:v>
      </x:c>
      <x:c r="Q78" s="54" t="n">
        <x:f>N78-P78</x:f>
        <x:v>229</x:v>
      </x:c>
      <x:c r="R78" s="54" t="n">
        <x:v>102</x:v>
      </x:c>
      <x:c r="S78" s="54" t="n">
        <x:f>MIN(F78,MAX(0,ROUND(D78+R78-V78,0)))</x:f>
        <x:v>915</x:v>
      </x:c>
      <x:c r="T78" s="52" t="n">
        <x:v>1.0069174351736285</x:v>
      </x:c>
      <x:c r="U78" s="54" t="n">
        <x:f>MIN(F78,MAX(0,ROUND(S78*T78,0)))</x:f>
        <x:v>921</x:v>
      </x:c>
      <x:c r="V78" s="54" t="n">
        <x:f>AB73</x:f>
        <x:v>41</x:v>
      </x:c>
      <x:c r="W78" s="54" t="n">
        <x:f>U78+V78</x:f>
        <x:v>962</x:v>
      </x:c>
      <x:c r="X78" s="54" t="n">
        <x:f>MIN(E78,W78)</x:f>
        <x:v>962</x:v>
      </x:c>
      <x:c r="Y78" s="54" t="n">
        <x:f>MAX(E78-W78,0)</x:f>
        <x:v>8</x:v>
      </x:c>
      <x:c r="Z78" s="54" t="n">
        <x:f>MAX(W78-X78,0)</x:f>
        <x:v>0</x:v>
      </x:c>
      <x:c r="AA78" s="54" t="n">
        <x:f>MIN(Z78,ROUND(Z78*O78,0))</x:f>
        <x:v>0</x:v>
      </x:c>
      <x:c r="AB78" s="54" t="n">
        <x:f>Z78-AA78</x:f>
        <x:v>0</x:v>
      </x:c>
      <x:c r="AC78" s="52" t="n">
        <x:f>IFERROR(ABS(E78-D78)/E78,0)</x:f>
        <x:v>0.11958762886597939</x:v>
      </x:c>
      <x:c r="AD78" s="52" t="n">
        <x:f>IFERROR(L78/E78,1)</x:f>
        <x:v>1</x:v>
      </x:c>
      <x:c r="AE78" s="52" t="n">
        <x:f>IFERROR(X78/E78,1)</x:f>
        <x:v>0.9917525773195877</x:v>
      </x:c>
      <x:c r="AF78" s="52" t="n">
        <x:f>IFERROR(I78/F78,0)</x:f>
        <x:v>0.6975</x:v>
      </x:c>
      <x:c r="AG78" s="52" t="n">
        <x:f>IFERROR(U78/F78,0)</x:f>
        <x:v>0.7675</x:v>
      </x:c>
    </x:row>
    <x:row r="79">
      <x:c r="A79" s="50" t="n">
        <x:v>46177</x:v>
      </x:c>
      <x:c r="B79" s="48" t="str">
        <x:v>Curd</x:v>
      </x:c>
      <x:c r="C79" s="48" t="n">
        <x:v>7</x:v>
      </x:c>
      <x:c r="D79" s="54" t="n">
        <x:v>503</x:v>
      </x:c>
      <x:c r="E79" s="54" t="n">
        <x:v>482</x:v>
      </x:c>
      <x:c r="F79" s="54" t="n">
        <x:v>700</x:v>
      </x:c>
      <x:c r="G79" s="54" t="n">
        <x:f>ROUND(D79*0.97,0)</x:f>
        <x:v>488</x:v>
      </x:c>
      <x:c r="H79" s="52" t="n">
        <x:v>1.0069033335703363</x:v>
      </x:c>
      <x:c r="I79" s="54" t="n">
        <x:f>MIN(F79,ROUND(G79*H79,0))</x:f>
        <x:v>491</x:v>
      </x:c>
      <x:c r="J79" s="54" t="n">
        <x:f>Q74</x:f>
        <x:v>0</x:v>
      </x:c>
      <x:c r="K79" s="54" t="n">
        <x:f>I79+J79</x:f>
        <x:v>491</x:v>
      </x:c>
      <x:c r="L79" s="54" t="n">
        <x:f>MIN(E79,K79)</x:f>
        <x:v>482</x:v>
      </x:c>
      <x:c r="M79" s="54" t="n">
        <x:f>MAX(E79-K79,0)</x:f>
        <x:v>0</x:v>
      </x:c>
      <x:c r="N79" s="54" t="n">
        <x:f>MAX(K79-L79,0)</x:f>
        <x:v>9</x:v>
      </x:c>
      <x:c r="O79" s="52" t="n">
        <x:v>0.018</x:v>
      </x:c>
      <x:c r="P79" s="54" t="n">
        <x:f>MIN(N79,ROUND(N79*O79,0))</x:f>
        <x:v>0</x:v>
      </x:c>
      <x:c r="Q79" s="54" t="n">
        <x:f>N79-P79</x:f>
        <x:v>9</x:v>
      </x:c>
      <x:c r="R79" s="54" t="n">
        <x:v>91</x:v>
      </x:c>
      <x:c r="S79" s="54" t="n">
        <x:f>MIN(F79,MAX(0,ROUND(D79+R79-V79,0)))</x:f>
        <x:v>517</x:v>
      </x:c>
      <x:c r="T79" s="52" t="n">
        <x:v>1.0183107169296843</x:v>
      </x:c>
      <x:c r="U79" s="54" t="n">
        <x:f>MIN(F79,MAX(0,ROUND(S79*T79,0)))</x:f>
        <x:v>526</x:v>
      </x:c>
      <x:c r="V79" s="54" t="n">
        <x:f>AB74</x:f>
        <x:v>77</x:v>
      </x:c>
      <x:c r="W79" s="54" t="n">
        <x:f>U79+V79</x:f>
        <x:v>603</x:v>
      </x:c>
      <x:c r="X79" s="54" t="n">
        <x:f>MIN(E79,W79)</x:f>
        <x:v>482</x:v>
      </x:c>
      <x:c r="Y79" s="54" t="n">
        <x:f>MAX(E79-W79,0)</x:f>
        <x:v>0</x:v>
      </x:c>
      <x:c r="Z79" s="54" t="n">
        <x:f>MAX(W79-X79,0)</x:f>
        <x:v>121</x:v>
      </x:c>
      <x:c r="AA79" s="54" t="n">
        <x:f>MIN(Z79,ROUND(Z79*O79,0))</x:f>
        <x:v>2</x:v>
      </x:c>
      <x:c r="AB79" s="54" t="n">
        <x:f>Z79-AA79</x:f>
        <x:v>119</x:v>
      </x:c>
      <x:c r="AC79" s="52" t="n">
        <x:f>IFERROR(ABS(E79-D79)/E79,0)</x:f>
        <x:v>0.043568464730290454</x:v>
      </x:c>
      <x:c r="AD79" s="52" t="n">
        <x:f>IFERROR(L79/E79,1)</x:f>
        <x:v>1</x:v>
      </x:c>
      <x:c r="AE79" s="52" t="n">
        <x:f>IFERROR(X79/E79,1)</x:f>
        <x:v>1</x:v>
      </x:c>
      <x:c r="AF79" s="52" t="n">
        <x:f>IFERROR(I79/F79,0)</x:f>
        <x:v>0.7014285714285714</x:v>
      </x:c>
      <x:c r="AG79" s="52" t="n">
        <x:f>IFERROR(U79/F79,0)</x:f>
        <x:v>0.7514285714285714</x:v>
      </x:c>
    </x:row>
    <x:row r="80">
      <x:c r="A80" s="50" t="n">
        <x:v>46177</x:v>
      </x:c>
      <x:c r="B80" s="48" t="str">
        <x:v>Lassi</x:v>
      </x:c>
      <x:c r="C80" s="48" t="n">
        <x:v>7</x:v>
      </x:c>
      <x:c r="D80" s="54" t="n">
        <x:v>402</x:v>
      </x:c>
      <x:c r="E80" s="54" t="n">
        <x:v>431</x:v>
      </x:c>
      <x:c r="F80" s="54" t="n">
        <x:v>560</x:v>
      </x:c>
      <x:c r="G80" s="54" t="n">
        <x:f>ROUND(D80*0.97,0)</x:f>
        <x:v>390</x:v>
      </x:c>
      <x:c r="H80" s="52" t="n">
        <x:v>0.9813504906562245</x:v>
      </x:c>
      <x:c r="I80" s="54" t="n">
        <x:f>MIN(F80,ROUND(G80*H80,0))</x:f>
        <x:v>383</x:v>
      </x:c>
      <x:c r="J80" s="54" t="n">
        <x:f>Q75</x:f>
        <x:v>0</x:v>
      </x:c>
      <x:c r="K80" s="54" t="n">
        <x:f>I80+J80</x:f>
        <x:v>383</x:v>
      </x:c>
      <x:c r="L80" s="54" t="n">
        <x:f>MIN(E80,K80)</x:f>
        <x:v>383</x:v>
      </x:c>
      <x:c r="M80" s="54" t="n">
        <x:f>MAX(E80-K80,0)</x:f>
        <x:v>48</x:v>
      </x:c>
      <x:c r="N80" s="54" t="n">
        <x:f>MAX(K80-L80,0)</x:f>
        <x:v>0</x:v>
      </x:c>
      <x:c r="O80" s="52" t="n">
        <x:v>0.02</x:v>
      </x:c>
      <x:c r="P80" s="54" t="n">
        <x:f>MIN(N80,ROUND(N80*O80,0))</x:f>
        <x:v>0</x:v>
      </x:c>
      <x:c r="Q80" s="54" t="n">
        <x:f>N80-P80</x:f>
        <x:v>0</x:v>
      </x:c>
      <x:c r="R80" s="54" t="n">
        <x:v>72</x:v>
      </x:c>
      <x:c r="S80" s="54" t="n">
        <x:f>MIN(F80,MAX(0,ROUND(D80+R80-V80,0)))</x:f>
        <x:v>415</x:v>
      </x:c>
      <x:c r="T80" s="52" t="n">
        <x:v>0.9897080231830137</x:v>
      </x:c>
      <x:c r="U80" s="54" t="n">
        <x:f>MIN(F80,MAX(0,ROUND(S80*T80,0)))</x:f>
        <x:v>411</x:v>
      </x:c>
      <x:c r="V80" s="54" t="n">
        <x:f>AB75</x:f>
        <x:v>59</x:v>
      </x:c>
      <x:c r="W80" s="54" t="n">
        <x:f>U80+V80</x:f>
        <x:v>470</x:v>
      </x:c>
      <x:c r="X80" s="54" t="n">
        <x:f>MIN(E80,W80)</x:f>
        <x:v>431</x:v>
      </x:c>
      <x:c r="Y80" s="54" t="n">
        <x:f>MAX(E80-W80,0)</x:f>
        <x:v>0</x:v>
      </x:c>
      <x:c r="Z80" s="54" t="n">
        <x:f>MAX(W80-X80,0)</x:f>
        <x:v>39</x:v>
      </x:c>
      <x:c r="AA80" s="54" t="n">
        <x:f>MIN(Z80,ROUND(Z80*O80,0))</x:f>
        <x:v>1</x:v>
      </x:c>
      <x:c r="AB80" s="54" t="n">
        <x:f>Z80-AA80</x:f>
        <x:v>38</x:v>
      </x:c>
      <x:c r="AC80" s="52" t="n">
        <x:f>IFERROR(ABS(E80-D80)/E80,0)</x:f>
        <x:v>0.06728538283062645</x:v>
      </x:c>
      <x:c r="AD80" s="52" t="n">
        <x:f>IFERROR(L80/E80,1)</x:f>
        <x:v>0.888631090487239</x:v>
      </x:c>
      <x:c r="AE80" s="52" t="n">
        <x:f>IFERROR(X80/E80,1)</x:f>
        <x:v>1</x:v>
      </x:c>
      <x:c r="AF80" s="52" t="n">
        <x:f>IFERROR(I80/F80,0)</x:f>
        <x:v>0.6839285714285714</x:v>
      </x:c>
      <x:c r="AG80" s="52" t="n">
        <x:f>IFERROR(U80/F80,0)</x:f>
        <x:v>0.7339285714285714</x:v>
      </x:c>
    </x:row>
    <x:row r="81">
      <x:c r="A81" s="50" t="n">
        <x:v>46177</x:v>
      </x:c>
      <x:c r="B81" s="48" t="str">
        <x:v>Paneer</x:v>
      </x:c>
      <x:c r="C81" s="48" t="n">
        <x:v>5</x:v>
      </x:c>
      <x:c r="D81" s="54" t="n">
        <x:v>161</x:v>
      </x:c>
      <x:c r="E81" s="54" t="n">
        <x:v>189</x:v>
      </x:c>
      <x:c r="F81" s="54" t="n">
        <x:v>230</x:v>
      </x:c>
      <x:c r="G81" s="54" t="n">
        <x:f>ROUND(D81*0.97,0)</x:f>
        <x:v>156</x:v>
      </x:c>
      <x:c r="H81" s="52" t="n">
        <x:v>1.00611105863291</x:v>
      </x:c>
      <x:c r="I81" s="54" t="n">
        <x:f>MIN(F81,ROUND(G81*H81,0))</x:f>
        <x:v>157</x:v>
      </x:c>
      <x:c r="J81" s="54" t="n">
        <x:f>Q76</x:f>
        <x:v>0</x:v>
      </x:c>
      <x:c r="K81" s="54" t="n">
        <x:f>I81+J81</x:f>
        <x:v>157</x:v>
      </x:c>
      <x:c r="L81" s="54" t="n">
        <x:f>MIN(E81,K81)</x:f>
        <x:v>157</x:v>
      </x:c>
      <x:c r="M81" s="54" t="n">
        <x:f>MAX(E81-K81,0)</x:f>
        <x:v>32</x:v>
      </x:c>
      <x:c r="N81" s="54" t="n">
        <x:f>MAX(K81-L81,0)</x:f>
        <x:v>0</x:v>
      </x:c>
      <x:c r="O81" s="52" t="n">
        <x:v>0.025</x:v>
      </x:c>
      <x:c r="P81" s="54" t="n">
        <x:f>MIN(N81,ROUND(N81*O81,0))</x:f>
        <x:v>0</x:v>
      </x:c>
      <x:c r="Q81" s="54" t="n">
        <x:f>N81-P81</x:f>
        <x:v>0</x:v>
      </x:c>
      <x:c r="R81" s="54" t="n">
        <x:v>32</x:v>
      </x:c>
      <x:c r="S81" s="54" t="n">
        <x:f>MIN(F81,MAX(0,ROUND(D81+R81-V81,0)))</x:f>
        <x:v>189</x:v>
      </x:c>
      <x:c r="T81" s="52" t="n">
        <x:v>0.9887358146932606</x:v>
      </x:c>
      <x:c r="U81" s="54" t="n">
        <x:f>MIN(F81,MAX(0,ROUND(S81*T81,0)))</x:f>
        <x:v>187</x:v>
      </x:c>
      <x:c r="V81" s="54" t="n">
        <x:f>AB76</x:f>
        <x:v>4</x:v>
      </x:c>
      <x:c r="W81" s="54" t="n">
        <x:f>U81+V81</x:f>
        <x:v>191</x:v>
      </x:c>
      <x:c r="X81" s="54" t="n">
        <x:f>MIN(E81,W81)</x:f>
        <x:v>189</x:v>
      </x:c>
      <x:c r="Y81" s="54" t="n">
        <x:f>MAX(E81-W81,0)</x:f>
        <x:v>0</x:v>
      </x:c>
      <x:c r="Z81" s="54" t="n">
        <x:f>MAX(W81-X81,0)</x:f>
        <x:v>2</x:v>
      </x:c>
      <x:c r="AA81" s="54" t="n">
        <x:f>MIN(Z81,ROUND(Z81*O81,0))</x:f>
        <x:v>0</x:v>
      </x:c>
      <x:c r="AB81" s="54" t="n">
        <x:f>Z81-AA81</x:f>
        <x:v>2</x:v>
      </x:c>
      <x:c r="AC81" s="52" t="n">
        <x:f>IFERROR(ABS(E81-D81)/E81,0)</x:f>
        <x:v>0.14814814814814814</x:v>
      </x:c>
      <x:c r="AD81" s="52" t="n">
        <x:f>IFERROR(L81/E81,1)</x:f>
        <x:v>0.8306878306878307</x:v>
      </x:c>
      <x:c r="AE81" s="52" t="n">
        <x:f>IFERROR(X81/E81,1)</x:f>
        <x:v>1</x:v>
      </x:c>
      <x:c r="AF81" s="52" t="n">
        <x:f>IFERROR(I81/F81,0)</x:f>
        <x:v>0.6826086956521739</x:v>
      </x:c>
      <x:c r="AG81" s="52" t="n">
        <x:f>IFERROR(U81/F81,0)</x:f>
        <x:v>0.8130434782608695</x:v>
      </x:c>
    </x:row>
    <x:row r="82">
      <x:c r="A82" s="50" t="n">
        <x:v>46178</x:v>
      </x:c>
      <x:c r="B82" s="48" t="str">
        <x:v>Toned Milk</x:v>
      </x:c>
      <x:c r="C82" s="48" t="n">
        <x:v>2</x:v>
      </x:c>
      <x:c r="D82" s="54" t="n">
        <x:v>1778</x:v>
      </x:c>
      <x:c r="E82" s="54" t="n">
        <x:v>2084</x:v>
      </x:c>
      <x:c r="F82" s="54" t="n">
        <x:v>2250</x:v>
      </x:c>
      <x:c r="G82" s="54" t="n">
        <x:f>ROUND(D82*0.97,0)</x:f>
        <x:v>1725</x:v>
      </x:c>
      <x:c r="H82" s="52" t="n">
        <x:v>1.0008781121978818</x:v>
      </x:c>
      <x:c r="I82" s="54" t="n">
        <x:f>MIN(F82,ROUND(G82*H82,0))</x:f>
        <x:v>1727</x:v>
      </x:c>
      <x:c r="J82" s="54" t="n">
        <x:f>Q77</x:f>
        <x:v>908</x:v>
      </x:c>
      <x:c r="K82" s="54" t="n">
        <x:f>I82+J82</x:f>
        <x:v>2635</x:v>
      </x:c>
      <x:c r="L82" s="54" t="n">
        <x:f>MIN(E82,K82)</x:f>
        <x:v>2084</x:v>
      </x:c>
      <x:c r="M82" s="54" t="n">
        <x:f>MAX(E82-K82,0)</x:f>
        <x:v>0</x:v>
      </x:c>
      <x:c r="N82" s="54" t="n">
        <x:f>MAX(K82-L82,0)</x:f>
        <x:v>551</x:v>
      </x:c>
      <x:c r="O82" s="52" t="n">
        <x:v>0.025</x:v>
      </x:c>
      <x:c r="P82" s="54" t="n">
        <x:f>MIN(N82,ROUND(N82*O82,0))</x:f>
        <x:v>14</x:v>
      </x:c>
      <x:c r="Q82" s="54" t="n">
        <x:f>N82-P82</x:f>
        <x:v>537</x:v>
      </x:c>
      <x:c r="R82" s="54" t="n">
        <x:v>213</x:v>
      </x:c>
      <x:c r="S82" s="54" t="n">
        <x:f>MIN(F82,MAX(0,ROUND(D82+R82-V82,0)))</x:f>
        <x:v>1564</x:v>
      </x:c>
      <x:c r="T82" s="52" t="n">
        <x:v>0.9800316635259704</x:v>
      </x:c>
      <x:c r="U82" s="54" t="n">
        <x:f>MIN(F82,MAX(0,ROUND(S82*T82,0)))</x:f>
        <x:v>1533</x:v>
      </x:c>
      <x:c r="V82" s="54" t="n">
        <x:f>AB77</x:f>
        <x:v>427</x:v>
      </x:c>
      <x:c r="W82" s="54" t="n">
        <x:f>U82+V82</x:f>
        <x:v>1960</x:v>
      </x:c>
      <x:c r="X82" s="54" t="n">
        <x:f>MIN(E82,W82)</x:f>
        <x:v>1960</x:v>
      </x:c>
      <x:c r="Y82" s="54" t="n">
        <x:f>MAX(E82-W82,0)</x:f>
        <x:v>124</x:v>
      </x:c>
      <x:c r="Z82" s="54" t="n">
        <x:f>MAX(W82-X82,0)</x:f>
        <x:v>0</x:v>
      </x:c>
      <x:c r="AA82" s="54" t="n">
        <x:f>MIN(Z82,ROUND(Z82*O82,0))</x:f>
        <x:v>0</x:v>
      </x:c>
      <x:c r="AB82" s="54" t="n">
        <x:f>Z82-AA82</x:f>
        <x:v>0</x:v>
      </x:c>
      <x:c r="AC82" s="52" t="n">
        <x:f>IFERROR(ABS(E82-D82)/E82,0)</x:f>
        <x:v>0.14683301343570057</x:v>
      </x:c>
      <x:c r="AD82" s="52" t="n">
        <x:f>IFERROR(L82/E82,1)</x:f>
        <x:v>1</x:v>
      </x:c>
      <x:c r="AE82" s="52" t="n">
        <x:f>IFERROR(X82/E82,1)</x:f>
        <x:v>0.9404990403071017</x:v>
      </x:c>
      <x:c r="AF82" s="52" t="n">
        <x:f>IFERROR(I82/F82,0)</x:f>
        <x:v>0.7675555555555555</x:v>
      </x:c>
      <x:c r="AG82" s="52" t="n">
        <x:f>IFERROR(U82/F82,0)</x:f>
        <x:v>0.6813333333333333</x:v>
      </x:c>
    </x:row>
    <x:row r="83">
      <x:c r="A83" s="50" t="n">
        <x:v>46178</x:v>
      </x:c>
      <x:c r="B83" s="48" t="str">
        <x:v>Full Cream Milk</x:v>
      </x:c>
      <x:c r="C83" s="48" t="n">
        <x:v>2</x:v>
      </x:c>
      <x:c r="D83" s="54" t="n">
        <x:v>889</x:v>
      </x:c>
      <x:c r="E83" s="54" t="n">
        <x:v>869</x:v>
      </x:c>
      <x:c r="F83" s="54" t="n">
        <x:v>1200</x:v>
      </x:c>
      <x:c r="G83" s="54" t="n">
        <x:f>ROUND(D83*0.97,0)</x:f>
        <x:v>862</x:v>
      </x:c>
      <x:c r="H83" s="52" t="n">
        <x:v>1.0196357278642205</x:v>
      </x:c>
      <x:c r="I83" s="54" t="n">
        <x:f>MIN(F83,ROUND(G83*H83,0))</x:f>
        <x:v>879</x:v>
      </x:c>
      <x:c r="J83" s="54" t="n">
        <x:f>Q78</x:f>
        <x:v>229</x:v>
      </x:c>
      <x:c r="K83" s="54" t="n">
        <x:f>I83+J83</x:f>
        <x:v>1108</x:v>
      </x:c>
      <x:c r="L83" s="54" t="n">
        <x:f>MIN(E83,K83)</x:f>
        <x:v>869</x:v>
      </x:c>
      <x:c r="M83" s="54" t="n">
        <x:f>MAX(E83-K83,0)</x:f>
        <x:v>0</x:v>
      </x:c>
      <x:c r="N83" s="54" t="n">
        <x:f>MAX(K83-L83,0)</x:f>
        <x:v>239</x:v>
      </x:c>
      <x:c r="O83" s="52" t="n">
        <x:v>0.03</x:v>
      </x:c>
      <x:c r="P83" s="54" t="n">
        <x:f>MIN(N83,ROUND(N83*O83,0))</x:f>
        <x:v>7</x:v>
      </x:c>
      <x:c r="Q83" s="54" t="n">
        <x:f>N83-P83</x:f>
        <x:v>232</x:v>
      </x:c>
      <x:c r="R83" s="54" t="n">
        <x:v>107</x:v>
      </x:c>
      <x:c r="S83" s="54" t="n">
        <x:f>MIN(F83,MAX(0,ROUND(D83+R83-V83,0)))</x:f>
        <x:v>996</x:v>
      </x:c>
      <x:c r="T83" s="52" t="n">
        <x:v>1.0067665633355996</x:v>
      </x:c>
      <x:c r="U83" s="54" t="n">
        <x:f>MIN(F83,MAX(0,ROUND(S83*T83,0)))</x:f>
        <x:v>1003</x:v>
      </x:c>
      <x:c r="V83" s="54" t="n">
        <x:f>AB78</x:f>
        <x:v>0</x:v>
      </x:c>
      <x:c r="W83" s="54" t="n">
        <x:f>U83+V83</x:f>
        <x:v>1003</x:v>
      </x:c>
      <x:c r="X83" s="54" t="n">
        <x:f>MIN(E83,W83)</x:f>
        <x:v>869</x:v>
      </x:c>
      <x:c r="Y83" s="54" t="n">
        <x:f>MAX(E83-W83,0)</x:f>
        <x:v>0</x:v>
      </x:c>
      <x:c r="Z83" s="54" t="n">
        <x:f>MAX(W83-X83,0)</x:f>
        <x:v>134</x:v>
      </x:c>
      <x:c r="AA83" s="54" t="n">
        <x:f>MIN(Z83,ROUND(Z83*O83,0))</x:f>
        <x:v>4</x:v>
      </x:c>
      <x:c r="AB83" s="54" t="n">
        <x:f>Z83-AA83</x:f>
        <x:v>130</x:v>
      </x:c>
      <x:c r="AC83" s="52" t="n">
        <x:f>IFERROR(ABS(E83-D83)/E83,0)</x:f>
        <x:v>0.023014959723820484</x:v>
      </x:c>
      <x:c r="AD83" s="52" t="n">
        <x:f>IFERROR(L83/E83,1)</x:f>
        <x:v>1</x:v>
      </x:c>
      <x:c r="AE83" s="52" t="n">
        <x:f>IFERROR(X83/E83,1)</x:f>
        <x:v>1</x:v>
      </x:c>
      <x:c r="AF83" s="52" t="n">
        <x:f>IFERROR(I83/F83,0)</x:f>
        <x:v>0.7325</x:v>
      </x:c>
      <x:c r="AG83" s="52" t="n">
        <x:f>IFERROR(U83/F83,0)</x:f>
        <x:v>0.8358333333333333</x:v>
      </x:c>
    </x:row>
    <x:row r="84">
      <x:c r="A84" s="50" t="n">
        <x:v>46178</x:v>
      </x:c>
      <x:c r="B84" s="48" t="str">
        <x:v>Curd</x:v>
      </x:c>
      <x:c r="C84" s="48" t="n">
        <x:v>7</x:v>
      </x:c>
      <x:c r="D84" s="54" t="n">
        <x:v>523</x:v>
      </x:c>
      <x:c r="E84" s="54" t="n">
        <x:v>461</x:v>
      </x:c>
      <x:c r="F84" s="54" t="n">
        <x:v>700</x:v>
      </x:c>
      <x:c r="G84" s="54" t="n">
        <x:f>ROUND(D84*0.97,0)</x:f>
        <x:v>507</x:v>
      </x:c>
      <x:c r="H84" s="52" t="n">
        <x:v>0.9975866438448807</x:v>
      </x:c>
      <x:c r="I84" s="54" t="n">
        <x:f>MIN(F84,ROUND(G84*H84,0))</x:f>
        <x:v>506</x:v>
      </x:c>
      <x:c r="J84" s="54" t="n">
        <x:f>Q79</x:f>
        <x:v>9</x:v>
      </x:c>
      <x:c r="K84" s="54" t="n">
        <x:f>I84+J84</x:f>
        <x:v>515</x:v>
      </x:c>
      <x:c r="L84" s="54" t="n">
        <x:f>MIN(E84,K84)</x:f>
        <x:v>461</x:v>
      </x:c>
      <x:c r="M84" s="54" t="n">
        <x:f>MAX(E84-K84,0)</x:f>
        <x:v>0</x:v>
      </x:c>
      <x:c r="N84" s="54" t="n">
        <x:f>MAX(K84-L84,0)</x:f>
        <x:v>54</x:v>
      </x:c>
      <x:c r="O84" s="52" t="n">
        <x:v>0.018</x:v>
      </x:c>
      <x:c r="P84" s="54" t="n">
        <x:f>MIN(N84,ROUND(N84*O84,0))</x:f>
        <x:v>1</x:v>
      </x:c>
      <x:c r="Q84" s="54" t="n">
        <x:f>N84-P84</x:f>
        <x:v>53</x:v>
      </x:c>
      <x:c r="R84" s="54" t="n">
        <x:v>94</x:v>
      </x:c>
      <x:c r="S84" s="54" t="n">
        <x:f>MIN(F84,MAX(0,ROUND(D84+R84-V84,0)))</x:f>
        <x:v>498</x:v>
      </x:c>
      <x:c r="T84" s="52" t="n">
        <x:v>1.0020938351908053</x:v>
      </x:c>
      <x:c r="U84" s="54" t="n">
        <x:f>MIN(F84,MAX(0,ROUND(S84*T84,0)))</x:f>
        <x:v>499</x:v>
      </x:c>
      <x:c r="V84" s="54" t="n">
        <x:f>AB79</x:f>
        <x:v>119</x:v>
      </x:c>
      <x:c r="W84" s="54" t="n">
        <x:f>U84+V84</x:f>
        <x:v>618</x:v>
      </x:c>
      <x:c r="X84" s="54" t="n">
        <x:f>MIN(E84,W84)</x:f>
        <x:v>461</x:v>
      </x:c>
      <x:c r="Y84" s="54" t="n">
        <x:f>MAX(E84-W84,0)</x:f>
        <x:v>0</x:v>
      </x:c>
      <x:c r="Z84" s="54" t="n">
        <x:f>MAX(W84-X84,0)</x:f>
        <x:v>157</x:v>
      </x:c>
      <x:c r="AA84" s="54" t="n">
        <x:f>MIN(Z84,ROUND(Z84*O84,0))</x:f>
        <x:v>3</x:v>
      </x:c>
      <x:c r="AB84" s="54" t="n">
        <x:f>Z84-AA84</x:f>
        <x:v>154</x:v>
      </x:c>
      <x:c r="AC84" s="52" t="n">
        <x:f>IFERROR(ABS(E84-D84)/E84,0)</x:f>
        <x:v>0.13449023861171366</x:v>
      </x:c>
      <x:c r="AD84" s="52" t="n">
        <x:f>IFERROR(L84/E84,1)</x:f>
        <x:v>1</x:v>
      </x:c>
      <x:c r="AE84" s="52" t="n">
        <x:f>IFERROR(X84/E84,1)</x:f>
        <x:v>1</x:v>
      </x:c>
      <x:c r="AF84" s="52" t="n">
        <x:f>IFERROR(I84/F84,0)</x:f>
        <x:v>0.7228571428571429</x:v>
      </x:c>
      <x:c r="AG84" s="52" t="n">
        <x:f>IFERROR(U84/F84,0)</x:f>
        <x:v>0.7128571428571429</x:v>
      </x:c>
    </x:row>
    <x:row r="85">
      <x:c r="A85" s="50" t="n">
        <x:v>46178</x:v>
      </x:c>
      <x:c r="B85" s="48" t="str">
        <x:v>Lassi</x:v>
      </x:c>
      <x:c r="C85" s="48" t="n">
        <x:v>7</x:v>
      </x:c>
      <x:c r="D85" s="54" t="n">
        <x:v>418</x:v>
      </x:c>
      <x:c r="E85" s="54" t="n">
        <x:v>388</x:v>
      </x:c>
      <x:c r="F85" s="54" t="n">
        <x:v>560</x:v>
      </x:c>
      <x:c r="G85" s="54" t="n">
        <x:f>ROUND(D85*0.97,0)</x:f>
        <x:v>405</x:v>
      </x:c>
      <x:c r="H85" s="52" t="n">
        <x:v>1.0168623087327944</x:v>
      </x:c>
      <x:c r="I85" s="54" t="n">
        <x:f>MIN(F85,ROUND(G85*H85,0))</x:f>
        <x:v>412</x:v>
      </x:c>
      <x:c r="J85" s="54" t="n">
        <x:f>Q80</x:f>
        <x:v>0</x:v>
      </x:c>
      <x:c r="K85" s="54" t="n">
        <x:f>I85+J85</x:f>
        <x:v>412</x:v>
      </x:c>
      <x:c r="L85" s="54" t="n">
        <x:f>MIN(E85,K85)</x:f>
        <x:v>388</x:v>
      </x:c>
      <x:c r="M85" s="54" t="n">
        <x:f>MAX(E85-K85,0)</x:f>
        <x:v>0</x:v>
      </x:c>
      <x:c r="N85" s="54" t="n">
        <x:f>MAX(K85-L85,0)</x:f>
        <x:v>24</x:v>
      </x:c>
      <x:c r="O85" s="52" t="n">
        <x:v>0.02</x:v>
      </x:c>
      <x:c r="P85" s="54" t="n">
        <x:f>MIN(N85,ROUND(N85*O85,0))</x:f>
        <x:v>0</x:v>
      </x:c>
      <x:c r="Q85" s="54" t="n">
        <x:f>N85-P85</x:f>
        <x:v>24</x:v>
      </x:c>
      <x:c r="R85" s="54" t="n">
        <x:v>75</x:v>
      </x:c>
      <x:c r="S85" s="54" t="n">
        <x:f>MIN(F85,MAX(0,ROUND(D85+R85-V85,0)))</x:f>
        <x:v>455</x:v>
      </x:c>
      <x:c r="T85" s="52" t="n">
        <x:v>0.9887150179127803</x:v>
      </x:c>
      <x:c r="U85" s="54" t="n">
        <x:f>MIN(F85,MAX(0,ROUND(S85*T85,0)))</x:f>
        <x:v>450</x:v>
      </x:c>
      <x:c r="V85" s="54" t="n">
        <x:f>AB80</x:f>
        <x:v>38</x:v>
      </x:c>
      <x:c r="W85" s="54" t="n">
        <x:f>U85+V85</x:f>
        <x:v>488</x:v>
      </x:c>
      <x:c r="X85" s="54" t="n">
        <x:f>MIN(E85,W85)</x:f>
        <x:v>388</x:v>
      </x:c>
      <x:c r="Y85" s="54" t="n">
        <x:f>MAX(E85-W85,0)</x:f>
        <x:v>0</x:v>
      </x:c>
      <x:c r="Z85" s="54" t="n">
        <x:f>MAX(W85-X85,0)</x:f>
        <x:v>100</x:v>
      </x:c>
      <x:c r="AA85" s="54" t="n">
        <x:f>MIN(Z85,ROUND(Z85*O85,0))</x:f>
        <x:v>2</x:v>
      </x:c>
      <x:c r="AB85" s="54" t="n">
        <x:f>Z85-AA85</x:f>
        <x:v>98</x:v>
      </x:c>
      <x:c r="AC85" s="52" t="n">
        <x:f>IFERROR(ABS(E85-D85)/E85,0)</x:f>
        <x:v>0.07731958762886598</x:v>
      </x:c>
      <x:c r="AD85" s="52" t="n">
        <x:f>IFERROR(L85/E85,1)</x:f>
        <x:v>1</x:v>
      </x:c>
      <x:c r="AE85" s="52" t="n">
        <x:f>IFERROR(X85/E85,1)</x:f>
        <x:v>1</x:v>
      </x:c>
      <x:c r="AF85" s="52" t="n">
        <x:f>IFERROR(I85/F85,0)</x:f>
        <x:v>0.7357142857142858</x:v>
      </x:c>
      <x:c r="AG85" s="52" t="n">
        <x:f>IFERROR(U85/F85,0)</x:f>
        <x:v>0.8035714285714286</x:v>
      </x:c>
    </x:row>
    <x:row r="86">
      <x:c r="A86" s="50" t="n">
        <x:v>46178</x:v>
      </x:c>
      <x:c r="B86" s="48" t="str">
        <x:v>Paneer</x:v>
      </x:c>
      <x:c r="C86" s="48" t="n">
        <x:v>5</x:v>
      </x:c>
      <x:c r="D86" s="54" t="n">
        <x:v>167</x:v>
      </x:c>
      <x:c r="E86" s="54" t="n">
        <x:v>143</x:v>
      </x:c>
      <x:c r="F86" s="54" t="n">
        <x:v>230</x:v>
      </x:c>
      <x:c r="G86" s="54" t="n">
        <x:f>ROUND(D86*0.97,0)</x:f>
        <x:v>162</x:v>
      </x:c>
      <x:c r="H86" s="52" t="n">
        <x:v>0.988351946944017</x:v>
      </x:c>
      <x:c r="I86" s="54" t="n">
        <x:f>MIN(F86,ROUND(G86*H86,0))</x:f>
        <x:v>160</x:v>
      </x:c>
      <x:c r="J86" s="54" t="n">
        <x:f>Q81</x:f>
        <x:v>0</x:v>
      </x:c>
      <x:c r="K86" s="54" t="n">
        <x:f>I86+J86</x:f>
        <x:v>160</x:v>
      </x:c>
      <x:c r="L86" s="54" t="n">
        <x:f>MIN(E86,K86)</x:f>
        <x:v>143</x:v>
      </x:c>
      <x:c r="M86" s="54" t="n">
        <x:f>MAX(E86-K86,0)</x:f>
        <x:v>0</x:v>
      </x:c>
      <x:c r="N86" s="54" t="n">
        <x:f>MAX(K86-L86,0)</x:f>
        <x:v>17</x:v>
      </x:c>
      <x:c r="O86" s="52" t="n">
        <x:v>0.025</x:v>
      </x:c>
      <x:c r="P86" s="54" t="n">
        <x:f>MIN(N86,ROUND(N86*O86,0))</x:f>
        <x:v>0</x:v>
      </x:c>
      <x:c r="Q86" s="54" t="n">
        <x:f>N86-P86</x:f>
        <x:v>17</x:v>
      </x:c>
      <x:c r="R86" s="54" t="n">
        <x:v>33</x:v>
      </x:c>
      <x:c r="S86" s="54" t="n">
        <x:f>MIN(F86,MAX(0,ROUND(D86+R86-V86,0)))</x:f>
        <x:v>198</x:v>
      </x:c>
      <x:c r="T86" s="52" t="n">
        <x:v>1.0112417072063342</x:v>
      </x:c>
      <x:c r="U86" s="54" t="n">
        <x:f>MIN(F86,MAX(0,ROUND(S86*T86,0)))</x:f>
        <x:v>200</x:v>
      </x:c>
      <x:c r="V86" s="54" t="n">
        <x:f>AB81</x:f>
        <x:v>2</x:v>
      </x:c>
      <x:c r="W86" s="54" t="n">
        <x:f>U86+V86</x:f>
        <x:v>202</x:v>
      </x:c>
      <x:c r="X86" s="54" t="n">
        <x:f>MIN(E86,W86)</x:f>
        <x:v>143</x:v>
      </x:c>
      <x:c r="Y86" s="54" t="n">
        <x:f>MAX(E86-W86,0)</x:f>
        <x:v>0</x:v>
      </x:c>
      <x:c r="Z86" s="54" t="n">
        <x:f>MAX(W86-X86,0)</x:f>
        <x:v>59</x:v>
      </x:c>
      <x:c r="AA86" s="54" t="n">
        <x:f>MIN(Z86,ROUND(Z86*O86,0))</x:f>
        <x:v>1</x:v>
      </x:c>
      <x:c r="AB86" s="54" t="n">
        <x:f>Z86-AA86</x:f>
        <x:v>58</x:v>
      </x:c>
      <x:c r="AC86" s="52" t="n">
        <x:f>IFERROR(ABS(E86-D86)/E86,0)</x:f>
        <x:v>0.16783216783216784</x:v>
      </x:c>
      <x:c r="AD86" s="52" t="n">
        <x:f>IFERROR(L86/E86,1)</x:f>
        <x:v>1</x:v>
      </x:c>
      <x:c r="AE86" s="52" t="n">
        <x:f>IFERROR(X86/E86,1)</x:f>
        <x:v>1</x:v>
      </x:c>
      <x:c r="AF86" s="52" t="n">
        <x:f>IFERROR(I86/F86,0)</x:f>
        <x:v>0.6956521739130435</x:v>
      </x:c>
      <x:c r="AG86" s="52" t="n">
        <x:f>IFERROR(U86/F86,0)</x:f>
        <x:v>0.8695652173913043</x:v>
      </x:c>
    </x:row>
    <x:row r="87">
      <x:c r="A87" s="50" t="n">
        <x:v>46179</x:v>
      </x:c>
      <x:c r="B87" s="48" t="str">
        <x:v>Toned Milk</x:v>
      </x:c>
      <x:c r="C87" s="48" t="n">
        <x:v>2</x:v>
      </x:c>
      <x:c r="D87" s="54" t="n">
        <x:v>1950</x:v>
      </x:c>
      <x:c r="E87" s="54" t="n">
        <x:v>1612</x:v>
      </x:c>
      <x:c r="F87" s="54" t="n">
        <x:v>2250</x:v>
      </x:c>
      <x:c r="G87" s="54" t="n">
        <x:f>ROUND(D87*0.97,0)</x:f>
        <x:v>1892</x:v>
      </x:c>
      <x:c r="H87" s="52" t="n">
        <x:v>1.018452361474803</x:v>
      </x:c>
      <x:c r="I87" s="54" t="n">
        <x:f>MIN(F87,ROUND(G87*H87,0))</x:f>
        <x:v>1927</x:v>
      </x:c>
      <x:c r="J87" s="54" t="n">
        <x:f>Q82</x:f>
        <x:v>537</x:v>
      </x:c>
      <x:c r="K87" s="54" t="n">
        <x:f>I87+J87</x:f>
        <x:v>2464</x:v>
      </x:c>
      <x:c r="L87" s="54" t="n">
        <x:f>MIN(E87,K87)</x:f>
        <x:v>1612</x:v>
      </x:c>
      <x:c r="M87" s="54" t="n">
        <x:f>MAX(E87-K87,0)</x:f>
        <x:v>0</x:v>
      </x:c>
      <x:c r="N87" s="54" t="n">
        <x:f>MAX(K87-L87,0)</x:f>
        <x:v>852</x:v>
      </x:c>
      <x:c r="O87" s="52" t="n">
        <x:v>0.025</x:v>
      </x:c>
      <x:c r="P87" s="54" t="n">
        <x:f>MIN(N87,ROUND(N87*O87,0))</x:f>
        <x:v>21</x:v>
      </x:c>
      <x:c r="Q87" s="54" t="n">
        <x:f>N87-P87</x:f>
        <x:v>831</x:v>
      </x:c>
      <x:c r="R87" s="54" t="n">
        <x:v>234</x:v>
      </x:c>
      <x:c r="S87" s="54" t="n">
        <x:f>MIN(F87,MAX(0,ROUND(D87+R87-V87,0)))</x:f>
        <x:v>2184</x:v>
      </x:c>
      <x:c r="T87" s="52" t="n">
        <x:v>1.0061889389952452</x:v>
      </x:c>
      <x:c r="U87" s="54" t="n">
        <x:f>MIN(F87,MAX(0,ROUND(S87*T87,0)))</x:f>
        <x:v>2198</x:v>
      </x:c>
      <x:c r="V87" s="54" t="n">
        <x:f>AB82</x:f>
        <x:v>0</x:v>
      </x:c>
      <x:c r="W87" s="54" t="n">
        <x:f>U87+V87</x:f>
        <x:v>2198</x:v>
      </x:c>
      <x:c r="X87" s="54" t="n">
        <x:f>MIN(E87,W87)</x:f>
        <x:v>1612</x:v>
      </x:c>
      <x:c r="Y87" s="54" t="n">
        <x:f>MAX(E87-W87,0)</x:f>
        <x:v>0</x:v>
      </x:c>
      <x:c r="Z87" s="54" t="n">
        <x:f>MAX(W87-X87,0)</x:f>
        <x:v>586</x:v>
      </x:c>
      <x:c r="AA87" s="54" t="n">
        <x:f>MIN(Z87,ROUND(Z87*O87,0))</x:f>
        <x:v>15</x:v>
      </x:c>
      <x:c r="AB87" s="54" t="n">
        <x:f>Z87-AA87</x:f>
        <x:v>571</x:v>
      </x:c>
      <x:c r="AC87" s="52" t="n">
        <x:f>IFERROR(ABS(E87-D87)/E87,0)</x:f>
        <x:v>0.20967741935483872</x:v>
      </x:c>
      <x:c r="AD87" s="52" t="n">
        <x:f>IFERROR(L87/E87,1)</x:f>
        <x:v>1</x:v>
      </x:c>
      <x:c r="AE87" s="52" t="n">
        <x:f>IFERROR(X87/E87,1)</x:f>
        <x:v>1</x:v>
      </x:c>
      <x:c r="AF87" s="52" t="n">
        <x:f>IFERROR(I87/F87,0)</x:f>
        <x:v>0.8564444444444445</x:v>
      </x:c>
      <x:c r="AG87" s="52" t="n">
        <x:f>IFERROR(U87/F87,0)</x:f>
        <x:v>0.9768888888888889</x:v>
      </x:c>
    </x:row>
    <x:row r="88">
      <x:c r="A88" s="50" t="n">
        <x:v>46179</x:v>
      </x:c>
      <x:c r="B88" s="48" t="str">
        <x:v>Full Cream Milk</x:v>
      </x:c>
      <x:c r="C88" s="48" t="n">
        <x:v>2</x:v>
      </x:c>
      <x:c r="D88" s="54" t="n">
        <x:v>975</x:v>
      </x:c>
      <x:c r="E88" s="54" t="n">
        <x:v>978</x:v>
      </x:c>
      <x:c r="F88" s="54" t="n">
        <x:v>1200</x:v>
      </x:c>
      <x:c r="G88" s="54" t="n">
        <x:f>ROUND(D88*0.97,0)</x:f>
        <x:v>946</x:v>
      </x:c>
      <x:c r="H88" s="52" t="n">
        <x:v>1.00577652270128</x:v>
      </x:c>
      <x:c r="I88" s="54" t="n">
        <x:f>MIN(F88,ROUND(G88*H88,0))</x:f>
        <x:v>951</x:v>
      </x:c>
      <x:c r="J88" s="54" t="n">
        <x:f>Q83</x:f>
        <x:v>232</x:v>
      </x:c>
      <x:c r="K88" s="54" t="n">
        <x:f>I88+J88</x:f>
        <x:v>1183</x:v>
      </x:c>
      <x:c r="L88" s="54" t="n">
        <x:f>MIN(E88,K88)</x:f>
        <x:v>978</x:v>
      </x:c>
      <x:c r="M88" s="54" t="n">
        <x:f>MAX(E88-K88,0)</x:f>
        <x:v>0</x:v>
      </x:c>
      <x:c r="N88" s="54" t="n">
        <x:f>MAX(K88-L88,0)</x:f>
        <x:v>205</x:v>
      </x:c>
      <x:c r="O88" s="52" t="n">
        <x:v>0.03</x:v>
      </x:c>
      <x:c r="P88" s="54" t="n">
        <x:f>MIN(N88,ROUND(N88*O88,0))</x:f>
        <x:v>6</x:v>
      </x:c>
      <x:c r="Q88" s="54" t="n">
        <x:f>N88-P88</x:f>
        <x:v>199</x:v>
      </x:c>
      <x:c r="R88" s="54" t="n">
        <x:v>117</x:v>
      </x:c>
      <x:c r="S88" s="54" t="n">
        <x:f>MIN(F88,MAX(0,ROUND(D88+R88-V88,0)))</x:f>
        <x:v>962</x:v>
      </x:c>
      <x:c r="T88" s="52" t="n">
        <x:v>1.0163726684923922</x:v>
      </x:c>
      <x:c r="U88" s="54" t="n">
        <x:f>MIN(F88,MAX(0,ROUND(S88*T88,0)))</x:f>
        <x:v>978</x:v>
      </x:c>
      <x:c r="V88" s="54" t="n">
        <x:f>AB83</x:f>
        <x:v>130</x:v>
      </x:c>
      <x:c r="W88" s="54" t="n">
        <x:f>U88+V88</x:f>
        <x:v>1108</x:v>
      </x:c>
      <x:c r="X88" s="54" t="n">
        <x:f>MIN(E88,W88)</x:f>
        <x:v>978</x:v>
      </x:c>
      <x:c r="Y88" s="54" t="n">
        <x:f>MAX(E88-W88,0)</x:f>
        <x:v>0</x:v>
      </x:c>
      <x:c r="Z88" s="54" t="n">
        <x:f>MAX(W88-X88,0)</x:f>
        <x:v>130</x:v>
      </x:c>
      <x:c r="AA88" s="54" t="n">
        <x:f>MIN(Z88,ROUND(Z88*O88,0))</x:f>
        <x:v>4</x:v>
      </x:c>
      <x:c r="AB88" s="54" t="n">
        <x:f>Z88-AA88</x:f>
        <x:v>126</x:v>
      </x:c>
      <x:c r="AC88" s="52" t="n">
        <x:f>IFERROR(ABS(E88-D88)/E88,0)</x:f>
        <x:v>0.003067484662576687</x:v>
      </x:c>
      <x:c r="AD88" s="52" t="n">
        <x:f>IFERROR(L88/E88,1)</x:f>
        <x:v>1</x:v>
      </x:c>
      <x:c r="AE88" s="52" t="n">
        <x:f>IFERROR(X88/E88,1)</x:f>
        <x:v>1</x:v>
      </x:c>
      <x:c r="AF88" s="52" t="n">
        <x:f>IFERROR(I88/F88,0)</x:f>
        <x:v>0.7925</x:v>
      </x:c>
      <x:c r="AG88" s="52" t="n">
        <x:f>IFERROR(U88/F88,0)</x:f>
        <x:v>0.815</x:v>
      </x:c>
    </x:row>
    <x:row r="89">
      <x:c r="A89" s="50" t="n">
        <x:v>46179</x:v>
      </x:c>
      <x:c r="B89" s="48" t="str">
        <x:v>Curd</x:v>
      </x:c>
      <x:c r="C89" s="48" t="n">
        <x:v>7</x:v>
      </x:c>
      <x:c r="D89" s="54" t="n">
        <x:v>573</x:v>
      </x:c>
      <x:c r="E89" s="54" t="n">
        <x:v>490</x:v>
      </x:c>
      <x:c r="F89" s="54" t="n">
        <x:v>700</x:v>
      </x:c>
      <x:c r="G89" s="54" t="n">
        <x:f>ROUND(D89*0.97,0)</x:f>
        <x:v>556</x:v>
      </x:c>
      <x:c r="H89" s="52" t="n">
        <x:v>1.009858364757339</x:v>
      </x:c>
      <x:c r="I89" s="54" t="n">
        <x:f>MIN(F89,ROUND(G89*H89,0))</x:f>
        <x:v>561</x:v>
      </x:c>
      <x:c r="J89" s="54" t="n">
        <x:f>Q84</x:f>
        <x:v>53</x:v>
      </x:c>
      <x:c r="K89" s="54" t="n">
        <x:f>I89+J89</x:f>
        <x:v>614</x:v>
      </x:c>
      <x:c r="L89" s="54" t="n">
        <x:f>MIN(E89,K89)</x:f>
        <x:v>490</x:v>
      </x:c>
      <x:c r="M89" s="54" t="n">
        <x:f>MAX(E89-K89,0)</x:f>
        <x:v>0</x:v>
      </x:c>
      <x:c r="N89" s="54" t="n">
        <x:f>MAX(K89-L89,0)</x:f>
        <x:v>124</x:v>
      </x:c>
      <x:c r="O89" s="52" t="n">
        <x:v>0.018</x:v>
      </x:c>
      <x:c r="P89" s="54" t="n">
        <x:f>MIN(N89,ROUND(N89*O89,0))</x:f>
        <x:v>2</x:v>
      </x:c>
      <x:c r="Q89" s="54" t="n">
        <x:f>N89-P89</x:f>
        <x:v>122</x:v>
      </x:c>
      <x:c r="R89" s="54" t="n">
        <x:v>103</x:v>
      </x:c>
      <x:c r="S89" s="54" t="n">
        <x:f>MIN(F89,MAX(0,ROUND(D89+R89-V89,0)))</x:f>
        <x:v>522</x:v>
      </x:c>
      <x:c r="T89" s="52" t="n">
        <x:v>1.0111497536046004</x:v>
      </x:c>
      <x:c r="U89" s="54" t="n">
        <x:f>MIN(F89,MAX(0,ROUND(S89*T89,0)))</x:f>
        <x:v>528</x:v>
      </x:c>
      <x:c r="V89" s="54" t="n">
        <x:f>AB84</x:f>
        <x:v>154</x:v>
      </x:c>
      <x:c r="W89" s="54" t="n">
        <x:f>U89+V89</x:f>
        <x:v>682</x:v>
      </x:c>
      <x:c r="X89" s="54" t="n">
        <x:f>MIN(E89,W89)</x:f>
        <x:v>490</x:v>
      </x:c>
      <x:c r="Y89" s="54" t="n">
        <x:f>MAX(E89-W89,0)</x:f>
        <x:v>0</x:v>
      </x:c>
      <x:c r="Z89" s="54" t="n">
        <x:f>MAX(W89-X89,0)</x:f>
        <x:v>192</x:v>
      </x:c>
      <x:c r="AA89" s="54" t="n">
        <x:f>MIN(Z89,ROUND(Z89*O89,0))</x:f>
        <x:v>3</x:v>
      </x:c>
      <x:c r="AB89" s="54" t="n">
        <x:f>Z89-AA89</x:f>
        <x:v>189</x:v>
      </x:c>
      <x:c r="AC89" s="52" t="n">
        <x:f>IFERROR(ABS(E89-D89)/E89,0)</x:f>
        <x:v>0.16938775510204082</x:v>
      </x:c>
      <x:c r="AD89" s="52" t="n">
        <x:f>IFERROR(L89/E89,1)</x:f>
        <x:v>1</x:v>
      </x:c>
      <x:c r="AE89" s="52" t="n">
        <x:f>IFERROR(X89/E89,1)</x:f>
        <x:v>1</x:v>
      </x:c>
      <x:c r="AF89" s="52" t="n">
        <x:f>IFERROR(I89/F89,0)</x:f>
        <x:v>0.8014285714285714</x:v>
      </x:c>
      <x:c r="AG89" s="52" t="n">
        <x:f>IFERROR(U89/F89,0)</x:f>
        <x:v>0.7542857142857143</x:v>
      </x:c>
    </x:row>
    <x:row r="90">
      <x:c r="A90" s="50" t="n">
        <x:v>46179</x:v>
      </x:c>
      <x:c r="B90" s="48" t="str">
        <x:v>Lassi</x:v>
      </x:c>
      <x:c r="C90" s="48" t="n">
        <x:v>7</x:v>
      </x:c>
      <x:c r="D90" s="54" t="n">
        <x:v>455</x:v>
      </x:c>
      <x:c r="E90" s="54" t="n">
        <x:v>521</x:v>
      </x:c>
      <x:c r="F90" s="54" t="n">
        <x:v>560</x:v>
      </x:c>
      <x:c r="G90" s="54" t="n">
        <x:f>ROUND(D90*0.97,0)</x:f>
        <x:v>441</x:v>
      </x:c>
      <x:c r="H90" s="52" t="n">
        <x:v>0.9864557233193555</x:v>
      </x:c>
      <x:c r="I90" s="54" t="n">
        <x:f>MIN(F90,ROUND(G90*H90,0))</x:f>
        <x:v>435</x:v>
      </x:c>
      <x:c r="J90" s="54" t="n">
        <x:f>Q85</x:f>
        <x:v>24</x:v>
      </x:c>
      <x:c r="K90" s="54" t="n">
        <x:f>I90+J90</x:f>
        <x:v>459</x:v>
      </x:c>
      <x:c r="L90" s="54" t="n">
        <x:f>MIN(E90,K90)</x:f>
        <x:v>459</x:v>
      </x:c>
      <x:c r="M90" s="54" t="n">
        <x:f>MAX(E90-K90,0)</x:f>
        <x:v>62</x:v>
      </x:c>
      <x:c r="N90" s="54" t="n">
        <x:f>MAX(K90-L90,0)</x:f>
        <x:v>0</x:v>
      </x:c>
      <x:c r="O90" s="52" t="n">
        <x:v>0.02</x:v>
      </x:c>
      <x:c r="P90" s="54" t="n">
        <x:f>MIN(N90,ROUND(N90*O90,0))</x:f>
        <x:v>0</x:v>
      </x:c>
      <x:c r="Q90" s="54" t="n">
        <x:f>N90-P90</x:f>
        <x:v>0</x:v>
      </x:c>
      <x:c r="R90" s="54" t="n">
        <x:v>82</x:v>
      </x:c>
      <x:c r="S90" s="54" t="n">
        <x:f>MIN(F90,MAX(0,ROUND(D90+R90-V90,0)))</x:f>
        <x:v>439</x:v>
      </x:c>
      <x:c r="T90" s="52" t="n">
        <x:v>1.0110660617732563</x:v>
      </x:c>
      <x:c r="U90" s="54" t="n">
        <x:f>MIN(F90,MAX(0,ROUND(S90*T90,0)))</x:f>
        <x:v>444</x:v>
      </x:c>
      <x:c r="V90" s="54" t="n">
        <x:f>AB85</x:f>
        <x:v>98</x:v>
      </x:c>
      <x:c r="W90" s="54" t="n">
        <x:f>U90+V90</x:f>
        <x:v>542</x:v>
      </x:c>
      <x:c r="X90" s="54" t="n">
        <x:f>MIN(E90,W90)</x:f>
        <x:v>521</x:v>
      </x:c>
      <x:c r="Y90" s="54" t="n">
        <x:f>MAX(E90-W90,0)</x:f>
        <x:v>0</x:v>
      </x:c>
      <x:c r="Z90" s="54" t="n">
        <x:f>MAX(W90-X90,0)</x:f>
        <x:v>21</x:v>
      </x:c>
      <x:c r="AA90" s="54" t="n">
        <x:f>MIN(Z90,ROUND(Z90*O90,0))</x:f>
        <x:v>0</x:v>
      </x:c>
      <x:c r="AB90" s="54" t="n">
        <x:f>Z90-AA90</x:f>
        <x:v>21</x:v>
      </x:c>
      <x:c r="AC90" s="52" t="n">
        <x:f>IFERROR(ABS(E90-D90)/E90,0)</x:f>
        <x:v>0.12667946257197696</x:v>
      </x:c>
      <x:c r="AD90" s="52" t="n">
        <x:f>IFERROR(L90/E90,1)</x:f>
        <x:v>0.8809980806142035</x:v>
      </x:c>
      <x:c r="AE90" s="52" t="n">
        <x:f>IFERROR(X90/E90,1)</x:f>
        <x:v>1</x:v>
      </x:c>
      <x:c r="AF90" s="52" t="n">
        <x:f>IFERROR(I90/F90,0)</x:f>
        <x:v>0.7767857142857143</x:v>
      </x:c>
      <x:c r="AG90" s="52" t="n">
        <x:f>IFERROR(U90/F90,0)</x:f>
        <x:v>0.7928571428571428</x:v>
      </x:c>
    </x:row>
    <x:row r="91">
      <x:c r="A91" s="50" t="n">
        <x:v>46179</x:v>
      </x:c>
      <x:c r="B91" s="48" t="str">
        <x:v>Paneer</x:v>
      </x:c>
      <x:c r="C91" s="48" t="n">
        <x:v>5</x:v>
      </x:c>
      <x:c r="D91" s="54" t="n">
        <x:v>180</x:v>
      </x:c>
      <x:c r="E91" s="54" t="n">
        <x:v>196</x:v>
      </x:c>
      <x:c r="F91" s="54" t="n">
        <x:v>230</x:v>
      </x:c>
      <x:c r="G91" s="54" t="n">
        <x:f>ROUND(D91*0.97,0)</x:f>
        <x:v>175</x:v>
      </x:c>
      <x:c r="H91" s="52" t="n">
        <x:v>0.9888951741440768</x:v>
      </x:c>
      <x:c r="I91" s="54" t="n">
        <x:f>MIN(F91,ROUND(G91*H91,0))</x:f>
        <x:v>173</x:v>
      </x:c>
      <x:c r="J91" s="54" t="n">
        <x:f>Q86</x:f>
        <x:v>17</x:v>
      </x:c>
      <x:c r="K91" s="54" t="n">
        <x:f>I91+J91</x:f>
        <x:v>190</x:v>
      </x:c>
      <x:c r="L91" s="54" t="n">
        <x:f>MIN(E91,K91)</x:f>
        <x:v>190</x:v>
      </x:c>
      <x:c r="M91" s="54" t="n">
        <x:f>MAX(E91-K91,0)</x:f>
        <x:v>6</x:v>
      </x:c>
      <x:c r="N91" s="54" t="n">
        <x:f>MAX(K91-L91,0)</x:f>
        <x:v>0</x:v>
      </x:c>
      <x:c r="O91" s="52" t="n">
        <x:v>0.025</x:v>
      </x:c>
      <x:c r="P91" s="54" t="n">
        <x:f>MIN(N91,ROUND(N91*O91,0))</x:f>
        <x:v>0</x:v>
      </x:c>
      <x:c r="Q91" s="54" t="n">
        <x:f>N91-P91</x:f>
        <x:v>0</x:v>
      </x:c>
      <x:c r="R91" s="54" t="n">
        <x:v>36</x:v>
      </x:c>
      <x:c r="S91" s="54" t="n">
        <x:f>MIN(F91,MAX(0,ROUND(D91+R91-V91,0)))</x:f>
        <x:v>158</x:v>
      </x:c>
      <x:c r="T91" s="52" t="n">
        <x:v>1.0186593747832642</x:v>
      </x:c>
      <x:c r="U91" s="54" t="n">
        <x:f>MIN(F91,MAX(0,ROUND(S91*T91,0)))</x:f>
        <x:v>161</x:v>
      </x:c>
      <x:c r="V91" s="54" t="n">
        <x:f>AB86</x:f>
        <x:v>58</x:v>
      </x:c>
      <x:c r="W91" s="54" t="n">
        <x:f>U91+V91</x:f>
        <x:v>219</x:v>
      </x:c>
      <x:c r="X91" s="54" t="n">
        <x:f>MIN(E91,W91)</x:f>
        <x:v>196</x:v>
      </x:c>
      <x:c r="Y91" s="54" t="n">
        <x:f>MAX(E91-W91,0)</x:f>
        <x:v>0</x:v>
      </x:c>
      <x:c r="Z91" s="54" t="n">
        <x:f>MAX(W91-X91,0)</x:f>
        <x:v>23</x:v>
      </x:c>
      <x:c r="AA91" s="54" t="n">
        <x:f>MIN(Z91,ROUND(Z91*O91,0))</x:f>
        <x:v>1</x:v>
      </x:c>
      <x:c r="AB91" s="54" t="n">
        <x:f>Z91-AA91</x:f>
        <x:v>22</x:v>
      </x:c>
      <x:c r="AC91" s="52" t="n">
        <x:f>IFERROR(ABS(E91-D91)/E91,0)</x:f>
        <x:v>0.08163265306122448</x:v>
      </x:c>
      <x:c r="AD91" s="52" t="n">
        <x:f>IFERROR(L91/E91,1)</x:f>
        <x:v>0.9693877551020408</x:v>
      </x:c>
      <x:c r="AE91" s="52" t="n">
        <x:f>IFERROR(X91/E91,1)</x:f>
        <x:v>1</x:v>
      </x:c>
      <x:c r="AF91" s="52" t="n">
        <x:f>IFERROR(I91/F91,0)</x:f>
        <x:v>0.7521739130434782</x:v>
      </x:c>
      <x:c r="AG91" s="52" t="n">
        <x:f>IFERROR(U91/F91,0)</x:f>
        <x:v>0.7</x:v>
      </x:c>
    </x:row>
    <x:row r="92">
      <x:c r="A92" s="50" t="n">
        <x:v>46180</x:v>
      </x:c>
      <x:c r="B92" s="48" t="str">
        <x:v>Toned Milk</x:v>
      </x:c>
      <x:c r="C92" s="48" t="n">
        <x:v>2</x:v>
      </x:c>
      <x:c r="D92" s="54" t="n">
        <x:v>1916</x:v>
      </x:c>
      <x:c r="E92" s="54" t="n">
        <x:v>1593</x:v>
      </x:c>
      <x:c r="F92" s="54" t="n">
        <x:v>2250</x:v>
      </x:c>
      <x:c r="G92" s="54" t="n">
        <x:f>ROUND(D92*0.97,0)</x:f>
        <x:v>1859</x:v>
      </x:c>
      <x:c r="H92" s="52" t="n">
        <x:v>1.0169886905155878</x:v>
      </x:c>
      <x:c r="I92" s="54" t="n">
        <x:f>MIN(F92,ROUND(G92*H92,0))</x:f>
        <x:v>1891</x:v>
      </x:c>
      <x:c r="J92" s="54" t="n">
        <x:f>Q87</x:f>
        <x:v>831</x:v>
      </x:c>
      <x:c r="K92" s="54" t="n">
        <x:f>I92+J92</x:f>
        <x:v>2722</x:v>
      </x:c>
      <x:c r="L92" s="54" t="n">
        <x:f>MIN(E92,K92)</x:f>
        <x:v>1593</x:v>
      </x:c>
      <x:c r="M92" s="54" t="n">
        <x:f>MAX(E92-K92,0)</x:f>
        <x:v>0</x:v>
      </x:c>
      <x:c r="N92" s="54" t="n">
        <x:f>MAX(K92-L92,0)</x:f>
        <x:v>1129</x:v>
      </x:c>
      <x:c r="O92" s="52" t="n">
        <x:v>0.025</x:v>
      </x:c>
      <x:c r="P92" s="54" t="n">
        <x:f>MIN(N92,ROUND(N92*O92,0))</x:f>
        <x:v>28</x:v>
      </x:c>
      <x:c r="Q92" s="54" t="n">
        <x:f>N92-P92</x:f>
        <x:v>1101</x:v>
      </x:c>
      <x:c r="R92" s="54" t="n">
        <x:v>230</x:v>
      </x:c>
      <x:c r="S92" s="54" t="n">
        <x:f>MIN(F92,MAX(0,ROUND(D92+R92-V92,0)))</x:f>
        <x:v>1575</x:v>
      </x:c>
      <x:c r="T92" s="52" t="n">
        <x:v>1.0081675163506731</x:v>
      </x:c>
      <x:c r="U92" s="54" t="n">
        <x:f>MIN(F92,MAX(0,ROUND(S92*T92,0)))</x:f>
        <x:v>1588</x:v>
      </x:c>
      <x:c r="V92" s="54" t="n">
        <x:f>AB87</x:f>
        <x:v>571</x:v>
      </x:c>
      <x:c r="W92" s="54" t="n">
        <x:f>U92+V92</x:f>
        <x:v>2159</x:v>
      </x:c>
      <x:c r="X92" s="54" t="n">
        <x:f>MIN(E92,W92)</x:f>
        <x:v>1593</x:v>
      </x:c>
      <x:c r="Y92" s="54" t="n">
        <x:f>MAX(E92-W92,0)</x:f>
        <x:v>0</x:v>
      </x:c>
      <x:c r="Z92" s="54" t="n">
        <x:f>MAX(W92-X92,0)</x:f>
        <x:v>566</x:v>
      </x:c>
      <x:c r="AA92" s="54" t="n">
        <x:f>MIN(Z92,ROUND(Z92*O92,0))</x:f>
        <x:v>14</x:v>
      </x:c>
      <x:c r="AB92" s="54" t="n">
        <x:f>Z92-AA92</x:f>
        <x:v>552</x:v>
      </x:c>
      <x:c r="AC92" s="52" t="n">
        <x:f>IFERROR(ABS(E92-D92)/E92,0)</x:f>
        <x:v>0.20276208411801633</x:v>
      </x:c>
      <x:c r="AD92" s="52" t="n">
        <x:f>IFERROR(L92/E92,1)</x:f>
        <x:v>1</x:v>
      </x:c>
      <x:c r="AE92" s="52" t="n">
        <x:f>IFERROR(X92/E92,1)</x:f>
        <x:v>1</x:v>
      </x:c>
      <x:c r="AF92" s="52" t="n">
        <x:f>IFERROR(I92/F92,0)</x:f>
        <x:v>0.8404444444444444</x:v>
      </x:c>
      <x:c r="AG92" s="52" t="n">
        <x:f>IFERROR(U92/F92,0)</x:f>
        <x:v>0.7057777777777777</x:v>
      </x:c>
    </x:row>
    <x:row r="93">
      <x:c r="A93" s="50" t="n">
        <x:v>46180</x:v>
      </x:c>
      <x:c r="B93" s="48" t="str">
        <x:v>Full Cream Milk</x:v>
      </x:c>
      <x:c r="C93" s="48" t="n">
        <x:v>2</x:v>
      </x:c>
      <x:c r="D93" s="54" t="n">
        <x:v>958</x:v>
      </x:c>
      <x:c r="E93" s="54" t="n">
        <x:v>943</x:v>
      </x:c>
      <x:c r="F93" s="54" t="n">
        <x:v>1200</x:v>
      </x:c>
      <x:c r="G93" s="54" t="n">
        <x:f>ROUND(D93*0.97,0)</x:f>
        <x:v>929</x:v>
      </x:c>
      <x:c r="H93" s="52" t="n">
        <x:v>1.005384190348702</x:v>
      </x:c>
      <x:c r="I93" s="54" t="n">
        <x:f>MIN(F93,ROUND(G93*H93,0))</x:f>
        <x:v>934</x:v>
      </x:c>
      <x:c r="J93" s="54" t="n">
        <x:f>Q88</x:f>
        <x:v>199</x:v>
      </x:c>
      <x:c r="K93" s="54" t="n">
        <x:f>I93+J93</x:f>
        <x:v>1133</x:v>
      </x:c>
      <x:c r="L93" s="54" t="n">
        <x:f>MIN(E93,K93)</x:f>
        <x:v>943</x:v>
      </x:c>
      <x:c r="M93" s="54" t="n">
        <x:f>MAX(E93-K93,0)</x:f>
        <x:v>0</x:v>
      </x:c>
      <x:c r="N93" s="54" t="n">
        <x:f>MAX(K93-L93,0)</x:f>
        <x:v>190</x:v>
      </x:c>
      <x:c r="O93" s="52" t="n">
        <x:v>0.03</x:v>
      </x:c>
      <x:c r="P93" s="54" t="n">
        <x:f>MIN(N93,ROUND(N93*O93,0))</x:f>
        <x:v>6</x:v>
      </x:c>
      <x:c r="Q93" s="54" t="n">
        <x:f>N93-P93</x:f>
        <x:v>184</x:v>
      </x:c>
      <x:c r="R93" s="54" t="n">
        <x:v>115</x:v>
      </x:c>
      <x:c r="S93" s="54" t="n">
        <x:f>MIN(F93,MAX(0,ROUND(D93+R93-V93,0)))</x:f>
        <x:v>947</x:v>
      </x:c>
      <x:c r="T93" s="52" t="n">
        <x:v>0.9891182132713093</x:v>
      </x:c>
      <x:c r="U93" s="54" t="n">
        <x:f>MIN(F93,MAX(0,ROUND(S93*T93,0)))</x:f>
        <x:v>937</x:v>
      </x:c>
      <x:c r="V93" s="54" t="n">
        <x:f>AB88</x:f>
        <x:v>126</x:v>
      </x:c>
      <x:c r="W93" s="54" t="n">
        <x:f>U93+V93</x:f>
        <x:v>1063</x:v>
      </x:c>
      <x:c r="X93" s="54" t="n">
        <x:f>MIN(E93,W93)</x:f>
        <x:v>943</x:v>
      </x:c>
      <x:c r="Y93" s="54" t="n">
        <x:f>MAX(E93-W93,0)</x:f>
        <x:v>0</x:v>
      </x:c>
      <x:c r="Z93" s="54" t="n">
        <x:f>MAX(W93-X93,0)</x:f>
        <x:v>120</x:v>
      </x:c>
      <x:c r="AA93" s="54" t="n">
        <x:f>MIN(Z93,ROUND(Z93*O93,0))</x:f>
        <x:v>4</x:v>
      </x:c>
      <x:c r="AB93" s="54" t="n">
        <x:f>Z93-AA93</x:f>
        <x:v>116</x:v>
      </x:c>
      <x:c r="AC93" s="52" t="n">
        <x:f>IFERROR(ABS(E93-D93)/E93,0)</x:f>
        <x:v>0.015906680805938492</x:v>
      </x:c>
      <x:c r="AD93" s="52" t="n">
        <x:f>IFERROR(L93/E93,1)</x:f>
        <x:v>1</x:v>
      </x:c>
      <x:c r="AE93" s="52" t="n">
        <x:f>IFERROR(X93/E93,1)</x:f>
        <x:v>1</x:v>
      </x:c>
      <x:c r="AF93" s="52" t="n">
        <x:f>IFERROR(I93/F93,0)</x:f>
        <x:v>0.7783333333333333</x:v>
      </x:c>
      <x:c r="AG93" s="52" t="n">
        <x:f>IFERROR(U93/F93,0)</x:f>
        <x:v>0.7808333333333334</x:v>
      </x:c>
    </x:row>
    <x:row r="94">
      <x:c r="A94" s="50" t="n">
        <x:v>46180</x:v>
      </x:c>
      <x:c r="B94" s="48" t="str">
        <x:v>Curd</x:v>
      </x:c>
      <x:c r="C94" s="48" t="n">
        <x:v>7</x:v>
      </x:c>
      <x:c r="D94" s="54" t="n">
        <x:v>584</x:v>
      </x:c>
      <x:c r="E94" s="54" t="n">
        <x:v>496</x:v>
      </x:c>
      <x:c r="F94" s="54" t="n">
        <x:v>700</x:v>
      </x:c>
      <x:c r="G94" s="54" t="n">
        <x:f>ROUND(D94*0.97,0)</x:f>
        <x:v>566</x:v>
      </x:c>
      <x:c r="H94" s="52" t="n">
        <x:v>0.98786318234005</x:v>
      </x:c>
      <x:c r="I94" s="54" t="n">
        <x:f>MIN(F94,ROUND(G94*H94,0))</x:f>
        <x:v>559</x:v>
      </x:c>
      <x:c r="J94" s="54" t="n">
        <x:f>Q89</x:f>
        <x:v>122</x:v>
      </x:c>
      <x:c r="K94" s="54" t="n">
        <x:f>I94+J94</x:f>
        <x:v>681</x:v>
      </x:c>
      <x:c r="L94" s="54" t="n">
        <x:f>MIN(E94,K94)</x:f>
        <x:v>496</x:v>
      </x:c>
      <x:c r="M94" s="54" t="n">
        <x:f>MAX(E94-K94,0)</x:f>
        <x:v>0</x:v>
      </x:c>
      <x:c r="N94" s="54" t="n">
        <x:f>MAX(K94-L94,0)</x:f>
        <x:v>185</x:v>
      </x:c>
      <x:c r="O94" s="52" t="n">
        <x:v>0.018</x:v>
      </x:c>
      <x:c r="P94" s="54" t="n">
        <x:f>MIN(N94,ROUND(N94*O94,0))</x:f>
        <x:v>3</x:v>
      </x:c>
      <x:c r="Q94" s="54" t="n">
        <x:f>N94-P94</x:f>
        <x:v>182</x:v>
      </x:c>
      <x:c r="R94" s="54" t="n">
        <x:v>105</x:v>
      </x:c>
      <x:c r="S94" s="54" t="n">
        <x:f>MIN(F94,MAX(0,ROUND(D94+R94-V94,0)))</x:f>
        <x:v>500</x:v>
      </x:c>
      <x:c r="T94" s="52" t="n">
        <x:v>1.0060530259180185</x:v>
      </x:c>
      <x:c r="U94" s="54" t="n">
        <x:f>MIN(F94,MAX(0,ROUND(S94*T94,0)))</x:f>
        <x:v>503</x:v>
      </x:c>
      <x:c r="V94" s="54" t="n">
        <x:f>AB89</x:f>
        <x:v>189</x:v>
      </x:c>
      <x:c r="W94" s="54" t="n">
        <x:f>U94+V94</x:f>
        <x:v>692</x:v>
      </x:c>
      <x:c r="X94" s="54" t="n">
        <x:f>MIN(E94,W94)</x:f>
        <x:v>496</x:v>
      </x:c>
      <x:c r="Y94" s="54" t="n">
        <x:f>MAX(E94-W94,0)</x:f>
        <x:v>0</x:v>
      </x:c>
      <x:c r="Z94" s="54" t="n">
        <x:f>MAX(W94-X94,0)</x:f>
        <x:v>196</x:v>
      </x:c>
      <x:c r="AA94" s="54" t="n">
        <x:f>MIN(Z94,ROUND(Z94*O94,0))</x:f>
        <x:v>4</x:v>
      </x:c>
      <x:c r="AB94" s="54" t="n">
        <x:f>Z94-AA94</x:f>
        <x:v>192</x:v>
      </x:c>
      <x:c r="AC94" s="52" t="n">
        <x:f>IFERROR(ABS(E94-D94)/E94,0)</x:f>
        <x:v>0.1774193548387097</x:v>
      </x:c>
      <x:c r="AD94" s="52" t="n">
        <x:f>IFERROR(L94/E94,1)</x:f>
        <x:v>1</x:v>
      </x:c>
      <x:c r="AE94" s="52" t="n">
        <x:f>IFERROR(X94/E94,1)</x:f>
        <x:v>1</x:v>
      </x:c>
      <x:c r="AF94" s="52" t="n">
        <x:f>IFERROR(I94/F94,0)</x:f>
        <x:v>0.7985714285714286</x:v>
      </x:c>
      <x:c r="AG94" s="52" t="n">
        <x:f>IFERROR(U94/F94,0)</x:f>
        <x:v>0.7185714285714285</x:v>
      </x:c>
    </x:row>
    <x:row r="95">
      <x:c r="A95" s="50" t="n">
        <x:v>46180</x:v>
      </x:c>
      <x:c r="B95" s="48" t="str">
        <x:v>Lassi</x:v>
      </x:c>
      <x:c r="C95" s="48" t="n">
        <x:v>7</x:v>
      </x:c>
      <x:c r="D95" s="54" t="n">
        <x:v>467</x:v>
      </x:c>
      <x:c r="E95" s="54" t="n">
        <x:v>450</x:v>
      </x:c>
      <x:c r="F95" s="54" t="n">
        <x:v>560</x:v>
      </x:c>
      <x:c r="G95" s="54" t="n">
        <x:f>ROUND(D95*0.97,0)</x:f>
        <x:v>453</x:v>
      </x:c>
      <x:c r="H95" s="52" t="n">
        <x:v>0.9991308918932532</x:v>
      </x:c>
      <x:c r="I95" s="54" t="n">
        <x:f>MIN(F95,ROUND(G95*H95,0))</x:f>
        <x:v>453</x:v>
      </x:c>
      <x:c r="J95" s="54" t="n">
        <x:f>Q90</x:f>
        <x:v>0</x:v>
      </x:c>
      <x:c r="K95" s="54" t="n">
        <x:f>I95+J95</x:f>
        <x:v>453</x:v>
      </x:c>
      <x:c r="L95" s="54" t="n">
        <x:f>MIN(E95,K95)</x:f>
        <x:v>450</x:v>
      </x:c>
      <x:c r="M95" s="54" t="n">
        <x:f>MAX(E95-K95,0)</x:f>
        <x:v>0</x:v>
      </x:c>
      <x:c r="N95" s="54" t="n">
        <x:f>MAX(K95-L95,0)</x:f>
        <x:v>3</x:v>
      </x:c>
      <x:c r="O95" s="52" t="n">
        <x:v>0.02</x:v>
      </x:c>
      <x:c r="P95" s="54" t="n">
        <x:f>MIN(N95,ROUND(N95*O95,0))</x:f>
        <x:v>0</x:v>
      </x:c>
      <x:c r="Q95" s="54" t="n">
        <x:f>N95-P95</x:f>
        <x:v>3</x:v>
      </x:c>
      <x:c r="R95" s="54" t="n">
        <x:v>84</x:v>
      </x:c>
      <x:c r="S95" s="54" t="n">
        <x:f>MIN(F95,MAX(0,ROUND(D95+R95-V95,0)))</x:f>
        <x:v>530</x:v>
      </x:c>
      <x:c r="T95" s="52" t="n">
        <x:v>0.9965145426911345</x:v>
      </x:c>
      <x:c r="U95" s="54" t="n">
        <x:f>MIN(F95,MAX(0,ROUND(S95*T95,0)))</x:f>
        <x:v>528</x:v>
      </x:c>
      <x:c r="V95" s="54" t="n">
        <x:f>AB90</x:f>
        <x:v>21</x:v>
      </x:c>
      <x:c r="W95" s="54" t="n">
        <x:f>U95+V95</x:f>
        <x:v>549</x:v>
      </x:c>
      <x:c r="X95" s="54" t="n">
        <x:f>MIN(E95,W95)</x:f>
        <x:v>450</x:v>
      </x:c>
      <x:c r="Y95" s="54" t="n">
        <x:f>MAX(E95-W95,0)</x:f>
        <x:v>0</x:v>
      </x:c>
      <x:c r="Z95" s="54" t="n">
        <x:f>MAX(W95-X95,0)</x:f>
        <x:v>99</x:v>
      </x:c>
      <x:c r="AA95" s="54" t="n">
        <x:f>MIN(Z95,ROUND(Z95*O95,0))</x:f>
        <x:v>2</x:v>
      </x:c>
      <x:c r="AB95" s="54" t="n">
        <x:f>Z95-AA95</x:f>
        <x:v>97</x:v>
      </x:c>
      <x:c r="AC95" s="52" t="n">
        <x:f>IFERROR(ABS(E95-D95)/E95,0)</x:f>
        <x:v>0.03777777777777778</x:v>
      </x:c>
      <x:c r="AD95" s="52" t="n">
        <x:f>IFERROR(L95/E95,1)</x:f>
        <x:v>1</x:v>
      </x:c>
      <x:c r="AE95" s="52" t="n">
        <x:f>IFERROR(X95/E95,1)</x:f>
        <x:v>1</x:v>
      </x:c>
      <x:c r="AF95" s="52" t="n">
        <x:f>IFERROR(I95/F95,0)</x:f>
        <x:v>0.8089285714285714</x:v>
      </x:c>
      <x:c r="AG95" s="52" t="n">
        <x:f>IFERROR(U95/F95,0)</x:f>
        <x:v>0.9428571428571428</x:v>
      </x:c>
    </x:row>
    <x:row r="96">
      <x:c r="A96" s="50" t="n">
        <x:v>46180</x:v>
      </x:c>
      <x:c r="B96" s="48" t="str">
        <x:v>Paneer</x:v>
      </x:c>
      <x:c r="C96" s="48" t="n">
        <x:v>5</x:v>
      </x:c>
      <x:c r="D96" s="54" t="n">
        <x:v>185</x:v>
      </x:c>
      <x:c r="E96" s="54" t="n">
        <x:v>152</x:v>
      </x:c>
      <x:c r="F96" s="54" t="n">
        <x:v>230</x:v>
      </x:c>
      <x:c r="G96" s="54" t="n">
        <x:f>ROUND(D96*0.97,0)</x:f>
        <x:v>179</x:v>
      </x:c>
      <x:c r="H96" s="52" t="n">
        <x:v>1.002184059411642</x:v>
      </x:c>
      <x:c r="I96" s="54" t="n">
        <x:f>MIN(F96,ROUND(G96*H96,0))</x:f>
        <x:v>179</x:v>
      </x:c>
      <x:c r="J96" s="54" t="n">
        <x:f>Q91</x:f>
        <x:v>0</x:v>
      </x:c>
      <x:c r="K96" s="54" t="n">
        <x:f>I96+J96</x:f>
        <x:v>179</x:v>
      </x:c>
      <x:c r="L96" s="54" t="n">
        <x:f>MIN(E96,K96)</x:f>
        <x:v>152</x:v>
      </x:c>
      <x:c r="M96" s="54" t="n">
        <x:f>MAX(E96-K96,0)</x:f>
        <x:v>0</x:v>
      </x:c>
      <x:c r="N96" s="54" t="n">
        <x:f>MAX(K96-L96,0)</x:f>
        <x:v>27</x:v>
      </x:c>
      <x:c r="O96" s="52" t="n">
        <x:v>0.025</x:v>
      </x:c>
      <x:c r="P96" s="54" t="n">
        <x:f>MIN(N96,ROUND(N96*O96,0))</x:f>
        <x:v>1</x:v>
      </x:c>
      <x:c r="Q96" s="54" t="n">
        <x:f>N96-P96</x:f>
        <x:v>26</x:v>
      </x:c>
      <x:c r="R96" s="54" t="n">
        <x:v>37</x:v>
      </x:c>
      <x:c r="S96" s="54" t="n">
        <x:f>MIN(F96,MAX(0,ROUND(D96+R96-V96,0)))</x:f>
        <x:v>200</x:v>
      </x:c>
      <x:c r="T96" s="52" t="n">
        <x:v>1.0007962443134015</x:v>
      </x:c>
      <x:c r="U96" s="54" t="n">
        <x:f>MIN(F96,MAX(0,ROUND(S96*T96,0)))</x:f>
        <x:v>200</x:v>
      </x:c>
      <x:c r="V96" s="54" t="n">
        <x:f>AB91</x:f>
        <x:v>22</x:v>
      </x:c>
      <x:c r="W96" s="54" t="n">
        <x:f>U96+V96</x:f>
        <x:v>222</x:v>
      </x:c>
      <x:c r="X96" s="54" t="n">
        <x:f>MIN(E96,W96)</x:f>
        <x:v>152</x:v>
      </x:c>
      <x:c r="Y96" s="54" t="n">
        <x:f>MAX(E96-W96,0)</x:f>
        <x:v>0</x:v>
      </x:c>
      <x:c r="Z96" s="54" t="n">
        <x:f>MAX(W96-X96,0)</x:f>
        <x:v>70</x:v>
      </x:c>
      <x:c r="AA96" s="54" t="n">
        <x:f>MIN(Z96,ROUND(Z96*O96,0))</x:f>
        <x:v>2</x:v>
      </x:c>
      <x:c r="AB96" s="54" t="n">
        <x:f>Z96-AA96</x:f>
        <x:v>68</x:v>
      </x:c>
      <x:c r="AC96" s="52" t="n">
        <x:f>IFERROR(ABS(E96-D96)/E96,0)</x:f>
        <x:v>0.21710526315789475</x:v>
      </x:c>
      <x:c r="AD96" s="52" t="n">
        <x:f>IFERROR(L96/E96,1)</x:f>
        <x:v>1</x:v>
      </x:c>
      <x:c r="AE96" s="52" t="n">
        <x:f>IFERROR(X96/E96,1)</x:f>
        <x:v>1</x:v>
      </x:c>
      <x:c r="AF96" s="52" t="n">
        <x:f>IFERROR(I96/F96,0)</x:f>
        <x:v>0.7782608695652173</x:v>
      </x:c>
      <x:c r="AG96" s="52" t="n">
        <x:f>IFERROR(U96/F96,0)</x:f>
        <x:v>0.8695652173913043</x:v>
      </x:c>
    </x:row>
    <x:row r="97">
      <x:c r="A97" s="50" t="n">
        <x:v>46181</x:v>
      </x:c>
      <x:c r="B97" s="48" t="str">
        <x:v>Toned Milk</x:v>
      </x:c>
      <x:c r="C97" s="48" t="n">
        <x:v>2</x:v>
      </x:c>
      <x:c r="D97" s="54" t="n">
        <x:v>1643</x:v>
      </x:c>
      <x:c r="E97" s="54" t="n">
        <x:v>1373</x:v>
      </x:c>
      <x:c r="F97" s="54" t="n">
        <x:v>2250</x:v>
      </x:c>
      <x:c r="G97" s="54" t="n">
        <x:f>ROUND(D97*0.97,0)</x:f>
        <x:v>1594</x:v>
      </x:c>
      <x:c r="H97" s="52" t="n">
        <x:v>1.0037120869401954</x:v>
      </x:c>
      <x:c r="I97" s="54" t="n">
        <x:f>MIN(F97,ROUND(G97*H97,0))</x:f>
        <x:v>1600</x:v>
      </x:c>
      <x:c r="J97" s="54" t="n">
        <x:f>Q92</x:f>
        <x:v>1101</x:v>
      </x:c>
      <x:c r="K97" s="54" t="n">
        <x:f>I97+J97</x:f>
        <x:v>2701</x:v>
      </x:c>
      <x:c r="L97" s="54" t="n">
        <x:f>MIN(E97,K97)</x:f>
        <x:v>1373</x:v>
      </x:c>
      <x:c r="M97" s="54" t="n">
        <x:f>MAX(E97-K97,0)</x:f>
        <x:v>0</x:v>
      </x:c>
      <x:c r="N97" s="54" t="n">
        <x:f>MAX(K97-L97,0)</x:f>
        <x:v>1328</x:v>
      </x:c>
      <x:c r="O97" s="52" t="n">
        <x:v>0.025</x:v>
      </x:c>
      <x:c r="P97" s="54" t="n">
        <x:f>MIN(N97,ROUND(N97*O97,0))</x:f>
        <x:v>33</x:v>
      </x:c>
      <x:c r="Q97" s="54" t="n">
        <x:f>N97-P97</x:f>
        <x:v>1295</x:v>
      </x:c>
      <x:c r="R97" s="54" t="n">
        <x:v>197</x:v>
      </x:c>
      <x:c r="S97" s="54" t="n">
        <x:f>MIN(F97,MAX(0,ROUND(D97+R97-V97,0)))</x:f>
        <x:v>1288</x:v>
      </x:c>
      <x:c r="T97" s="52" t="n">
        <x:v>0.9944899705207256</x:v>
      </x:c>
      <x:c r="U97" s="54" t="n">
        <x:f>MIN(F97,MAX(0,ROUND(S97*T97,0)))</x:f>
        <x:v>1281</x:v>
      </x:c>
      <x:c r="V97" s="54" t="n">
        <x:f>AB92</x:f>
        <x:v>552</x:v>
      </x:c>
      <x:c r="W97" s="54" t="n">
        <x:f>U97+V97</x:f>
        <x:v>1833</x:v>
      </x:c>
      <x:c r="X97" s="54" t="n">
        <x:f>MIN(E97,W97)</x:f>
        <x:v>1373</x:v>
      </x:c>
      <x:c r="Y97" s="54" t="n">
        <x:f>MAX(E97-W97,0)</x:f>
        <x:v>0</x:v>
      </x:c>
      <x:c r="Z97" s="54" t="n">
        <x:f>MAX(W97-X97,0)</x:f>
        <x:v>460</x:v>
      </x:c>
      <x:c r="AA97" s="54" t="n">
        <x:f>MIN(Z97,ROUND(Z97*O97,0))</x:f>
        <x:v>12</x:v>
      </x:c>
      <x:c r="AB97" s="54" t="n">
        <x:f>Z97-AA97</x:f>
        <x:v>448</x:v>
      </x:c>
      <x:c r="AC97" s="52" t="n">
        <x:f>IFERROR(ABS(E97-D97)/E97,0)</x:f>
        <x:v>0.19664967225054625</x:v>
      </x:c>
      <x:c r="AD97" s="52" t="n">
        <x:f>IFERROR(L97/E97,1)</x:f>
        <x:v>1</x:v>
      </x:c>
      <x:c r="AE97" s="52" t="n">
        <x:f>IFERROR(X97/E97,1)</x:f>
        <x:v>1</x:v>
      </x:c>
      <x:c r="AF97" s="52" t="n">
        <x:f>IFERROR(I97/F97,0)</x:f>
        <x:v>0.7111111111111111</x:v>
      </x:c>
      <x:c r="AG97" s="52" t="n">
        <x:f>IFERROR(U97/F97,0)</x:f>
        <x:v>0.5693333333333334</x:v>
      </x:c>
    </x:row>
    <x:row r="98">
      <x:c r="A98" s="50" t="n">
        <x:v>46181</x:v>
      </x:c>
      <x:c r="B98" s="48" t="str">
        <x:v>Full Cream Milk</x:v>
      </x:c>
      <x:c r="C98" s="48" t="n">
        <x:v>2</x:v>
      </x:c>
      <x:c r="D98" s="54" t="n">
        <x:v>813</x:v>
      </x:c>
      <x:c r="E98" s="54" t="n">
        <x:v>717</x:v>
      </x:c>
      <x:c r="F98" s="54" t="n">
        <x:v>1200</x:v>
      </x:c>
      <x:c r="G98" s="54" t="n">
        <x:f>ROUND(D98*0.97,0)</x:f>
        <x:v>789</x:v>
      </x:c>
      <x:c r="H98" s="52" t="n">
        <x:v>1.0123300465698624</x:v>
      </x:c>
      <x:c r="I98" s="54" t="n">
        <x:f>MIN(F98,ROUND(G98*H98,0))</x:f>
        <x:v>799</x:v>
      </x:c>
      <x:c r="J98" s="54" t="n">
        <x:f>Q93</x:f>
        <x:v>184</x:v>
      </x:c>
      <x:c r="K98" s="54" t="n">
        <x:f>I98+J98</x:f>
        <x:v>983</x:v>
      </x:c>
      <x:c r="L98" s="54" t="n">
        <x:f>MIN(E98,K98)</x:f>
        <x:v>717</x:v>
      </x:c>
      <x:c r="M98" s="54" t="n">
        <x:f>MAX(E98-K98,0)</x:f>
        <x:v>0</x:v>
      </x:c>
      <x:c r="N98" s="54" t="n">
        <x:f>MAX(K98-L98,0)</x:f>
        <x:v>266</x:v>
      </x:c>
      <x:c r="O98" s="52" t="n">
        <x:v>0.03</x:v>
      </x:c>
      <x:c r="P98" s="54" t="n">
        <x:f>MIN(N98,ROUND(N98*O98,0))</x:f>
        <x:v>8</x:v>
      </x:c>
      <x:c r="Q98" s="54" t="n">
        <x:f>N98-P98</x:f>
        <x:v>258</x:v>
      </x:c>
      <x:c r="R98" s="54" t="n">
        <x:v>98</x:v>
      </x:c>
      <x:c r="S98" s="54" t="n">
        <x:f>MIN(F98,MAX(0,ROUND(D98+R98-V98,0)))</x:f>
        <x:v>795</x:v>
      </x:c>
      <x:c r="T98" s="52" t="n">
        <x:v>1.0039835608252516</x:v>
      </x:c>
      <x:c r="U98" s="54" t="n">
        <x:f>MIN(F98,MAX(0,ROUND(S98*T98,0)))</x:f>
        <x:v>798</x:v>
      </x:c>
      <x:c r="V98" s="54" t="n">
        <x:f>AB93</x:f>
        <x:v>116</x:v>
      </x:c>
      <x:c r="W98" s="54" t="n">
        <x:f>U98+V98</x:f>
        <x:v>914</x:v>
      </x:c>
      <x:c r="X98" s="54" t="n">
        <x:f>MIN(E98,W98)</x:f>
        <x:v>717</x:v>
      </x:c>
      <x:c r="Y98" s="54" t="n">
        <x:f>MAX(E98-W98,0)</x:f>
        <x:v>0</x:v>
      </x:c>
      <x:c r="Z98" s="54" t="n">
        <x:f>MAX(W98-X98,0)</x:f>
        <x:v>197</x:v>
      </x:c>
      <x:c r="AA98" s="54" t="n">
        <x:f>MIN(Z98,ROUND(Z98*O98,0))</x:f>
        <x:v>6</x:v>
      </x:c>
      <x:c r="AB98" s="54" t="n">
        <x:f>Z98-AA98</x:f>
        <x:v>191</x:v>
      </x:c>
      <x:c r="AC98" s="52" t="n">
        <x:f>IFERROR(ABS(E98-D98)/E98,0)</x:f>
        <x:v>0.13389121338912133</x:v>
      </x:c>
      <x:c r="AD98" s="52" t="n">
        <x:f>IFERROR(L98/E98,1)</x:f>
        <x:v>1</x:v>
      </x:c>
      <x:c r="AE98" s="52" t="n">
        <x:f>IFERROR(X98/E98,1)</x:f>
        <x:v>1</x:v>
      </x:c>
      <x:c r="AF98" s="52" t="n">
        <x:f>IFERROR(I98/F98,0)</x:f>
        <x:v>0.6658333333333334</x:v>
      </x:c>
      <x:c r="AG98" s="52" t="n">
        <x:f>IFERROR(U98/F98,0)</x:f>
        <x:v>0.665</x:v>
      </x:c>
    </x:row>
    <x:row r="99">
      <x:c r="A99" s="50" t="n">
        <x:v>46181</x:v>
      </x:c>
      <x:c r="B99" s="48" t="str">
        <x:v>Curd</x:v>
      </x:c>
      <x:c r="C99" s="48" t="n">
        <x:v>7</x:v>
      </x:c>
      <x:c r="D99" s="54" t="n">
        <x:v>468</x:v>
      </x:c>
      <x:c r="E99" s="54" t="n">
        <x:v>504</x:v>
      </x:c>
      <x:c r="F99" s="54" t="n">
        <x:v>700</x:v>
      </x:c>
      <x:c r="G99" s="54" t="n">
        <x:f>ROUND(D99*0.97,0)</x:f>
        <x:v>454</x:v>
      </x:c>
      <x:c r="H99" s="52" t="n">
        <x:v>0.9843309073981492</x:v>
      </x:c>
      <x:c r="I99" s="54" t="n">
        <x:f>MIN(F99,ROUND(G99*H99,0))</x:f>
        <x:v>447</x:v>
      </x:c>
      <x:c r="J99" s="54" t="n">
        <x:f>Q94</x:f>
        <x:v>182</x:v>
      </x:c>
      <x:c r="K99" s="54" t="n">
        <x:f>I99+J99</x:f>
        <x:v>629</x:v>
      </x:c>
      <x:c r="L99" s="54" t="n">
        <x:f>MIN(E99,K99)</x:f>
        <x:v>504</x:v>
      </x:c>
      <x:c r="M99" s="54" t="n">
        <x:f>MAX(E99-K99,0)</x:f>
        <x:v>0</x:v>
      </x:c>
      <x:c r="N99" s="54" t="n">
        <x:f>MAX(K99-L99,0)</x:f>
        <x:v>125</x:v>
      </x:c>
      <x:c r="O99" s="52" t="n">
        <x:v>0.018</x:v>
      </x:c>
      <x:c r="P99" s="54" t="n">
        <x:f>MIN(N99,ROUND(N99*O99,0))</x:f>
        <x:v>2</x:v>
      </x:c>
      <x:c r="Q99" s="54" t="n">
        <x:f>N99-P99</x:f>
        <x:v>123</x:v>
      </x:c>
      <x:c r="R99" s="54" t="n">
        <x:v>84</x:v>
      </x:c>
      <x:c r="S99" s="54" t="n">
        <x:f>MIN(F99,MAX(0,ROUND(D99+R99-V99,0)))</x:f>
        <x:v>360</x:v>
      </x:c>
      <x:c r="T99" s="52" t="n">
        <x:v>0.9826964501524637</x:v>
      </x:c>
      <x:c r="U99" s="54" t="n">
        <x:f>MIN(F99,MAX(0,ROUND(S99*T99,0)))</x:f>
        <x:v>354</x:v>
      </x:c>
      <x:c r="V99" s="54" t="n">
        <x:f>AB94</x:f>
        <x:v>192</x:v>
      </x:c>
      <x:c r="W99" s="54" t="n">
        <x:f>U99+V99</x:f>
        <x:v>546</x:v>
      </x:c>
      <x:c r="X99" s="54" t="n">
        <x:f>MIN(E99,W99)</x:f>
        <x:v>504</x:v>
      </x:c>
      <x:c r="Y99" s="54" t="n">
        <x:f>MAX(E99-W99,0)</x:f>
        <x:v>0</x:v>
      </x:c>
      <x:c r="Z99" s="54" t="n">
        <x:f>MAX(W99-X99,0)</x:f>
        <x:v>42</x:v>
      </x:c>
      <x:c r="AA99" s="54" t="n">
        <x:f>MIN(Z99,ROUND(Z99*O99,0))</x:f>
        <x:v>1</x:v>
      </x:c>
      <x:c r="AB99" s="54" t="n">
        <x:f>Z99-AA99</x:f>
        <x:v>41</x:v>
      </x:c>
      <x:c r="AC99" s="52" t="n">
        <x:f>IFERROR(ABS(E99-D99)/E99,0)</x:f>
        <x:v>0.07142857142857142</x:v>
      </x:c>
      <x:c r="AD99" s="52" t="n">
        <x:f>IFERROR(L99/E99,1)</x:f>
        <x:v>1</x:v>
      </x:c>
      <x:c r="AE99" s="52" t="n">
        <x:f>IFERROR(X99/E99,1)</x:f>
        <x:v>1</x:v>
      </x:c>
      <x:c r="AF99" s="52" t="n">
        <x:f>IFERROR(I99/F99,0)</x:f>
        <x:v>0.6385714285714286</x:v>
      </x:c>
      <x:c r="AG99" s="52" t="n">
        <x:f>IFERROR(U99/F99,0)</x:f>
        <x:v>0.5057142857142857</x:v>
      </x:c>
    </x:row>
    <x:row r="100">
      <x:c r="A100" s="50" t="n">
        <x:v>46181</x:v>
      </x:c>
      <x:c r="B100" s="48" t="str">
        <x:v>Lassi</x:v>
      </x:c>
      <x:c r="C100" s="48" t="n">
        <x:v>7</x:v>
      </x:c>
      <x:c r="D100" s="54" t="n">
        <x:v>362</x:v>
      </x:c>
      <x:c r="E100" s="54" t="n">
        <x:v>384</x:v>
      </x:c>
      <x:c r="F100" s="54" t="n">
        <x:v>560</x:v>
      </x:c>
      <x:c r="G100" s="54" t="n">
        <x:f>ROUND(D100*0.97,0)</x:f>
        <x:v>351</x:v>
      </x:c>
      <x:c r="H100" s="52" t="n">
        <x:v>0.9946415858862476</x:v>
      </x:c>
      <x:c r="I100" s="54" t="n">
        <x:f>MIN(F100,ROUND(G100*H100,0))</x:f>
        <x:v>349</x:v>
      </x:c>
      <x:c r="J100" s="54" t="n">
        <x:f>Q95</x:f>
        <x:v>3</x:v>
      </x:c>
      <x:c r="K100" s="54" t="n">
        <x:f>I100+J100</x:f>
        <x:v>352</x:v>
      </x:c>
      <x:c r="L100" s="54" t="n">
        <x:f>MIN(E100,K100)</x:f>
        <x:v>352</x:v>
      </x:c>
      <x:c r="M100" s="54" t="n">
        <x:f>MAX(E100-K100,0)</x:f>
        <x:v>32</x:v>
      </x:c>
      <x:c r="N100" s="54" t="n">
        <x:f>MAX(K100-L100,0)</x:f>
        <x:v>0</x:v>
      </x:c>
      <x:c r="O100" s="52" t="n">
        <x:v>0.02</x:v>
      </x:c>
      <x:c r="P100" s="54" t="n">
        <x:f>MIN(N100,ROUND(N100*O100,0))</x:f>
        <x:v>0</x:v>
      </x:c>
      <x:c r="Q100" s="54" t="n">
        <x:f>N100-P100</x:f>
        <x:v>0</x:v>
      </x:c>
      <x:c r="R100" s="54" t="n">
        <x:v>65</x:v>
      </x:c>
      <x:c r="S100" s="54" t="n">
        <x:f>MIN(F100,MAX(0,ROUND(D100+R100-V100,0)))</x:f>
        <x:v>330</x:v>
      </x:c>
      <x:c r="T100" s="52" t="n">
        <x:v>0.9845528016644017</x:v>
      </x:c>
      <x:c r="U100" s="54" t="n">
        <x:f>MIN(F100,MAX(0,ROUND(S100*T100,0)))</x:f>
        <x:v>325</x:v>
      </x:c>
      <x:c r="V100" s="54" t="n">
        <x:f>AB95</x:f>
        <x:v>97</x:v>
      </x:c>
      <x:c r="W100" s="54" t="n">
        <x:f>U100+V100</x:f>
        <x:v>422</x:v>
      </x:c>
      <x:c r="X100" s="54" t="n">
        <x:f>MIN(E100,W100)</x:f>
        <x:v>384</x:v>
      </x:c>
      <x:c r="Y100" s="54" t="n">
        <x:f>MAX(E100-W100,0)</x:f>
        <x:v>0</x:v>
      </x:c>
      <x:c r="Z100" s="54" t="n">
        <x:f>MAX(W100-X100,0)</x:f>
        <x:v>38</x:v>
      </x:c>
      <x:c r="AA100" s="54" t="n">
        <x:f>MIN(Z100,ROUND(Z100*O100,0))</x:f>
        <x:v>1</x:v>
      </x:c>
      <x:c r="AB100" s="54" t="n">
        <x:f>Z100-AA100</x:f>
        <x:v>37</x:v>
      </x:c>
      <x:c r="AC100" s="52" t="n">
        <x:f>IFERROR(ABS(E100-D100)/E100,0)</x:f>
        <x:v>0.057291666666666664</x:v>
      </x:c>
      <x:c r="AD100" s="52" t="n">
        <x:f>IFERROR(L100/E100,1)</x:f>
        <x:v>0.9166666666666666</x:v>
      </x:c>
      <x:c r="AE100" s="52" t="n">
        <x:f>IFERROR(X100/E100,1)</x:f>
        <x:v>1</x:v>
      </x:c>
      <x:c r="AF100" s="52" t="n">
        <x:f>IFERROR(I100/F100,0)</x:f>
        <x:v>0.6232142857142857</x:v>
      </x:c>
      <x:c r="AG100" s="52" t="n">
        <x:f>IFERROR(U100/F100,0)</x:f>
        <x:v>0.5803571428571429</x:v>
      </x:c>
    </x:row>
    <x:row r="101">
      <x:c r="A101" s="50" t="n">
        <x:v>46181</x:v>
      </x:c>
      <x:c r="B101" s="48" t="str">
        <x:v>Paneer</x:v>
      </x:c>
      <x:c r="C101" s="48" t="n">
        <x:v>5</x:v>
      </x:c>
      <x:c r="D101" s="54" t="n">
        <x:v>148</x:v>
      </x:c>
      <x:c r="E101" s="54" t="n">
        <x:v>125</x:v>
      </x:c>
      <x:c r="F101" s="54" t="n">
        <x:v>230</x:v>
      </x:c>
      <x:c r="G101" s="54" t="n">
        <x:f>ROUND(D101*0.97,0)</x:f>
        <x:v>144</x:v>
      </x:c>
      <x:c r="H101" s="52" t="n">
        <x:v>1.016082041880083</x:v>
      </x:c>
      <x:c r="I101" s="54" t="n">
        <x:f>MIN(F101,ROUND(G101*H101,0))</x:f>
        <x:v>146</x:v>
      </x:c>
      <x:c r="J101" s="54" t="n">
        <x:f>Q96</x:f>
        <x:v>26</x:v>
      </x:c>
      <x:c r="K101" s="54" t="n">
        <x:f>I101+J101</x:f>
        <x:v>172</x:v>
      </x:c>
      <x:c r="L101" s="54" t="n">
        <x:f>MIN(E101,K101)</x:f>
        <x:v>125</x:v>
      </x:c>
      <x:c r="M101" s="54" t="n">
        <x:f>MAX(E101-K101,0)</x:f>
        <x:v>0</x:v>
      </x:c>
      <x:c r="N101" s="54" t="n">
        <x:f>MAX(K101-L101,0)</x:f>
        <x:v>47</x:v>
      </x:c>
      <x:c r="O101" s="52" t="n">
        <x:v>0.025</x:v>
      </x:c>
      <x:c r="P101" s="54" t="n">
        <x:f>MIN(N101,ROUND(N101*O101,0))</x:f>
        <x:v>1</x:v>
      </x:c>
      <x:c r="Q101" s="54" t="n">
        <x:f>N101-P101</x:f>
        <x:v>46</x:v>
      </x:c>
      <x:c r="R101" s="54" t="n">
        <x:v>30</x:v>
      </x:c>
      <x:c r="S101" s="54" t="n">
        <x:f>MIN(F101,MAX(0,ROUND(D101+R101-V101,0)))</x:f>
        <x:v>110</x:v>
      </x:c>
      <x:c r="T101" s="52" t="n">
        <x:v>0.9824568791536638</x:v>
      </x:c>
      <x:c r="U101" s="54" t="n">
        <x:f>MIN(F101,MAX(0,ROUND(S101*T101,0)))</x:f>
        <x:v>108</x:v>
      </x:c>
      <x:c r="V101" s="54" t="n">
        <x:f>AB96</x:f>
        <x:v>68</x:v>
      </x:c>
      <x:c r="W101" s="54" t="n">
        <x:f>U101+V101</x:f>
        <x:v>176</x:v>
      </x:c>
      <x:c r="X101" s="54" t="n">
        <x:f>MIN(E101,W101)</x:f>
        <x:v>125</x:v>
      </x:c>
      <x:c r="Y101" s="54" t="n">
        <x:f>MAX(E101-W101,0)</x:f>
        <x:v>0</x:v>
      </x:c>
      <x:c r="Z101" s="54" t="n">
        <x:f>MAX(W101-X101,0)</x:f>
        <x:v>51</x:v>
      </x:c>
      <x:c r="AA101" s="54" t="n">
        <x:f>MIN(Z101,ROUND(Z101*O101,0))</x:f>
        <x:v>1</x:v>
      </x:c>
      <x:c r="AB101" s="54" t="n">
        <x:f>Z101-AA101</x:f>
        <x:v>50</x:v>
      </x:c>
      <x:c r="AC101" s="52" t="n">
        <x:f>IFERROR(ABS(E101-D101)/E101,0)</x:f>
        <x:v>0.184</x:v>
      </x:c>
      <x:c r="AD101" s="52" t="n">
        <x:f>IFERROR(L101/E101,1)</x:f>
        <x:v>1</x:v>
      </x:c>
      <x:c r="AE101" s="52" t="n">
        <x:f>IFERROR(X101/E101,1)</x:f>
        <x:v>1</x:v>
      </x:c>
      <x:c r="AF101" s="52" t="n">
        <x:f>IFERROR(I101/F101,0)</x:f>
        <x:v>0.6347826086956522</x:v>
      </x:c>
      <x:c r="AG101" s="52" t="n">
        <x:f>IFERROR(U101/F101,0)</x:f>
        <x:v>0.46956521739130436</x:v>
      </x:c>
    </x:row>
    <x:row r="102">
      <x:c r="A102" s="50" t="n">
        <x:v>46182</x:v>
      </x:c>
      <x:c r="B102" s="48" t="str">
        <x:v>Toned Milk</x:v>
      </x:c>
      <x:c r="C102" s="48" t="n">
        <x:v>2</x:v>
      </x:c>
      <x:c r="D102" s="54" t="n">
        <x:v>1678</x:v>
      </x:c>
      <x:c r="E102" s="54" t="n">
        <x:v>1957</x:v>
      </x:c>
      <x:c r="F102" s="54" t="n">
        <x:v>2250</x:v>
      </x:c>
      <x:c r="G102" s="54" t="n">
        <x:f>ROUND(D102*0.97,0)</x:f>
        <x:v>1628</x:v>
      </x:c>
      <x:c r="H102" s="52" t="n">
        <x:v>1.0136607763235468</x:v>
      </x:c>
      <x:c r="I102" s="54" t="n">
        <x:f>MIN(F102,ROUND(G102*H102,0))</x:f>
        <x:v>1650</x:v>
      </x:c>
      <x:c r="J102" s="54" t="n">
        <x:f>Q97</x:f>
        <x:v>1295</x:v>
      </x:c>
      <x:c r="K102" s="54" t="n">
        <x:f>I102+J102</x:f>
        <x:v>2945</x:v>
      </x:c>
      <x:c r="L102" s="54" t="n">
        <x:f>MIN(E102,K102)</x:f>
        <x:v>1957</x:v>
      </x:c>
      <x:c r="M102" s="54" t="n">
        <x:f>MAX(E102-K102,0)</x:f>
        <x:v>0</x:v>
      </x:c>
      <x:c r="N102" s="54" t="n">
        <x:f>MAX(K102-L102,0)</x:f>
        <x:v>988</x:v>
      </x:c>
      <x:c r="O102" s="52" t="n">
        <x:v>0.025</x:v>
      </x:c>
      <x:c r="P102" s="54" t="n">
        <x:f>MIN(N102,ROUND(N102*O102,0))</x:f>
        <x:v>25</x:v>
      </x:c>
      <x:c r="Q102" s="54" t="n">
        <x:f>N102-P102</x:f>
        <x:v>963</x:v>
      </x:c>
      <x:c r="R102" s="54" t="n">
        <x:v>201</x:v>
      </x:c>
      <x:c r="S102" s="54" t="n">
        <x:f>MIN(F102,MAX(0,ROUND(D102+R102-V102,0)))</x:f>
        <x:v>1431</x:v>
      </x:c>
      <x:c r="T102" s="52" t="n">
        <x:v>1.014914631763718</x:v>
      </x:c>
      <x:c r="U102" s="54" t="n">
        <x:f>MIN(F102,MAX(0,ROUND(S102*T102,0)))</x:f>
        <x:v>1452</x:v>
      </x:c>
      <x:c r="V102" s="54" t="n">
        <x:f>AB97</x:f>
        <x:v>448</x:v>
      </x:c>
      <x:c r="W102" s="54" t="n">
        <x:f>U102+V102</x:f>
        <x:v>1900</x:v>
      </x:c>
      <x:c r="X102" s="54" t="n">
        <x:f>MIN(E102,W102)</x:f>
        <x:v>1900</x:v>
      </x:c>
      <x:c r="Y102" s="54" t="n">
        <x:f>MAX(E102-W102,0)</x:f>
        <x:v>57</x:v>
      </x:c>
      <x:c r="Z102" s="54" t="n">
        <x:f>MAX(W102-X102,0)</x:f>
        <x:v>0</x:v>
      </x:c>
      <x:c r="AA102" s="54" t="n">
        <x:f>MIN(Z102,ROUND(Z102*O102,0))</x:f>
        <x:v>0</x:v>
      </x:c>
      <x:c r="AB102" s="54" t="n">
        <x:f>Z102-AA102</x:f>
        <x:v>0</x:v>
      </x:c>
      <x:c r="AC102" s="52" t="n">
        <x:f>IFERROR(ABS(E102-D102)/E102,0)</x:f>
        <x:v>0.14256515074092999</x:v>
      </x:c>
      <x:c r="AD102" s="52" t="n">
        <x:f>IFERROR(L102/E102,1)</x:f>
        <x:v>1</x:v>
      </x:c>
      <x:c r="AE102" s="52" t="n">
        <x:f>IFERROR(X102/E102,1)</x:f>
        <x:v>0.970873786407767</x:v>
      </x:c>
      <x:c r="AF102" s="52" t="n">
        <x:f>IFERROR(I102/F102,0)</x:f>
        <x:v>0.7333333333333333</x:v>
      </x:c>
      <x:c r="AG102" s="52" t="n">
        <x:f>IFERROR(U102/F102,0)</x:f>
        <x:v>0.6453333333333333</x:v>
      </x:c>
    </x:row>
    <x:row r="103">
      <x:c r="A103" s="50" t="n">
        <x:v>46182</x:v>
      </x:c>
      <x:c r="B103" s="48" t="str">
        <x:v>Full Cream Milk</x:v>
      </x:c>
      <x:c r="C103" s="48" t="n">
        <x:v>2</x:v>
      </x:c>
      <x:c r="D103" s="54" t="n">
        <x:v>839</x:v>
      </x:c>
      <x:c r="E103" s="54" t="n">
        <x:v>964</x:v>
      </x:c>
      <x:c r="F103" s="54" t="n">
        <x:v>1200</x:v>
      </x:c>
      <x:c r="G103" s="54" t="n">
        <x:f>ROUND(D103*0.97,0)</x:f>
        <x:v>814</x:v>
      </x:c>
      <x:c r="H103" s="52" t="n">
        <x:v>0.9824399799774102</x:v>
      </x:c>
      <x:c r="I103" s="54" t="n">
        <x:f>MIN(F103,ROUND(G103*H103,0))</x:f>
        <x:v>800</x:v>
      </x:c>
      <x:c r="J103" s="54" t="n">
        <x:f>Q98</x:f>
        <x:v>258</x:v>
      </x:c>
      <x:c r="K103" s="54" t="n">
        <x:f>I103+J103</x:f>
        <x:v>1058</x:v>
      </x:c>
      <x:c r="L103" s="54" t="n">
        <x:f>MIN(E103,K103)</x:f>
        <x:v>964</x:v>
      </x:c>
      <x:c r="M103" s="54" t="n">
        <x:f>MAX(E103-K103,0)</x:f>
        <x:v>0</x:v>
      </x:c>
      <x:c r="N103" s="54" t="n">
        <x:f>MAX(K103-L103,0)</x:f>
        <x:v>94</x:v>
      </x:c>
      <x:c r="O103" s="52" t="n">
        <x:v>0.03</x:v>
      </x:c>
      <x:c r="P103" s="54" t="n">
        <x:f>MIN(N103,ROUND(N103*O103,0))</x:f>
        <x:v>3</x:v>
      </x:c>
      <x:c r="Q103" s="54" t="n">
        <x:f>N103-P103</x:f>
        <x:v>91</x:v>
      </x:c>
      <x:c r="R103" s="54" t="n">
        <x:v>101</x:v>
      </x:c>
      <x:c r="S103" s="54" t="n">
        <x:f>MIN(F103,MAX(0,ROUND(D103+R103-V103,0)))</x:f>
        <x:v>749</x:v>
      </x:c>
      <x:c r="T103" s="52" t="n">
        <x:v>0.9863427421862256</x:v>
      </x:c>
      <x:c r="U103" s="54" t="n">
        <x:f>MIN(F103,MAX(0,ROUND(S103*T103,0)))</x:f>
        <x:v>739</x:v>
      </x:c>
      <x:c r="V103" s="54" t="n">
        <x:f>AB98</x:f>
        <x:v>191</x:v>
      </x:c>
      <x:c r="W103" s="54" t="n">
        <x:f>U103+V103</x:f>
        <x:v>930</x:v>
      </x:c>
      <x:c r="X103" s="54" t="n">
        <x:f>MIN(E103,W103)</x:f>
        <x:v>930</x:v>
      </x:c>
      <x:c r="Y103" s="54" t="n">
        <x:f>MAX(E103-W103,0)</x:f>
        <x:v>34</x:v>
      </x:c>
      <x:c r="Z103" s="54" t="n">
        <x:f>MAX(W103-X103,0)</x:f>
        <x:v>0</x:v>
      </x:c>
      <x:c r="AA103" s="54" t="n">
        <x:f>MIN(Z103,ROUND(Z103*O103,0))</x:f>
        <x:v>0</x:v>
      </x:c>
      <x:c r="AB103" s="54" t="n">
        <x:f>Z103-AA103</x:f>
        <x:v>0</x:v>
      </x:c>
      <x:c r="AC103" s="52" t="n">
        <x:f>IFERROR(ABS(E103-D103)/E103,0)</x:f>
        <x:v>0.12966804979253113</x:v>
      </x:c>
      <x:c r="AD103" s="52" t="n">
        <x:f>IFERROR(L103/E103,1)</x:f>
        <x:v>1</x:v>
      </x:c>
      <x:c r="AE103" s="52" t="n">
        <x:f>IFERROR(X103/E103,1)</x:f>
        <x:v>0.9647302904564315</x:v>
      </x:c>
      <x:c r="AF103" s="52" t="n">
        <x:f>IFERROR(I103/F103,0)</x:f>
        <x:v>0.6666666666666666</x:v>
      </x:c>
      <x:c r="AG103" s="52" t="n">
        <x:f>IFERROR(U103/F103,0)</x:f>
        <x:v>0.6158333333333333</x:v>
      </x:c>
    </x:row>
    <x:row r="104">
      <x:c r="A104" s="50" t="n">
        <x:v>46182</x:v>
      </x:c>
      <x:c r="B104" s="48" t="str">
        <x:v>Curd</x:v>
      </x:c>
      <x:c r="C104" s="48" t="n">
        <x:v>7</x:v>
      </x:c>
      <x:c r="D104" s="54" t="n">
        <x:v>483</x:v>
      </x:c>
      <x:c r="E104" s="54" t="n">
        <x:v>550</x:v>
      </x:c>
      <x:c r="F104" s="54" t="n">
        <x:v>700</x:v>
      </x:c>
      <x:c r="G104" s="54" t="n">
        <x:f>ROUND(D104*0.97,0)</x:f>
        <x:v>469</x:v>
      </x:c>
      <x:c r="H104" s="52" t="n">
        <x:v>0.997775735735304</x:v>
      </x:c>
      <x:c r="I104" s="54" t="n">
        <x:f>MIN(F104,ROUND(G104*H104,0))</x:f>
        <x:v>468</x:v>
      </x:c>
      <x:c r="J104" s="54" t="n">
        <x:f>Q99</x:f>
        <x:v>123</x:v>
      </x:c>
      <x:c r="K104" s="54" t="n">
        <x:f>I104+J104</x:f>
        <x:v>591</x:v>
      </x:c>
      <x:c r="L104" s="54" t="n">
        <x:f>MIN(E104,K104)</x:f>
        <x:v>550</x:v>
      </x:c>
      <x:c r="M104" s="54" t="n">
        <x:f>MAX(E104-K104,0)</x:f>
        <x:v>0</x:v>
      </x:c>
      <x:c r="N104" s="54" t="n">
        <x:f>MAX(K104-L104,0)</x:f>
        <x:v>41</x:v>
      </x:c>
      <x:c r="O104" s="52" t="n">
        <x:v>0.018</x:v>
      </x:c>
      <x:c r="P104" s="54" t="n">
        <x:f>MIN(N104,ROUND(N104*O104,0))</x:f>
        <x:v>1</x:v>
      </x:c>
      <x:c r="Q104" s="54" t="n">
        <x:f>N104-P104</x:f>
        <x:v>40</x:v>
      </x:c>
      <x:c r="R104" s="54" t="n">
        <x:v>87</x:v>
      </x:c>
      <x:c r="S104" s="54" t="n">
        <x:f>MIN(F104,MAX(0,ROUND(D104+R104-V104,0)))</x:f>
        <x:v>529</x:v>
      </x:c>
      <x:c r="T104" s="52" t="n">
        <x:v>1.0172384024503807</x:v>
      </x:c>
      <x:c r="U104" s="54" t="n">
        <x:f>MIN(F104,MAX(0,ROUND(S104*T104,0)))</x:f>
        <x:v>538</x:v>
      </x:c>
      <x:c r="V104" s="54" t="n">
        <x:f>AB99</x:f>
        <x:v>41</x:v>
      </x:c>
      <x:c r="W104" s="54" t="n">
        <x:f>U104+V104</x:f>
        <x:v>579</x:v>
      </x:c>
      <x:c r="X104" s="54" t="n">
        <x:f>MIN(E104,W104)</x:f>
        <x:v>550</x:v>
      </x:c>
      <x:c r="Y104" s="54" t="n">
        <x:f>MAX(E104-W104,0)</x:f>
        <x:v>0</x:v>
      </x:c>
      <x:c r="Z104" s="54" t="n">
        <x:f>MAX(W104-X104,0)</x:f>
        <x:v>29</x:v>
      </x:c>
      <x:c r="AA104" s="54" t="n">
        <x:f>MIN(Z104,ROUND(Z104*O104,0))</x:f>
        <x:v>1</x:v>
      </x:c>
      <x:c r="AB104" s="54" t="n">
        <x:f>Z104-AA104</x:f>
        <x:v>28</x:v>
      </x:c>
      <x:c r="AC104" s="52" t="n">
        <x:f>IFERROR(ABS(E104-D104)/E104,0)</x:f>
        <x:v>0.12181818181818181</x:v>
      </x:c>
      <x:c r="AD104" s="52" t="n">
        <x:f>IFERROR(L104/E104,1)</x:f>
        <x:v>1</x:v>
      </x:c>
      <x:c r="AE104" s="52" t="n">
        <x:f>IFERROR(X104/E104,1)</x:f>
        <x:v>1</x:v>
      </x:c>
      <x:c r="AF104" s="52" t="n">
        <x:f>IFERROR(I104/F104,0)</x:f>
        <x:v>0.6685714285714286</x:v>
      </x:c>
      <x:c r="AG104" s="52" t="n">
        <x:f>IFERROR(U104/F104,0)</x:f>
        <x:v>0.7685714285714286</x:v>
      </x:c>
    </x:row>
    <x:row r="105">
      <x:c r="A105" s="50" t="n">
        <x:v>46182</x:v>
      </x:c>
      <x:c r="B105" s="48" t="str">
        <x:v>Lassi</x:v>
      </x:c>
      <x:c r="C105" s="48" t="n">
        <x:v>7</x:v>
      </x:c>
      <x:c r="D105" s="54" t="n">
        <x:v>379</x:v>
      </x:c>
      <x:c r="E105" s="54" t="n">
        <x:v>392</x:v>
      </x:c>
      <x:c r="F105" s="54" t="n">
        <x:v>560</x:v>
      </x:c>
      <x:c r="G105" s="54" t="n">
        <x:f>ROUND(D105*0.97,0)</x:f>
        <x:v>368</x:v>
      </x:c>
      <x:c r="H105" s="52" t="n">
        <x:v>0.9934532483663066</x:v>
      </x:c>
      <x:c r="I105" s="54" t="n">
        <x:f>MIN(F105,ROUND(G105*H105,0))</x:f>
        <x:v>366</x:v>
      </x:c>
      <x:c r="J105" s="54" t="n">
        <x:f>Q100</x:f>
        <x:v>0</x:v>
      </x:c>
      <x:c r="K105" s="54" t="n">
        <x:f>I105+J105</x:f>
        <x:v>366</x:v>
      </x:c>
      <x:c r="L105" s="54" t="n">
        <x:f>MIN(E105,K105)</x:f>
        <x:v>366</x:v>
      </x:c>
      <x:c r="M105" s="54" t="n">
        <x:f>MAX(E105-K105,0)</x:f>
        <x:v>26</x:v>
      </x:c>
      <x:c r="N105" s="54" t="n">
        <x:f>MAX(K105-L105,0)</x:f>
        <x:v>0</x:v>
      </x:c>
      <x:c r="O105" s="52" t="n">
        <x:v>0.02</x:v>
      </x:c>
      <x:c r="P105" s="54" t="n">
        <x:f>MIN(N105,ROUND(N105*O105,0))</x:f>
        <x:v>0</x:v>
      </x:c>
      <x:c r="Q105" s="54" t="n">
        <x:f>N105-P105</x:f>
        <x:v>0</x:v>
      </x:c>
      <x:c r="R105" s="54" t="n">
        <x:v>68</x:v>
      </x:c>
      <x:c r="S105" s="54" t="n">
        <x:f>MIN(F105,MAX(0,ROUND(D105+R105-V105,0)))</x:f>
        <x:v>410</x:v>
      </x:c>
      <x:c r="T105" s="52" t="n">
        <x:v>1.0018353650720742</x:v>
      </x:c>
      <x:c r="U105" s="54" t="n">
        <x:f>MIN(F105,MAX(0,ROUND(S105*T105,0)))</x:f>
        <x:v>411</x:v>
      </x:c>
      <x:c r="V105" s="54" t="n">
        <x:f>AB100</x:f>
        <x:v>37</x:v>
      </x:c>
      <x:c r="W105" s="54" t="n">
        <x:f>U105+V105</x:f>
        <x:v>448</x:v>
      </x:c>
      <x:c r="X105" s="54" t="n">
        <x:f>MIN(E105,W105)</x:f>
        <x:v>392</x:v>
      </x:c>
      <x:c r="Y105" s="54" t="n">
        <x:f>MAX(E105-W105,0)</x:f>
        <x:v>0</x:v>
      </x:c>
      <x:c r="Z105" s="54" t="n">
        <x:f>MAX(W105-X105,0)</x:f>
        <x:v>56</x:v>
      </x:c>
      <x:c r="AA105" s="54" t="n">
        <x:f>MIN(Z105,ROUND(Z105*O105,0))</x:f>
        <x:v>1</x:v>
      </x:c>
      <x:c r="AB105" s="54" t="n">
        <x:f>Z105-AA105</x:f>
        <x:v>55</x:v>
      </x:c>
      <x:c r="AC105" s="52" t="n">
        <x:f>IFERROR(ABS(E105-D105)/E105,0)</x:f>
        <x:v>0.03316326530612245</x:v>
      </x:c>
      <x:c r="AD105" s="52" t="n">
        <x:f>IFERROR(L105/E105,1)</x:f>
        <x:v>0.9336734693877551</x:v>
      </x:c>
      <x:c r="AE105" s="52" t="n">
        <x:f>IFERROR(X105/E105,1)</x:f>
        <x:v>1</x:v>
      </x:c>
      <x:c r="AF105" s="52" t="n">
        <x:f>IFERROR(I105/F105,0)</x:f>
        <x:v>0.6535714285714286</x:v>
      </x:c>
      <x:c r="AG105" s="52" t="n">
        <x:f>IFERROR(U105/F105,0)</x:f>
        <x:v>0.7339285714285714</x:v>
      </x:c>
    </x:row>
    <x:row r="106">
      <x:c r="A106" s="50" t="n">
        <x:v>46182</x:v>
      </x:c>
      <x:c r="B106" s="48" t="str">
        <x:v>Paneer</x:v>
      </x:c>
      <x:c r="C106" s="48" t="n">
        <x:v>5</x:v>
      </x:c>
      <x:c r="D106" s="54" t="n">
        <x:v>153</x:v>
      </x:c>
      <x:c r="E106" s="54" t="n">
        <x:v>168</x:v>
      </x:c>
      <x:c r="F106" s="54" t="n">
        <x:v>230</x:v>
      </x:c>
      <x:c r="G106" s="54" t="n">
        <x:f>ROUND(D106*0.97,0)</x:f>
        <x:v>148</x:v>
      </x:c>
      <x:c r="H106" s="52" t="n">
        <x:v>1.0037483864833785</x:v>
      </x:c>
      <x:c r="I106" s="54" t="n">
        <x:f>MIN(F106,ROUND(G106*H106,0))</x:f>
        <x:v>149</x:v>
      </x:c>
      <x:c r="J106" s="54" t="n">
        <x:f>Q101</x:f>
        <x:v>46</x:v>
      </x:c>
      <x:c r="K106" s="54" t="n">
        <x:f>I106+J106</x:f>
        <x:v>195</x:v>
      </x:c>
      <x:c r="L106" s="54" t="n">
        <x:f>MIN(E106,K106)</x:f>
        <x:v>168</x:v>
      </x:c>
      <x:c r="M106" s="54" t="n">
        <x:f>MAX(E106-K106,0)</x:f>
        <x:v>0</x:v>
      </x:c>
      <x:c r="N106" s="54" t="n">
        <x:f>MAX(K106-L106,0)</x:f>
        <x:v>27</x:v>
      </x:c>
      <x:c r="O106" s="52" t="n">
        <x:v>0.025</x:v>
      </x:c>
      <x:c r="P106" s="54" t="n">
        <x:f>MIN(N106,ROUND(N106*O106,0))</x:f>
        <x:v>1</x:v>
      </x:c>
      <x:c r="Q106" s="54" t="n">
        <x:f>N106-P106</x:f>
        <x:v>26</x:v>
      </x:c>
      <x:c r="R106" s="54" t="n">
        <x:v>31</x:v>
      </x:c>
      <x:c r="S106" s="54" t="n">
        <x:f>MIN(F106,MAX(0,ROUND(D106+R106-V106,0)))</x:f>
        <x:v>134</x:v>
      </x:c>
      <x:c r="T106" s="52" t="n">
        <x:v>0.9857147654484134</x:v>
      </x:c>
      <x:c r="U106" s="54" t="n">
        <x:f>MIN(F106,MAX(0,ROUND(S106*T106,0)))</x:f>
        <x:v>132</x:v>
      </x:c>
      <x:c r="V106" s="54" t="n">
        <x:f>AB101</x:f>
        <x:v>50</x:v>
      </x:c>
      <x:c r="W106" s="54" t="n">
        <x:f>U106+V106</x:f>
        <x:v>182</x:v>
      </x:c>
      <x:c r="X106" s="54" t="n">
        <x:f>MIN(E106,W106)</x:f>
        <x:v>168</x:v>
      </x:c>
      <x:c r="Y106" s="54" t="n">
        <x:f>MAX(E106-W106,0)</x:f>
        <x:v>0</x:v>
      </x:c>
      <x:c r="Z106" s="54" t="n">
        <x:f>MAX(W106-X106,0)</x:f>
        <x:v>14</x:v>
      </x:c>
      <x:c r="AA106" s="54" t="n">
        <x:f>MIN(Z106,ROUND(Z106*O106,0))</x:f>
        <x:v>0</x:v>
      </x:c>
      <x:c r="AB106" s="54" t="n">
        <x:f>Z106-AA106</x:f>
        <x:v>14</x:v>
      </x:c>
      <x:c r="AC106" s="52" t="n">
        <x:f>IFERROR(ABS(E106-D106)/E106,0)</x:f>
        <x:v>0.08928571428571429</x:v>
      </x:c>
      <x:c r="AD106" s="52" t="n">
        <x:f>IFERROR(L106/E106,1)</x:f>
        <x:v>1</x:v>
      </x:c>
      <x:c r="AE106" s="52" t="n">
        <x:f>IFERROR(X106/E106,1)</x:f>
        <x:v>1</x:v>
      </x:c>
      <x:c r="AF106" s="52" t="n">
        <x:f>IFERROR(I106/F106,0)</x:f>
        <x:v>0.6478260869565218</x:v>
      </x:c>
      <x:c r="AG106" s="52" t="n">
        <x:f>IFERROR(U106/F106,0)</x:f>
        <x:v>0.5739130434782609</x:v>
      </x:c>
    </x:row>
    <x:row r="107">
      <x:c r="A107" s="50" t="n">
        <x:v>46183</x:v>
      </x:c>
      <x:c r="B107" s="48" t="str">
        <x:v>Toned Milk</x:v>
      </x:c>
      <x:c r="C107" s="48" t="n">
        <x:v>2</x:v>
      </x:c>
      <x:c r="D107" s="54" t="n">
        <x:v>1695</x:v>
      </x:c>
      <x:c r="E107" s="54" t="n">
        <x:v>1397</x:v>
      </x:c>
      <x:c r="F107" s="54" t="n">
        <x:v>2250</x:v>
      </x:c>
      <x:c r="G107" s="54" t="n">
        <x:f>ROUND(D107*0.97,0)</x:f>
        <x:v>1644</x:v>
      </x:c>
      <x:c r="H107" s="52" t="n">
        <x:v>1.0087123619009943</x:v>
      </x:c>
      <x:c r="I107" s="54" t="n">
        <x:f>MIN(F107,ROUND(G107*H107,0))</x:f>
        <x:v>1658</x:v>
      </x:c>
      <x:c r="J107" s="54" t="n">
        <x:f>Q102</x:f>
        <x:v>963</x:v>
      </x:c>
      <x:c r="K107" s="54" t="n">
        <x:f>I107+J107</x:f>
        <x:v>2621</x:v>
      </x:c>
      <x:c r="L107" s="54" t="n">
        <x:f>MIN(E107,K107)</x:f>
        <x:v>1397</x:v>
      </x:c>
      <x:c r="M107" s="54" t="n">
        <x:f>MAX(E107-K107,0)</x:f>
        <x:v>0</x:v>
      </x:c>
      <x:c r="N107" s="54" t="n">
        <x:f>MAX(K107-L107,0)</x:f>
        <x:v>1224</x:v>
      </x:c>
      <x:c r="O107" s="52" t="n">
        <x:v>0.025</x:v>
      </x:c>
      <x:c r="P107" s="54" t="n">
        <x:f>MIN(N107,ROUND(N107*O107,0))</x:f>
        <x:v>31</x:v>
      </x:c>
      <x:c r="Q107" s="54" t="n">
        <x:f>N107-P107</x:f>
        <x:v>1193</x:v>
      </x:c>
      <x:c r="R107" s="54" t="n">
        <x:v>203</x:v>
      </x:c>
      <x:c r="S107" s="54" t="n">
        <x:f>MIN(F107,MAX(0,ROUND(D107+R107-V107,0)))</x:f>
        <x:v>1898</x:v>
      </x:c>
      <x:c r="T107" s="52" t="n">
        <x:v>1.0017887333755953</x:v>
      </x:c>
      <x:c r="U107" s="54" t="n">
        <x:f>MIN(F107,MAX(0,ROUND(S107*T107,0)))</x:f>
        <x:v>1901</x:v>
      </x:c>
      <x:c r="V107" s="54" t="n">
        <x:f>AB102</x:f>
        <x:v>0</x:v>
      </x:c>
      <x:c r="W107" s="54" t="n">
        <x:f>U107+V107</x:f>
        <x:v>1901</x:v>
      </x:c>
      <x:c r="X107" s="54" t="n">
        <x:f>MIN(E107,W107)</x:f>
        <x:v>1397</x:v>
      </x:c>
      <x:c r="Y107" s="54" t="n">
        <x:f>MAX(E107-W107,0)</x:f>
        <x:v>0</x:v>
      </x:c>
      <x:c r="Z107" s="54" t="n">
        <x:f>MAX(W107-X107,0)</x:f>
        <x:v>504</x:v>
      </x:c>
      <x:c r="AA107" s="54" t="n">
        <x:f>MIN(Z107,ROUND(Z107*O107,0))</x:f>
        <x:v>13</x:v>
      </x:c>
      <x:c r="AB107" s="54" t="n">
        <x:f>Z107-AA107</x:f>
        <x:v>491</x:v>
      </x:c>
      <x:c r="AC107" s="52" t="n">
        <x:f>IFERROR(ABS(E107-D107)/E107,0)</x:f>
        <x:v>0.2133142448103078</x:v>
      </x:c>
      <x:c r="AD107" s="52" t="n">
        <x:f>IFERROR(L107/E107,1)</x:f>
        <x:v>1</x:v>
      </x:c>
      <x:c r="AE107" s="52" t="n">
        <x:f>IFERROR(X107/E107,1)</x:f>
        <x:v>1</x:v>
      </x:c>
      <x:c r="AF107" s="52" t="n">
        <x:f>IFERROR(I107/F107,0)</x:f>
        <x:v>0.7368888888888889</x:v>
      </x:c>
      <x:c r="AG107" s="52" t="n">
        <x:f>IFERROR(U107/F107,0)</x:f>
        <x:v>0.8448888888888889</x:v>
      </x:c>
    </x:row>
    <x:row r="108">
      <x:c r="A108" s="50" t="n">
        <x:v>46183</x:v>
      </x:c>
      <x:c r="B108" s="48" t="str">
        <x:v>Full Cream Milk</x:v>
      </x:c>
      <x:c r="C108" s="48" t="n">
        <x:v>2</x:v>
      </x:c>
      <x:c r="D108" s="54" t="n">
        <x:v>848</x:v>
      </x:c>
      <x:c r="E108" s="54" t="n">
        <x:v>949</x:v>
      </x:c>
      <x:c r="F108" s="54" t="n">
        <x:v>1200</x:v>
      </x:c>
      <x:c r="G108" s="54" t="n">
        <x:f>ROUND(D108*0.97,0)</x:f>
        <x:v>823</x:v>
      </x:c>
      <x:c r="H108" s="52" t="n">
        <x:v>1.0034954754314718</x:v>
      </x:c>
      <x:c r="I108" s="54" t="n">
        <x:f>MIN(F108,ROUND(G108*H108,0))</x:f>
        <x:v>826</x:v>
      </x:c>
      <x:c r="J108" s="54" t="n">
        <x:f>Q103</x:f>
        <x:v>91</x:v>
      </x:c>
      <x:c r="K108" s="54" t="n">
        <x:f>I108+J108</x:f>
        <x:v>917</x:v>
      </x:c>
      <x:c r="L108" s="54" t="n">
        <x:f>MIN(E108,K108)</x:f>
        <x:v>917</x:v>
      </x:c>
      <x:c r="M108" s="54" t="n">
        <x:f>MAX(E108-K108,0)</x:f>
        <x:v>32</x:v>
      </x:c>
      <x:c r="N108" s="54" t="n">
        <x:f>MAX(K108-L108,0)</x:f>
        <x:v>0</x:v>
      </x:c>
      <x:c r="O108" s="52" t="n">
        <x:v>0.03</x:v>
      </x:c>
      <x:c r="P108" s="54" t="n">
        <x:f>MIN(N108,ROUND(N108*O108,0))</x:f>
        <x:v>0</x:v>
      </x:c>
      <x:c r="Q108" s="54" t="n">
        <x:f>N108-P108</x:f>
        <x:v>0</x:v>
      </x:c>
      <x:c r="R108" s="54" t="n">
        <x:v>102</x:v>
      </x:c>
      <x:c r="S108" s="54" t="n">
        <x:f>MIN(F108,MAX(0,ROUND(D108+R108-V108,0)))</x:f>
        <x:v>950</x:v>
      </x:c>
      <x:c r="T108" s="52" t="n">
        <x:v>0.9881340693063964</x:v>
      </x:c>
      <x:c r="U108" s="54" t="n">
        <x:f>MIN(F108,MAX(0,ROUND(S108*T108,0)))</x:f>
        <x:v>939</x:v>
      </x:c>
      <x:c r="V108" s="54" t="n">
        <x:f>AB103</x:f>
        <x:v>0</x:v>
      </x:c>
      <x:c r="W108" s="54" t="n">
        <x:f>U108+V108</x:f>
        <x:v>939</x:v>
      </x:c>
      <x:c r="X108" s="54" t="n">
        <x:f>MIN(E108,W108)</x:f>
        <x:v>939</x:v>
      </x:c>
      <x:c r="Y108" s="54" t="n">
        <x:f>MAX(E108-W108,0)</x:f>
        <x:v>10</x:v>
      </x:c>
      <x:c r="Z108" s="54" t="n">
        <x:f>MAX(W108-X108,0)</x:f>
        <x:v>0</x:v>
      </x:c>
      <x:c r="AA108" s="54" t="n">
        <x:f>MIN(Z108,ROUND(Z108*O108,0))</x:f>
        <x:v>0</x:v>
      </x:c>
      <x:c r="AB108" s="54" t="n">
        <x:f>Z108-AA108</x:f>
        <x:v>0</x:v>
      </x:c>
      <x:c r="AC108" s="52" t="n">
        <x:f>IFERROR(ABS(E108-D108)/E108,0)</x:f>
        <x:v>0.10642781875658588</x:v>
      </x:c>
      <x:c r="AD108" s="52" t="n">
        <x:f>IFERROR(L108/E108,1)</x:f>
        <x:v>0.9662802950474183</x:v>
      </x:c>
      <x:c r="AE108" s="52" t="n">
        <x:f>IFERROR(X108/E108,1)</x:f>
        <x:v>0.9894625922023182</x:v>
      </x:c>
      <x:c r="AF108" s="52" t="n">
        <x:f>IFERROR(I108/F108,0)</x:f>
        <x:v>0.6883333333333334</x:v>
      </x:c>
      <x:c r="AG108" s="52" t="n">
        <x:f>IFERROR(U108/F108,0)</x:f>
        <x:v>0.7825</x:v>
      </x:c>
    </x:row>
    <x:row r="109">
      <x:c r="A109" s="50" t="n">
        <x:v>46183</x:v>
      </x:c>
      <x:c r="B109" s="48" t="str">
        <x:v>Curd</x:v>
      </x:c>
      <x:c r="C109" s="48" t="n">
        <x:v>7</x:v>
      </x:c>
      <x:c r="D109" s="54" t="n">
        <x:v>494</x:v>
      </x:c>
      <x:c r="E109" s="54" t="n">
        <x:v>510</x:v>
      </x:c>
      <x:c r="F109" s="54" t="n">
        <x:v>700</x:v>
      </x:c>
      <x:c r="G109" s="54" t="n">
        <x:f>ROUND(D109*0.97,0)</x:f>
        <x:v>479</x:v>
      </x:c>
      <x:c r="H109" s="52" t="n">
        <x:v>1.0106242084711377</x:v>
      </x:c>
      <x:c r="I109" s="54" t="n">
        <x:f>MIN(F109,ROUND(G109*H109,0))</x:f>
        <x:v>484</x:v>
      </x:c>
      <x:c r="J109" s="54" t="n">
        <x:f>Q104</x:f>
        <x:v>40</x:v>
      </x:c>
      <x:c r="K109" s="54" t="n">
        <x:f>I109+J109</x:f>
        <x:v>524</x:v>
      </x:c>
      <x:c r="L109" s="54" t="n">
        <x:f>MIN(E109,K109)</x:f>
        <x:v>510</x:v>
      </x:c>
      <x:c r="M109" s="54" t="n">
        <x:f>MAX(E109-K109,0)</x:f>
        <x:v>0</x:v>
      </x:c>
      <x:c r="N109" s="54" t="n">
        <x:f>MAX(K109-L109,0)</x:f>
        <x:v>14</x:v>
      </x:c>
      <x:c r="O109" s="52" t="n">
        <x:v>0.018</x:v>
      </x:c>
      <x:c r="P109" s="54" t="n">
        <x:f>MIN(N109,ROUND(N109*O109,0))</x:f>
        <x:v>0</x:v>
      </x:c>
      <x:c r="Q109" s="54" t="n">
        <x:f>N109-P109</x:f>
        <x:v>14</x:v>
      </x:c>
      <x:c r="R109" s="54" t="n">
        <x:v>89</x:v>
      </x:c>
      <x:c r="S109" s="54" t="n">
        <x:f>MIN(F109,MAX(0,ROUND(D109+R109-V109,0)))</x:f>
        <x:v>555</x:v>
      </x:c>
      <x:c r="T109" s="52" t="n">
        <x:v>1.0180163759694223</x:v>
      </x:c>
      <x:c r="U109" s="54" t="n">
        <x:f>MIN(F109,MAX(0,ROUND(S109*T109,0)))</x:f>
        <x:v>565</x:v>
      </x:c>
      <x:c r="V109" s="54" t="n">
        <x:f>AB104</x:f>
        <x:v>28</x:v>
      </x:c>
      <x:c r="W109" s="54" t="n">
        <x:f>U109+V109</x:f>
        <x:v>593</x:v>
      </x:c>
      <x:c r="X109" s="54" t="n">
        <x:f>MIN(E109,W109)</x:f>
        <x:v>510</x:v>
      </x:c>
      <x:c r="Y109" s="54" t="n">
        <x:f>MAX(E109-W109,0)</x:f>
        <x:v>0</x:v>
      </x:c>
      <x:c r="Z109" s="54" t="n">
        <x:f>MAX(W109-X109,0)</x:f>
        <x:v>83</x:v>
      </x:c>
      <x:c r="AA109" s="54" t="n">
        <x:f>MIN(Z109,ROUND(Z109*O109,0))</x:f>
        <x:v>1</x:v>
      </x:c>
      <x:c r="AB109" s="54" t="n">
        <x:f>Z109-AA109</x:f>
        <x:v>82</x:v>
      </x:c>
      <x:c r="AC109" s="52" t="n">
        <x:f>IFERROR(ABS(E109-D109)/E109,0)</x:f>
        <x:v>0.03137254901960784</x:v>
      </x:c>
      <x:c r="AD109" s="52" t="n">
        <x:f>IFERROR(L109/E109,1)</x:f>
        <x:v>1</x:v>
      </x:c>
      <x:c r="AE109" s="52" t="n">
        <x:f>IFERROR(X109/E109,1)</x:f>
        <x:v>1</x:v>
      </x:c>
      <x:c r="AF109" s="52" t="n">
        <x:f>IFERROR(I109/F109,0)</x:f>
        <x:v>0.6914285714285714</x:v>
      </x:c>
      <x:c r="AG109" s="52" t="n">
        <x:f>IFERROR(U109/F109,0)</x:f>
        <x:v>0.8071428571428572</x:v>
      </x:c>
    </x:row>
    <x:row r="110">
      <x:c r="A110" s="50" t="n">
        <x:v>46183</x:v>
      </x:c>
      <x:c r="B110" s="48" t="str">
        <x:v>Lassi</x:v>
      </x:c>
      <x:c r="C110" s="48" t="n">
        <x:v>7</x:v>
      </x:c>
      <x:c r="D110" s="54" t="n">
        <x:v>395</x:v>
      </x:c>
      <x:c r="E110" s="54" t="n">
        <x:v>390</x:v>
      </x:c>
      <x:c r="F110" s="54" t="n">
        <x:v>560</x:v>
      </x:c>
      <x:c r="G110" s="54" t="n">
        <x:f>ROUND(D110*0.97,0)</x:f>
        <x:v>383</x:v>
      </x:c>
      <x:c r="H110" s="52" t="n">
        <x:v>1.0190491402300275</x:v>
      </x:c>
      <x:c r="I110" s="54" t="n">
        <x:f>MIN(F110,ROUND(G110*H110,0))</x:f>
        <x:v>390</x:v>
      </x:c>
      <x:c r="J110" s="54" t="n">
        <x:f>Q105</x:f>
        <x:v>0</x:v>
      </x:c>
      <x:c r="K110" s="54" t="n">
        <x:f>I110+J110</x:f>
        <x:v>390</x:v>
      </x:c>
      <x:c r="L110" s="54" t="n">
        <x:f>MIN(E110,K110)</x:f>
        <x:v>390</x:v>
      </x:c>
      <x:c r="M110" s="54" t="n">
        <x:f>MAX(E110-K110,0)</x:f>
        <x:v>0</x:v>
      </x:c>
      <x:c r="N110" s="54" t="n">
        <x:f>MAX(K110-L110,0)</x:f>
        <x:v>0</x:v>
      </x:c>
      <x:c r="O110" s="52" t="n">
        <x:v>0.02</x:v>
      </x:c>
      <x:c r="P110" s="54" t="n">
        <x:f>MIN(N110,ROUND(N110*O110,0))</x:f>
        <x:v>0</x:v>
      </x:c>
      <x:c r="Q110" s="54" t="n">
        <x:f>N110-P110</x:f>
        <x:v>0</x:v>
      </x:c>
      <x:c r="R110" s="54" t="n">
        <x:v>71</x:v>
      </x:c>
      <x:c r="S110" s="54" t="n">
        <x:f>MIN(F110,MAX(0,ROUND(D110+R110-V110,0)))</x:f>
        <x:v>411</x:v>
      </x:c>
      <x:c r="T110" s="52" t="n">
        <x:v>1.0025941601332515</x:v>
      </x:c>
      <x:c r="U110" s="54" t="n">
        <x:f>MIN(F110,MAX(0,ROUND(S110*T110,0)))</x:f>
        <x:v>412</x:v>
      </x:c>
      <x:c r="V110" s="54" t="n">
        <x:f>AB105</x:f>
        <x:v>55</x:v>
      </x:c>
      <x:c r="W110" s="54" t="n">
        <x:f>U110+V110</x:f>
        <x:v>467</x:v>
      </x:c>
      <x:c r="X110" s="54" t="n">
        <x:f>MIN(E110,W110)</x:f>
        <x:v>390</x:v>
      </x:c>
      <x:c r="Y110" s="54" t="n">
        <x:f>MAX(E110-W110,0)</x:f>
        <x:v>0</x:v>
      </x:c>
      <x:c r="Z110" s="54" t="n">
        <x:f>MAX(W110-X110,0)</x:f>
        <x:v>77</x:v>
      </x:c>
      <x:c r="AA110" s="54" t="n">
        <x:f>MIN(Z110,ROUND(Z110*O110,0))</x:f>
        <x:v>2</x:v>
      </x:c>
      <x:c r="AB110" s="54" t="n">
        <x:f>Z110-AA110</x:f>
        <x:v>75</x:v>
      </x:c>
      <x:c r="AC110" s="52" t="n">
        <x:f>IFERROR(ABS(E110-D110)/E110,0)</x:f>
        <x:v>0.01282051282051282</x:v>
      </x:c>
      <x:c r="AD110" s="52" t="n">
        <x:f>IFERROR(L110/E110,1)</x:f>
        <x:v>1</x:v>
      </x:c>
      <x:c r="AE110" s="52" t="n">
        <x:f>IFERROR(X110/E110,1)</x:f>
        <x:v>1</x:v>
      </x:c>
      <x:c r="AF110" s="52" t="n">
        <x:f>IFERROR(I110/F110,0)</x:f>
        <x:v>0.6964285714285714</x:v>
      </x:c>
      <x:c r="AG110" s="52" t="n">
        <x:f>IFERROR(U110/F110,0)</x:f>
        <x:v>0.7357142857142858</x:v>
      </x:c>
    </x:row>
    <x:row r="111">
      <x:c r="A111" s="50" t="n">
        <x:v>46183</x:v>
      </x:c>
      <x:c r="B111" s="48" t="str">
        <x:v>Paneer</x:v>
      </x:c>
      <x:c r="C111" s="48" t="n">
        <x:v>5</x:v>
      </x:c>
      <x:c r="D111" s="54" t="n">
        <x:v>158</x:v>
      </x:c>
      <x:c r="E111" s="54" t="n">
        <x:v>170</x:v>
      </x:c>
      <x:c r="F111" s="54" t="n">
        <x:v>230</x:v>
      </x:c>
      <x:c r="G111" s="54" t="n">
        <x:f>ROUND(D111*0.97,0)</x:f>
        <x:v>153</x:v>
      </x:c>
      <x:c r="H111" s="52" t="n">
        <x:v>0.9855848959185707</x:v>
      </x:c>
      <x:c r="I111" s="54" t="n">
        <x:f>MIN(F111,ROUND(G111*H111,0))</x:f>
        <x:v>151</x:v>
      </x:c>
      <x:c r="J111" s="54" t="n">
        <x:f>Q106</x:f>
        <x:v>26</x:v>
      </x:c>
      <x:c r="K111" s="54" t="n">
        <x:f>I111+J111</x:f>
        <x:v>177</x:v>
      </x:c>
      <x:c r="L111" s="54" t="n">
        <x:f>MIN(E111,K111)</x:f>
        <x:v>170</x:v>
      </x:c>
      <x:c r="M111" s="54" t="n">
        <x:f>MAX(E111-K111,0)</x:f>
        <x:v>0</x:v>
      </x:c>
      <x:c r="N111" s="54" t="n">
        <x:f>MAX(K111-L111,0)</x:f>
        <x:v>7</x:v>
      </x:c>
      <x:c r="O111" s="52" t="n">
        <x:v>0.025</x:v>
      </x:c>
      <x:c r="P111" s="54" t="n">
        <x:f>MIN(N111,ROUND(N111*O111,0))</x:f>
        <x:v>0</x:v>
      </x:c>
      <x:c r="Q111" s="54" t="n">
        <x:f>N111-P111</x:f>
        <x:v>7</x:v>
      </x:c>
      <x:c r="R111" s="54" t="n">
        <x:v>32</x:v>
      </x:c>
      <x:c r="S111" s="54" t="n">
        <x:f>MIN(F111,MAX(0,ROUND(D111+R111-V111,0)))</x:f>
        <x:v>176</x:v>
      </x:c>
      <x:c r="T111" s="52" t="n">
        <x:v>1.0139443216567352</x:v>
      </x:c>
      <x:c r="U111" s="54" t="n">
        <x:f>MIN(F111,MAX(0,ROUND(S111*T111,0)))</x:f>
        <x:v>178</x:v>
      </x:c>
      <x:c r="V111" s="54" t="n">
        <x:f>AB106</x:f>
        <x:v>14</x:v>
      </x:c>
      <x:c r="W111" s="54" t="n">
        <x:f>U111+V111</x:f>
        <x:v>192</x:v>
      </x:c>
      <x:c r="X111" s="54" t="n">
        <x:f>MIN(E111,W111)</x:f>
        <x:v>170</x:v>
      </x:c>
      <x:c r="Y111" s="54" t="n">
        <x:f>MAX(E111-W111,0)</x:f>
        <x:v>0</x:v>
      </x:c>
      <x:c r="Z111" s="54" t="n">
        <x:f>MAX(W111-X111,0)</x:f>
        <x:v>22</x:v>
      </x:c>
      <x:c r="AA111" s="54" t="n">
        <x:f>MIN(Z111,ROUND(Z111*O111,0))</x:f>
        <x:v>1</x:v>
      </x:c>
      <x:c r="AB111" s="54" t="n">
        <x:f>Z111-AA111</x:f>
        <x:v>21</x:v>
      </x:c>
      <x:c r="AC111" s="52" t="n">
        <x:f>IFERROR(ABS(E111-D111)/E111,0)</x:f>
        <x:v>0.07058823529411765</x:v>
      </x:c>
      <x:c r="AD111" s="52" t="n">
        <x:f>IFERROR(L111/E111,1)</x:f>
        <x:v>1</x:v>
      </x:c>
      <x:c r="AE111" s="52" t="n">
        <x:f>IFERROR(X111/E111,1)</x:f>
        <x:v>1</x:v>
      </x:c>
      <x:c r="AF111" s="52" t="n">
        <x:f>IFERROR(I111/F111,0)</x:f>
        <x:v>0.6565217391304348</x:v>
      </x:c>
      <x:c r="AG111" s="52" t="n">
        <x:f>IFERROR(U111/F111,0)</x:f>
        <x:v>0.7739130434782608</x:v>
      </x:c>
    </x:row>
    <x:row r="112">
      <x:c r="A112" s="50" t="n">
        <x:v>46184</x:v>
      </x:c>
      <x:c r="B112" s="48" t="str">
        <x:v>Toned Milk</x:v>
      </x:c>
      <x:c r="C112" s="48" t="n">
        <x:v>2</x:v>
      </x:c>
      <x:c r="D112" s="54" t="n">
        <x:v>1713</x:v>
      </x:c>
      <x:c r="E112" s="54" t="n">
        <x:v>1876</x:v>
      </x:c>
      <x:c r="F112" s="54" t="n">
        <x:v>2250</x:v>
      </x:c>
      <x:c r="G112" s="54" t="n">
        <x:f>ROUND(D112*0.97,0)</x:f>
        <x:v>1662</x:v>
      </x:c>
      <x:c r="H112" s="52" t="n">
        <x:v>1.0012538359362073</x:v>
      </x:c>
      <x:c r="I112" s="54" t="n">
        <x:f>MIN(F112,ROUND(G112*H112,0))</x:f>
        <x:v>1664</x:v>
      </x:c>
      <x:c r="J112" s="54" t="n">
        <x:f>Q107</x:f>
        <x:v>1193</x:v>
      </x:c>
      <x:c r="K112" s="54" t="n">
        <x:f>I112+J112</x:f>
        <x:v>2857</x:v>
      </x:c>
      <x:c r="L112" s="54" t="n">
        <x:f>MIN(E112,K112)</x:f>
        <x:v>1876</x:v>
      </x:c>
      <x:c r="M112" s="54" t="n">
        <x:f>MAX(E112-K112,0)</x:f>
        <x:v>0</x:v>
      </x:c>
      <x:c r="N112" s="54" t="n">
        <x:f>MAX(K112-L112,0)</x:f>
        <x:v>981</x:v>
      </x:c>
      <x:c r="O112" s="52" t="n">
        <x:v>0.025</x:v>
      </x:c>
      <x:c r="P112" s="54" t="n">
        <x:f>MIN(N112,ROUND(N112*O112,0))</x:f>
        <x:v>25</x:v>
      </x:c>
      <x:c r="Q112" s="54" t="n">
        <x:f>N112-P112</x:f>
        <x:v>956</x:v>
      </x:c>
      <x:c r="R112" s="54" t="n">
        <x:v>206</x:v>
      </x:c>
      <x:c r="S112" s="54" t="n">
        <x:f>MIN(F112,MAX(0,ROUND(D112+R112-V112,0)))</x:f>
        <x:v>1428</x:v>
      </x:c>
      <x:c r="T112" s="52" t="n">
        <x:v>1.0014788077157286</x:v>
      </x:c>
      <x:c r="U112" s="54" t="n">
        <x:f>MIN(F112,MAX(0,ROUND(S112*T112,0)))</x:f>
        <x:v>1430</x:v>
      </x:c>
      <x:c r="V112" s="54" t="n">
        <x:f>AB107</x:f>
        <x:v>491</x:v>
      </x:c>
      <x:c r="W112" s="54" t="n">
        <x:f>U112+V112</x:f>
        <x:v>1921</x:v>
      </x:c>
      <x:c r="X112" s="54" t="n">
        <x:f>MIN(E112,W112)</x:f>
        <x:v>1876</x:v>
      </x:c>
      <x:c r="Y112" s="54" t="n">
        <x:f>MAX(E112-W112,0)</x:f>
        <x:v>0</x:v>
      </x:c>
      <x:c r="Z112" s="54" t="n">
        <x:f>MAX(W112-X112,0)</x:f>
        <x:v>45</x:v>
      </x:c>
      <x:c r="AA112" s="54" t="n">
        <x:f>MIN(Z112,ROUND(Z112*O112,0))</x:f>
        <x:v>1</x:v>
      </x:c>
      <x:c r="AB112" s="54" t="n">
        <x:f>Z112-AA112</x:f>
        <x:v>44</x:v>
      </x:c>
      <x:c r="AC112" s="52" t="n">
        <x:f>IFERROR(ABS(E112-D112)/E112,0)</x:f>
        <x:v>0.08688699360341151</x:v>
      </x:c>
      <x:c r="AD112" s="52" t="n">
        <x:f>IFERROR(L112/E112,1)</x:f>
        <x:v>1</x:v>
      </x:c>
      <x:c r="AE112" s="52" t="n">
        <x:f>IFERROR(X112/E112,1)</x:f>
        <x:v>1</x:v>
      </x:c>
      <x:c r="AF112" s="52" t="n">
        <x:f>IFERROR(I112/F112,0)</x:f>
        <x:v>0.7395555555555555</x:v>
      </x:c>
      <x:c r="AG112" s="52" t="n">
        <x:f>IFERROR(U112/F112,0)</x:f>
        <x:v>0.6355555555555555</x:v>
      </x:c>
    </x:row>
    <x:row r="113">
      <x:c r="A113" s="50" t="n">
        <x:v>46184</x:v>
      </x:c>
      <x:c r="B113" s="48" t="str">
        <x:v>Full Cream Milk</x:v>
      </x:c>
      <x:c r="C113" s="48" t="n">
        <x:v>2</x:v>
      </x:c>
      <x:c r="D113" s="54" t="n">
        <x:v>857</x:v>
      </x:c>
      <x:c r="E113" s="54" t="n">
        <x:v>991</x:v>
      </x:c>
      <x:c r="F113" s="54" t="n">
        <x:v>1200</x:v>
      </x:c>
      <x:c r="G113" s="54" t="n">
        <x:f>ROUND(D113*0.97,0)</x:f>
        <x:v>831</x:v>
      </x:c>
      <x:c r="H113" s="52" t="n">
        <x:v>0.9854107711427696</x:v>
      </x:c>
      <x:c r="I113" s="54" t="n">
        <x:f>MIN(F113,ROUND(G113*H113,0))</x:f>
        <x:v>819</x:v>
      </x:c>
      <x:c r="J113" s="54" t="n">
        <x:f>Q108</x:f>
        <x:v>0</x:v>
      </x:c>
      <x:c r="K113" s="54" t="n">
        <x:f>I113+J113</x:f>
        <x:v>819</x:v>
      </x:c>
      <x:c r="L113" s="54" t="n">
        <x:f>MIN(E113,K113)</x:f>
        <x:v>819</x:v>
      </x:c>
      <x:c r="M113" s="54" t="n">
        <x:f>MAX(E113-K113,0)</x:f>
        <x:v>172</x:v>
      </x:c>
      <x:c r="N113" s="54" t="n">
        <x:f>MAX(K113-L113,0)</x:f>
        <x:v>0</x:v>
      </x:c>
      <x:c r="O113" s="52" t="n">
        <x:v>0.03</x:v>
      </x:c>
      <x:c r="P113" s="54" t="n">
        <x:f>MIN(N113,ROUND(N113*O113,0))</x:f>
        <x:v>0</x:v>
      </x:c>
      <x:c r="Q113" s="54" t="n">
        <x:f>N113-P113</x:f>
        <x:v>0</x:v>
      </x:c>
      <x:c r="R113" s="54" t="n">
        <x:v>103</x:v>
      </x:c>
      <x:c r="S113" s="54" t="n">
        <x:f>MIN(F113,MAX(0,ROUND(D113+R113-V113,0)))</x:f>
        <x:v>960</x:v>
      </x:c>
      <x:c r="T113" s="52" t="n">
        <x:v>0.9965635069705026</x:v>
      </x:c>
      <x:c r="U113" s="54" t="n">
        <x:f>MIN(F113,MAX(0,ROUND(S113*T113,0)))</x:f>
        <x:v>957</x:v>
      </x:c>
      <x:c r="V113" s="54" t="n">
        <x:f>AB108</x:f>
        <x:v>0</x:v>
      </x:c>
      <x:c r="W113" s="54" t="n">
        <x:f>U113+V113</x:f>
        <x:v>957</x:v>
      </x:c>
      <x:c r="X113" s="54" t="n">
        <x:f>MIN(E113,W113)</x:f>
        <x:v>957</x:v>
      </x:c>
      <x:c r="Y113" s="54" t="n">
        <x:f>MAX(E113-W113,0)</x:f>
        <x:v>34</x:v>
      </x:c>
      <x:c r="Z113" s="54" t="n">
        <x:f>MAX(W113-X113,0)</x:f>
        <x:v>0</x:v>
      </x:c>
      <x:c r="AA113" s="54" t="n">
        <x:f>MIN(Z113,ROUND(Z113*O113,0))</x:f>
        <x:v>0</x:v>
      </x:c>
      <x:c r="AB113" s="54" t="n">
        <x:f>Z113-AA113</x:f>
        <x:v>0</x:v>
      </x:c>
      <x:c r="AC113" s="52" t="n">
        <x:f>IFERROR(ABS(E113-D113)/E113,0)</x:f>
        <x:v>0.13521695257315844</x:v>
      </x:c>
      <x:c r="AD113" s="52" t="n">
        <x:f>IFERROR(L113/E113,1)</x:f>
        <x:v>0.8264379414732593</x:v>
      </x:c>
      <x:c r="AE113" s="52" t="n">
        <x:f>IFERROR(X113/E113,1)</x:f>
        <x:v>0.9656912209889001</x:v>
      </x:c>
      <x:c r="AF113" s="52" t="n">
        <x:f>IFERROR(I113/F113,0)</x:f>
        <x:v>0.6825</x:v>
      </x:c>
      <x:c r="AG113" s="52" t="n">
        <x:f>IFERROR(U113/F113,0)</x:f>
        <x:v>0.7975</x:v>
      </x:c>
    </x:row>
    <x:row r="114">
      <x:c r="A114" s="50" t="n">
        <x:v>46184</x:v>
      </x:c>
      <x:c r="B114" s="48" t="str">
        <x:v>Curd</x:v>
      </x:c>
      <x:c r="C114" s="48" t="n">
        <x:v>7</x:v>
      </x:c>
      <x:c r="D114" s="54" t="n">
        <x:v>504</x:v>
      </x:c>
      <x:c r="E114" s="54" t="n">
        <x:v>527</x:v>
      </x:c>
      <x:c r="F114" s="54" t="n">
        <x:v>700</x:v>
      </x:c>
      <x:c r="G114" s="54" t="n">
        <x:f>ROUND(D114*0.97,0)</x:f>
        <x:v>489</x:v>
      </x:c>
      <x:c r="H114" s="52" t="n">
        <x:v>0.9938216180262128</x:v>
      </x:c>
      <x:c r="I114" s="54" t="n">
        <x:f>MIN(F114,ROUND(G114*H114,0))</x:f>
        <x:v>486</x:v>
      </x:c>
      <x:c r="J114" s="54" t="n">
        <x:f>Q109</x:f>
        <x:v>14</x:v>
      </x:c>
      <x:c r="K114" s="54" t="n">
        <x:f>I114+J114</x:f>
        <x:v>500</x:v>
      </x:c>
      <x:c r="L114" s="54" t="n">
        <x:f>MIN(E114,K114)</x:f>
        <x:v>500</x:v>
      </x:c>
      <x:c r="M114" s="54" t="n">
        <x:f>MAX(E114-K114,0)</x:f>
        <x:v>27</x:v>
      </x:c>
      <x:c r="N114" s="54" t="n">
        <x:f>MAX(K114-L114,0)</x:f>
        <x:v>0</x:v>
      </x:c>
      <x:c r="O114" s="52" t="n">
        <x:v>0.018</x:v>
      </x:c>
      <x:c r="P114" s="54" t="n">
        <x:f>MIN(N114,ROUND(N114*O114,0))</x:f>
        <x:v>0</x:v>
      </x:c>
      <x:c r="Q114" s="54" t="n">
        <x:f>N114-P114</x:f>
        <x:v>0</x:v>
      </x:c>
      <x:c r="R114" s="54" t="n">
        <x:v>91</x:v>
      </x:c>
      <x:c r="S114" s="54" t="n">
        <x:f>MIN(F114,MAX(0,ROUND(D114+R114-V114,0)))</x:f>
        <x:v>513</x:v>
      </x:c>
      <x:c r="T114" s="52" t="n">
        <x:v>0.9980653657153628</x:v>
      </x:c>
      <x:c r="U114" s="54" t="n">
        <x:f>MIN(F114,MAX(0,ROUND(S114*T114,0)))</x:f>
        <x:v>512</x:v>
      </x:c>
      <x:c r="V114" s="54" t="n">
        <x:f>AB109</x:f>
        <x:v>82</x:v>
      </x:c>
      <x:c r="W114" s="54" t="n">
        <x:f>U114+V114</x:f>
        <x:v>594</x:v>
      </x:c>
      <x:c r="X114" s="54" t="n">
        <x:f>MIN(E114,W114)</x:f>
        <x:v>527</x:v>
      </x:c>
      <x:c r="Y114" s="54" t="n">
        <x:f>MAX(E114-W114,0)</x:f>
        <x:v>0</x:v>
      </x:c>
      <x:c r="Z114" s="54" t="n">
        <x:f>MAX(W114-X114,0)</x:f>
        <x:v>67</x:v>
      </x:c>
      <x:c r="AA114" s="54" t="n">
        <x:f>MIN(Z114,ROUND(Z114*O114,0))</x:f>
        <x:v>1</x:v>
      </x:c>
      <x:c r="AB114" s="54" t="n">
        <x:f>Z114-AA114</x:f>
        <x:v>66</x:v>
      </x:c>
      <x:c r="AC114" s="52" t="n">
        <x:f>IFERROR(ABS(E114-D114)/E114,0)</x:f>
        <x:v>0.04364326375711575</x:v>
      </x:c>
      <x:c r="AD114" s="52" t="n">
        <x:f>IFERROR(L114/E114,1)</x:f>
        <x:v>0.9487666034155597</x:v>
      </x:c>
      <x:c r="AE114" s="52" t="n">
        <x:f>IFERROR(X114/E114,1)</x:f>
        <x:v>1</x:v>
      </x:c>
      <x:c r="AF114" s="52" t="n">
        <x:f>IFERROR(I114/F114,0)</x:f>
        <x:v>0.6942857142857143</x:v>
      </x:c>
      <x:c r="AG114" s="52" t="n">
        <x:f>IFERROR(U114/F114,0)</x:f>
        <x:v>0.7314285714285714</x:v>
      </x:c>
    </x:row>
    <x:row r="115">
      <x:c r="A115" s="50" t="n">
        <x:v>46184</x:v>
      </x:c>
      <x:c r="B115" s="48" t="str">
        <x:v>Lassi</x:v>
      </x:c>
      <x:c r="C115" s="48" t="n">
        <x:v>7</x:v>
      </x:c>
      <x:c r="D115" s="54" t="n">
        <x:v>403</x:v>
      </x:c>
      <x:c r="E115" s="54" t="n">
        <x:v>475</x:v>
      </x:c>
      <x:c r="F115" s="54" t="n">
        <x:v>560</x:v>
      </x:c>
      <x:c r="G115" s="54" t="n">
        <x:f>ROUND(D115*0.97,0)</x:f>
        <x:v>391</x:v>
      </x:c>
      <x:c r="H115" s="52" t="n">
        <x:v>0.9959355485402834</x:v>
      </x:c>
      <x:c r="I115" s="54" t="n">
        <x:f>MIN(F115,ROUND(G115*H115,0))</x:f>
        <x:v>389</x:v>
      </x:c>
      <x:c r="J115" s="54" t="n">
        <x:f>Q110</x:f>
        <x:v>0</x:v>
      </x:c>
      <x:c r="K115" s="54" t="n">
        <x:f>I115+J115</x:f>
        <x:v>389</x:v>
      </x:c>
      <x:c r="L115" s="54" t="n">
        <x:f>MIN(E115,K115)</x:f>
        <x:v>389</x:v>
      </x:c>
      <x:c r="M115" s="54" t="n">
        <x:f>MAX(E115-K115,0)</x:f>
        <x:v>86</x:v>
      </x:c>
      <x:c r="N115" s="54" t="n">
        <x:f>MAX(K115-L115,0)</x:f>
        <x:v>0</x:v>
      </x:c>
      <x:c r="O115" s="52" t="n">
        <x:v>0.02</x:v>
      </x:c>
      <x:c r="P115" s="54" t="n">
        <x:f>MIN(N115,ROUND(N115*O115,0))</x:f>
        <x:v>0</x:v>
      </x:c>
      <x:c r="Q115" s="54" t="n">
        <x:f>N115-P115</x:f>
        <x:v>0</x:v>
      </x:c>
      <x:c r="R115" s="54" t="n">
        <x:v>73</x:v>
      </x:c>
      <x:c r="S115" s="54" t="n">
        <x:f>MIN(F115,MAX(0,ROUND(D115+R115-V115,0)))</x:f>
        <x:v>401</x:v>
      </x:c>
      <x:c r="T115" s="52" t="n">
        <x:v>0.9883918222847764</x:v>
      </x:c>
      <x:c r="U115" s="54" t="n">
        <x:f>MIN(F115,MAX(0,ROUND(S115*T115,0)))</x:f>
        <x:v>396</x:v>
      </x:c>
      <x:c r="V115" s="54" t="n">
        <x:f>AB110</x:f>
        <x:v>75</x:v>
      </x:c>
      <x:c r="W115" s="54" t="n">
        <x:f>U115+V115</x:f>
        <x:v>471</x:v>
      </x:c>
      <x:c r="X115" s="54" t="n">
        <x:f>MIN(E115,W115)</x:f>
        <x:v>471</x:v>
      </x:c>
      <x:c r="Y115" s="54" t="n">
        <x:f>MAX(E115-W115,0)</x:f>
        <x:v>4</x:v>
      </x:c>
      <x:c r="Z115" s="54" t="n">
        <x:f>MAX(W115-X115,0)</x:f>
        <x:v>0</x:v>
      </x:c>
      <x:c r="AA115" s="54" t="n">
        <x:f>MIN(Z115,ROUND(Z115*O115,0))</x:f>
        <x:v>0</x:v>
      </x:c>
      <x:c r="AB115" s="54" t="n">
        <x:f>Z115-AA115</x:f>
        <x:v>0</x:v>
      </x:c>
      <x:c r="AC115" s="52" t="n">
        <x:f>IFERROR(ABS(E115-D115)/E115,0)</x:f>
        <x:v>0.15157894736842106</x:v>
      </x:c>
      <x:c r="AD115" s="52" t="n">
        <x:f>IFERROR(L115/E115,1)</x:f>
        <x:v>0.8189473684210526</x:v>
      </x:c>
      <x:c r="AE115" s="52" t="n">
        <x:f>IFERROR(X115/E115,1)</x:f>
        <x:v>0.991578947368421</x:v>
      </x:c>
      <x:c r="AF115" s="52" t="n">
        <x:f>IFERROR(I115/F115,0)</x:f>
        <x:v>0.6946428571428571</x:v>
      </x:c>
      <x:c r="AG115" s="52" t="n">
        <x:f>IFERROR(U115/F115,0)</x:f>
        <x:v>0.7071428571428572</x:v>
      </x:c>
    </x:row>
    <x:row r="116">
      <x:c r="A116" s="50" t="n">
        <x:v>46184</x:v>
      </x:c>
      <x:c r="B116" s="48" t="str">
        <x:v>Paneer</x:v>
      </x:c>
      <x:c r="C116" s="48" t="n">
        <x:v>5</x:v>
      </x:c>
      <x:c r="D116" s="54" t="n">
        <x:v>161</x:v>
      </x:c>
      <x:c r="E116" s="54" t="n">
        <x:v>183</x:v>
      </x:c>
      <x:c r="F116" s="54" t="n">
        <x:v>230</x:v>
      </x:c>
      <x:c r="G116" s="54" t="n">
        <x:f>ROUND(D116*0.97,0)</x:f>
        <x:v>156</x:v>
      </x:c>
      <x:c r="H116" s="52" t="n">
        <x:v>1.0016729507479663</x:v>
      </x:c>
      <x:c r="I116" s="54" t="n">
        <x:f>MIN(F116,ROUND(G116*H116,0))</x:f>
        <x:v>156</x:v>
      </x:c>
      <x:c r="J116" s="54" t="n">
        <x:f>Q111</x:f>
        <x:v>7</x:v>
      </x:c>
      <x:c r="K116" s="54" t="n">
        <x:f>I116+J116</x:f>
        <x:v>163</x:v>
      </x:c>
      <x:c r="L116" s="54" t="n">
        <x:f>MIN(E116,K116)</x:f>
        <x:v>163</x:v>
      </x:c>
      <x:c r="M116" s="54" t="n">
        <x:f>MAX(E116-K116,0)</x:f>
        <x:v>20</x:v>
      </x:c>
      <x:c r="N116" s="54" t="n">
        <x:f>MAX(K116-L116,0)</x:f>
        <x:v>0</x:v>
      </x:c>
      <x:c r="O116" s="52" t="n">
        <x:v>0.025</x:v>
      </x:c>
      <x:c r="P116" s="54" t="n">
        <x:f>MIN(N116,ROUND(N116*O116,0))</x:f>
        <x:v>0</x:v>
      </x:c>
      <x:c r="Q116" s="54" t="n">
        <x:f>N116-P116</x:f>
        <x:v>0</x:v>
      </x:c>
      <x:c r="R116" s="54" t="n">
        <x:v>32</x:v>
      </x:c>
      <x:c r="S116" s="54" t="n">
        <x:f>MIN(F116,MAX(0,ROUND(D116+R116-V116,0)))</x:f>
        <x:v>172</x:v>
      </x:c>
      <x:c r="T116" s="52" t="n">
        <x:v>0.984586085195828</x:v>
      </x:c>
      <x:c r="U116" s="54" t="n">
        <x:f>MIN(F116,MAX(0,ROUND(S116*T116,0)))</x:f>
        <x:v>169</x:v>
      </x:c>
      <x:c r="V116" s="54" t="n">
        <x:f>AB111</x:f>
        <x:v>21</x:v>
      </x:c>
      <x:c r="W116" s="54" t="n">
        <x:f>U116+V116</x:f>
        <x:v>190</x:v>
      </x:c>
      <x:c r="X116" s="54" t="n">
        <x:f>MIN(E116,W116)</x:f>
        <x:v>183</x:v>
      </x:c>
      <x:c r="Y116" s="54" t="n">
        <x:f>MAX(E116-W116,0)</x:f>
        <x:v>0</x:v>
      </x:c>
      <x:c r="Z116" s="54" t="n">
        <x:f>MAX(W116-X116,0)</x:f>
        <x:v>7</x:v>
      </x:c>
      <x:c r="AA116" s="54" t="n">
        <x:f>MIN(Z116,ROUND(Z116*O116,0))</x:f>
        <x:v>0</x:v>
      </x:c>
      <x:c r="AB116" s="54" t="n">
        <x:f>Z116-AA116</x:f>
        <x:v>7</x:v>
      </x:c>
      <x:c r="AC116" s="52" t="n">
        <x:f>IFERROR(ABS(E116-D116)/E116,0)</x:f>
        <x:v>0.12021857923497267</x:v>
      </x:c>
      <x:c r="AD116" s="52" t="n">
        <x:f>IFERROR(L116/E116,1)</x:f>
        <x:v>0.8907103825136612</x:v>
      </x:c>
      <x:c r="AE116" s="52" t="n">
        <x:f>IFERROR(X116/E116,1)</x:f>
        <x:v>1</x:v>
      </x:c>
      <x:c r="AF116" s="52" t="n">
        <x:f>IFERROR(I116/F116,0)</x:f>
        <x:v>0.6782608695652174</x:v>
      </x:c>
      <x:c r="AG116" s="52" t="n">
        <x:f>IFERROR(U116/F116,0)</x:f>
        <x:v>0.7347826086956522</x:v>
      </x:c>
    </x:row>
    <x:row r="117">
      <x:c r="A117" s="50" t="n">
        <x:v>46185</x:v>
      </x:c>
      <x:c r="B117" s="48" t="str">
        <x:v>Toned Milk</x:v>
      </x:c>
      <x:c r="C117" s="48" t="n">
        <x:v>2</x:v>
      </x:c>
      <x:c r="D117" s="54" t="n">
        <x:v>1782</x:v>
      </x:c>
      <x:c r="E117" s="54" t="n">
        <x:v>1678</x:v>
      </x:c>
      <x:c r="F117" s="54" t="n">
        <x:v>2250</x:v>
      </x:c>
      <x:c r="G117" s="54" t="n">
        <x:f>ROUND(D117*0.97,0)</x:f>
        <x:v>1729</x:v>
      </x:c>
      <x:c r="H117" s="52" t="n">
        <x:v>0.9989430241605772</x:v>
      </x:c>
      <x:c r="I117" s="54" t="n">
        <x:f>MIN(F117,ROUND(G117*H117,0))</x:f>
        <x:v>1727</x:v>
      </x:c>
      <x:c r="J117" s="54" t="n">
        <x:f>Q112</x:f>
        <x:v>956</x:v>
      </x:c>
      <x:c r="K117" s="54" t="n">
        <x:f>I117+J117</x:f>
        <x:v>2683</x:v>
      </x:c>
      <x:c r="L117" s="54" t="n">
        <x:f>MIN(E117,K117)</x:f>
        <x:v>1678</x:v>
      </x:c>
      <x:c r="M117" s="54" t="n">
        <x:f>MAX(E117-K117,0)</x:f>
        <x:v>0</x:v>
      </x:c>
      <x:c r="N117" s="54" t="n">
        <x:f>MAX(K117-L117,0)</x:f>
        <x:v>1005</x:v>
      </x:c>
      <x:c r="O117" s="52" t="n">
        <x:v>0.025</x:v>
      </x:c>
      <x:c r="P117" s="54" t="n">
        <x:f>MIN(N117,ROUND(N117*O117,0))</x:f>
        <x:v>25</x:v>
      </x:c>
      <x:c r="Q117" s="54" t="n">
        <x:f>N117-P117</x:f>
        <x:v>980</x:v>
      </x:c>
      <x:c r="R117" s="54" t="n">
        <x:v>214</x:v>
      </x:c>
      <x:c r="S117" s="54" t="n">
        <x:f>MIN(F117,MAX(0,ROUND(D117+R117-V117,0)))</x:f>
        <x:v>1952</x:v>
      </x:c>
      <x:c r="T117" s="52" t="n">
        <x:v>1.0172237199177676</x:v>
      </x:c>
      <x:c r="U117" s="54" t="n">
        <x:f>MIN(F117,MAX(0,ROUND(S117*T117,0)))</x:f>
        <x:v>1986</x:v>
      </x:c>
      <x:c r="V117" s="54" t="n">
        <x:f>AB112</x:f>
        <x:v>44</x:v>
      </x:c>
      <x:c r="W117" s="54" t="n">
        <x:f>U117+V117</x:f>
        <x:v>2030</x:v>
      </x:c>
      <x:c r="X117" s="54" t="n">
        <x:f>MIN(E117,W117)</x:f>
        <x:v>1678</x:v>
      </x:c>
      <x:c r="Y117" s="54" t="n">
        <x:f>MAX(E117-W117,0)</x:f>
        <x:v>0</x:v>
      </x:c>
      <x:c r="Z117" s="54" t="n">
        <x:f>MAX(W117-X117,0)</x:f>
        <x:v>352</x:v>
      </x:c>
      <x:c r="AA117" s="54" t="n">
        <x:f>MIN(Z117,ROUND(Z117*O117,0))</x:f>
        <x:v>9</x:v>
      </x:c>
      <x:c r="AB117" s="54" t="n">
        <x:f>Z117-AA117</x:f>
        <x:v>343</x:v>
      </x:c>
      <x:c r="AC117" s="52" t="n">
        <x:f>IFERROR(ABS(E117-D117)/E117,0)</x:f>
        <x:v>0.06197854588796186</x:v>
      </x:c>
      <x:c r="AD117" s="52" t="n">
        <x:f>IFERROR(L117/E117,1)</x:f>
        <x:v>1</x:v>
      </x:c>
      <x:c r="AE117" s="52" t="n">
        <x:f>IFERROR(X117/E117,1)</x:f>
        <x:v>1</x:v>
      </x:c>
      <x:c r="AF117" s="52" t="n">
        <x:f>IFERROR(I117/F117,0)</x:f>
        <x:v>0.7675555555555555</x:v>
      </x:c>
      <x:c r="AG117" s="52" t="n">
        <x:f>IFERROR(U117/F117,0)</x:f>
        <x:v>0.8826666666666667</x:v>
      </x:c>
    </x:row>
    <x:row r="118">
      <x:c r="A118" s="50" t="n">
        <x:v>46185</x:v>
      </x:c>
      <x:c r="B118" s="48" t="str">
        <x:v>Full Cream Milk</x:v>
      </x:c>
      <x:c r="C118" s="48" t="n">
        <x:v>2</x:v>
      </x:c>
      <x:c r="D118" s="54" t="n">
        <x:v>891</x:v>
      </x:c>
      <x:c r="E118" s="54" t="n">
        <x:v>733</x:v>
      </x:c>
      <x:c r="F118" s="54" t="n">
        <x:v>1200</x:v>
      </x:c>
      <x:c r="G118" s="54" t="n">
        <x:f>ROUND(D118*0.97,0)</x:f>
        <x:v>864</x:v>
      </x:c>
      <x:c r="H118" s="52" t="n">
        <x:v>1.019882110340403</x:v>
      </x:c>
      <x:c r="I118" s="54" t="n">
        <x:f>MIN(F118,ROUND(G118*H118,0))</x:f>
        <x:v>881</x:v>
      </x:c>
      <x:c r="J118" s="54" t="n">
        <x:f>Q113</x:f>
        <x:v>0</x:v>
      </x:c>
      <x:c r="K118" s="54" t="n">
        <x:f>I118+J118</x:f>
        <x:v>881</x:v>
      </x:c>
      <x:c r="L118" s="54" t="n">
        <x:f>MIN(E118,K118)</x:f>
        <x:v>733</x:v>
      </x:c>
      <x:c r="M118" s="54" t="n">
        <x:f>MAX(E118-K118,0)</x:f>
        <x:v>0</x:v>
      </x:c>
      <x:c r="N118" s="54" t="n">
        <x:f>MAX(K118-L118,0)</x:f>
        <x:v>148</x:v>
      </x:c>
      <x:c r="O118" s="52" t="n">
        <x:v>0.03</x:v>
      </x:c>
      <x:c r="P118" s="54" t="n">
        <x:f>MIN(N118,ROUND(N118*O118,0))</x:f>
        <x:v>4</x:v>
      </x:c>
      <x:c r="Q118" s="54" t="n">
        <x:f>N118-P118</x:f>
        <x:v>144</x:v>
      </x:c>
      <x:c r="R118" s="54" t="n">
        <x:v>107</x:v>
      </x:c>
      <x:c r="S118" s="54" t="n">
        <x:f>MIN(F118,MAX(0,ROUND(D118+R118-V118,0)))</x:f>
        <x:v>998</x:v>
      </x:c>
      <x:c r="T118" s="52" t="n">
        <x:v>1.005421934417215</x:v>
      </x:c>
      <x:c r="U118" s="54" t="n">
        <x:f>MIN(F118,MAX(0,ROUND(S118*T118,0)))</x:f>
        <x:v>1003</x:v>
      </x:c>
      <x:c r="V118" s="54" t="n">
        <x:f>AB113</x:f>
        <x:v>0</x:v>
      </x:c>
      <x:c r="W118" s="54" t="n">
        <x:f>U118+V118</x:f>
        <x:v>1003</x:v>
      </x:c>
      <x:c r="X118" s="54" t="n">
        <x:f>MIN(E118,W118)</x:f>
        <x:v>733</x:v>
      </x:c>
      <x:c r="Y118" s="54" t="n">
        <x:f>MAX(E118-W118,0)</x:f>
        <x:v>0</x:v>
      </x:c>
      <x:c r="Z118" s="54" t="n">
        <x:f>MAX(W118-X118,0)</x:f>
        <x:v>270</x:v>
      </x:c>
      <x:c r="AA118" s="54" t="n">
        <x:f>MIN(Z118,ROUND(Z118*O118,0))</x:f>
        <x:v>8</x:v>
      </x:c>
      <x:c r="AB118" s="54" t="n">
        <x:f>Z118-AA118</x:f>
        <x:v>262</x:v>
      </x:c>
      <x:c r="AC118" s="52" t="n">
        <x:f>IFERROR(ABS(E118-D118)/E118,0)</x:f>
        <x:v>0.2155525238744884</x:v>
      </x:c>
      <x:c r="AD118" s="52" t="n">
        <x:f>IFERROR(L118/E118,1)</x:f>
        <x:v>1</x:v>
      </x:c>
      <x:c r="AE118" s="52" t="n">
        <x:f>IFERROR(X118/E118,1)</x:f>
        <x:v>1</x:v>
      </x:c>
      <x:c r="AF118" s="52" t="n">
        <x:f>IFERROR(I118/F118,0)</x:f>
        <x:v>0.7341666666666666</x:v>
      </x:c>
      <x:c r="AG118" s="52" t="n">
        <x:f>IFERROR(U118/F118,0)</x:f>
        <x:v>0.8358333333333333</x:v>
      </x:c>
    </x:row>
    <x:row r="119">
      <x:c r="A119" s="50" t="n">
        <x:v>46185</x:v>
      </x:c>
      <x:c r="B119" s="48" t="str">
        <x:v>Curd</x:v>
      </x:c>
      <x:c r="C119" s="48" t="n">
        <x:v>7</x:v>
      </x:c>
      <x:c r="D119" s="54" t="n">
        <x:v>524</x:v>
      </x:c>
      <x:c r="E119" s="54" t="n">
        <x:v>493</x:v>
      </x:c>
      <x:c r="F119" s="54" t="n">
        <x:v>700</x:v>
      </x:c>
      <x:c r="G119" s="54" t="n">
        <x:f>ROUND(D119*0.97,0)</x:f>
        <x:v>508</x:v>
      </x:c>
      <x:c r="H119" s="52" t="n">
        <x:v>0.999449840595503</x:v>
      </x:c>
      <x:c r="I119" s="54" t="n">
        <x:f>MIN(F119,ROUND(G119*H119,0))</x:f>
        <x:v>508</x:v>
      </x:c>
      <x:c r="J119" s="54" t="n">
        <x:f>Q114</x:f>
        <x:v>0</x:v>
      </x:c>
      <x:c r="K119" s="54" t="n">
        <x:f>I119+J119</x:f>
        <x:v>508</x:v>
      </x:c>
      <x:c r="L119" s="54" t="n">
        <x:f>MIN(E119,K119)</x:f>
        <x:v>493</x:v>
      </x:c>
      <x:c r="M119" s="54" t="n">
        <x:f>MAX(E119-K119,0)</x:f>
        <x:v>0</x:v>
      </x:c>
      <x:c r="N119" s="54" t="n">
        <x:f>MAX(K119-L119,0)</x:f>
        <x:v>15</x:v>
      </x:c>
      <x:c r="O119" s="52" t="n">
        <x:v>0.018</x:v>
      </x:c>
      <x:c r="P119" s="54" t="n">
        <x:f>MIN(N119,ROUND(N119*O119,0))</x:f>
        <x:v>0</x:v>
      </x:c>
      <x:c r="Q119" s="54" t="n">
        <x:f>N119-P119</x:f>
        <x:v>15</x:v>
      </x:c>
      <x:c r="R119" s="54" t="n">
        <x:v>94</x:v>
      </x:c>
      <x:c r="S119" s="54" t="n">
        <x:f>MIN(F119,MAX(0,ROUND(D119+R119-V119,0)))</x:f>
        <x:v>552</x:v>
      </x:c>
      <x:c r="T119" s="52" t="n">
        <x:v>0.9960800754530947</x:v>
      </x:c>
      <x:c r="U119" s="54" t="n">
        <x:f>MIN(F119,MAX(0,ROUND(S119*T119,0)))</x:f>
        <x:v>550</x:v>
      </x:c>
      <x:c r="V119" s="54" t="n">
        <x:f>AB114</x:f>
        <x:v>66</x:v>
      </x:c>
      <x:c r="W119" s="54" t="n">
        <x:f>U119+V119</x:f>
        <x:v>616</x:v>
      </x:c>
      <x:c r="X119" s="54" t="n">
        <x:f>MIN(E119,W119)</x:f>
        <x:v>493</x:v>
      </x:c>
      <x:c r="Y119" s="54" t="n">
        <x:f>MAX(E119-W119,0)</x:f>
        <x:v>0</x:v>
      </x:c>
      <x:c r="Z119" s="54" t="n">
        <x:f>MAX(W119-X119,0)</x:f>
        <x:v>123</x:v>
      </x:c>
      <x:c r="AA119" s="54" t="n">
        <x:f>MIN(Z119,ROUND(Z119*O119,0))</x:f>
        <x:v>2</x:v>
      </x:c>
      <x:c r="AB119" s="54" t="n">
        <x:f>Z119-AA119</x:f>
        <x:v>121</x:v>
      </x:c>
      <x:c r="AC119" s="52" t="n">
        <x:f>IFERROR(ABS(E119-D119)/E119,0)</x:f>
        <x:v>0.06288032454361055</x:v>
      </x:c>
      <x:c r="AD119" s="52" t="n">
        <x:f>IFERROR(L119/E119,1)</x:f>
        <x:v>1</x:v>
      </x:c>
      <x:c r="AE119" s="52" t="n">
        <x:f>IFERROR(X119/E119,1)</x:f>
        <x:v>1</x:v>
      </x:c>
      <x:c r="AF119" s="52" t="n">
        <x:f>IFERROR(I119/F119,0)</x:f>
        <x:v>0.7257142857142858</x:v>
      </x:c>
      <x:c r="AG119" s="52" t="n">
        <x:f>IFERROR(U119/F119,0)</x:f>
        <x:v>0.7857142857142857</x:v>
      </x:c>
    </x:row>
    <x:row r="120">
      <x:c r="A120" s="50" t="n">
        <x:v>46185</x:v>
      </x:c>
      <x:c r="B120" s="48" t="str">
        <x:v>Lassi</x:v>
      </x:c>
      <x:c r="C120" s="48" t="n">
        <x:v>7</x:v>
      </x:c>
      <x:c r="D120" s="54" t="n">
        <x:v>419</x:v>
      </x:c>
      <x:c r="E120" s="54" t="n">
        <x:v>348</x:v>
      </x:c>
      <x:c r="F120" s="54" t="n">
        <x:v>560</x:v>
      </x:c>
      <x:c r="G120" s="54" t="n">
        <x:f>ROUND(D120*0.97,0)</x:f>
        <x:v>406</x:v>
      </x:c>
      <x:c r="H120" s="52" t="n">
        <x:v>1.0003695375113193</x:v>
      </x:c>
      <x:c r="I120" s="54" t="n">
        <x:f>MIN(F120,ROUND(G120*H120,0))</x:f>
        <x:v>406</x:v>
      </x:c>
      <x:c r="J120" s="54" t="n">
        <x:f>Q115</x:f>
        <x:v>0</x:v>
      </x:c>
      <x:c r="K120" s="54" t="n">
        <x:f>I120+J120</x:f>
        <x:v>406</x:v>
      </x:c>
      <x:c r="L120" s="54" t="n">
        <x:f>MIN(E120,K120)</x:f>
        <x:v>348</x:v>
      </x:c>
      <x:c r="M120" s="54" t="n">
        <x:f>MAX(E120-K120,0)</x:f>
        <x:v>0</x:v>
      </x:c>
      <x:c r="N120" s="54" t="n">
        <x:f>MAX(K120-L120,0)</x:f>
        <x:v>58</x:v>
      </x:c>
      <x:c r="O120" s="52" t="n">
        <x:v>0.02</x:v>
      </x:c>
      <x:c r="P120" s="54" t="n">
        <x:f>MIN(N120,ROUND(N120*O120,0))</x:f>
        <x:v>1</x:v>
      </x:c>
      <x:c r="Q120" s="54" t="n">
        <x:f>N120-P120</x:f>
        <x:v>57</x:v>
      </x:c>
      <x:c r="R120" s="54" t="n">
        <x:v>75</x:v>
      </x:c>
      <x:c r="S120" s="54" t="n">
        <x:f>MIN(F120,MAX(0,ROUND(D120+R120-V120,0)))</x:f>
        <x:v>494</x:v>
      </x:c>
      <x:c r="T120" s="52" t="n">
        <x:v>1.0082439454316465</x:v>
      </x:c>
      <x:c r="U120" s="54" t="n">
        <x:f>MIN(F120,MAX(0,ROUND(S120*T120,0)))</x:f>
        <x:v>498</x:v>
      </x:c>
      <x:c r="V120" s="54" t="n">
        <x:f>AB115</x:f>
        <x:v>0</x:v>
      </x:c>
      <x:c r="W120" s="54" t="n">
        <x:f>U120+V120</x:f>
        <x:v>498</x:v>
      </x:c>
      <x:c r="X120" s="54" t="n">
        <x:f>MIN(E120,W120)</x:f>
        <x:v>348</x:v>
      </x:c>
      <x:c r="Y120" s="54" t="n">
        <x:f>MAX(E120-W120,0)</x:f>
        <x:v>0</x:v>
      </x:c>
      <x:c r="Z120" s="54" t="n">
        <x:f>MAX(W120-X120,0)</x:f>
        <x:v>150</x:v>
      </x:c>
      <x:c r="AA120" s="54" t="n">
        <x:f>MIN(Z120,ROUND(Z120*O120,0))</x:f>
        <x:v>3</x:v>
      </x:c>
      <x:c r="AB120" s="54" t="n">
        <x:f>Z120-AA120</x:f>
        <x:v>147</x:v>
      </x:c>
      <x:c r="AC120" s="52" t="n">
        <x:f>IFERROR(ABS(E120-D120)/E120,0)</x:f>
        <x:v>0.20402298850574713</x:v>
      </x:c>
      <x:c r="AD120" s="52" t="n">
        <x:f>IFERROR(L120/E120,1)</x:f>
        <x:v>1</x:v>
      </x:c>
      <x:c r="AE120" s="52" t="n">
        <x:f>IFERROR(X120/E120,1)</x:f>
        <x:v>1</x:v>
      </x:c>
      <x:c r="AF120" s="52" t="n">
        <x:f>IFERROR(I120/F120,0)</x:f>
        <x:v>0.725</x:v>
      </x:c>
      <x:c r="AG120" s="52" t="n">
        <x:f>IFERROR(U120/F120,0)</x:f>
        <x:v>0.8892857142857142</x:v>
      </x:c>
    </x:row>
    <x:row r="121">
      <x:c r="A121" s="50" t="n">
        <x:v>46185</x:v>
      </x:c>
      <x:c r="B121" s="48" t="str">
        <x:v>Paneer</x:v>
      </x:c>
      <x:c r="C121" s="48" t="n">
        <x:v>5</x:v>
      </x:c>
      <x:c r="D121" s="54" t="n">
        <x:v>168</x:v>
      </x:c>
      <x:c r="E121" s="54" t="n">
        <x:v>143</x:v>
      </x:c>
      <x:c r="F121" s="54" t="n">
        <x:v>230</x:v>
      </x:c>
      <x:c r="G121" s="54" t="n">
        <x:f>ROUND(D121*0.97,0)</x:f>
        <x:v>163</x:v>
      </x:c>
      <x:c r="H121" s="52" t="n">
        <x:v>1.007454908284927</x:v>
      </x:c>
      <x:c r="I121" s="54" t="n">
        <x:f>MIN(F121,ROUND(G121*H121,0))</x:f>
        <x:v>164</x:v>
      </x:c>
      <x:c r="J121" s="54" t="n">
        <x:f>Q116</x:f>
        <x:v>0</x:v>
      </x:c>
      <x:c r="K121" s="54" t="n">
        <x:f>I121+J121</x:f>
        <x:v>164</x:v>
      </x:c>
      <x:c r="L121" s="54" t="n">
        <x:f>MIN(E121,K121)</x:f>
        <x:v>143</x:v>
      </x:c>
      <x:c r="M121" s="54" t="n">
        <x:f>MAX(E121-K121,0)</x:f>
        <x:v>0</x:v>
      </x:c>
      <x:c r="N121" s="54" t="n">
        <x:f>MAX(K121-L121,0)</x:f>
        <x:v>21</x:v>
      </x:c>
      <x:c r="O121" s="52" t="n">
        <x:v>0.025</x:v>
      </x:c>
      <x:c r="P121" s="54" t="n">
        <x:f>MIN(N121,ROUND(N121*O121,0))</x:f>
        <x:v>1</x:v>
      </x:c>
      <x:c r="Q121" s="54" t="n">
        <x:f>N121-P121</x:f>
        <x:v>20</x:v>
      </x:c>
      <x:c r="R121" s="54" t="n">
        <x:v>34</x:v>
      </x:c>
      <x:c r="S121" s="54" t="n">
        <x:f>MIN(F121,MAX(0,ROUND(D121+R121-V121,0)))</x:f>
        <x:v>195</x:v>
      </x:c>
      <x:c r="T121" s="52" t="n">
        <x:v>1.0082268869866788</x:v>
      </x:c>
      <x:c r="U121" s="54" t="n">
        <x:f>MIN(F121,MAX(0,ROUND(S121*T121,0)))</x:f>
        <x:v>197</x:v>
      </x:c>
      <x:c r="V121" s="54" t="n">
        <x:f>AB116</x:f>
        <x:v>7</x:v>
      </x:c>
      <x:c r="W121" s="54" t="n">
        <x:f>U121+V121</x:f>
        <x:v>204</x:v>
      </x:c>
      <x:c r="X121" s="54" t="n">
        <x:f>MIN(E121,W121)</x:f>
        <x:v>143</x:v>
      </x:c>
      <x:c r="Y121" s="54" t="n">
        <x:f>MAX(E121-W121,0)</x:f>
        <x:v>0</x:v>
      </x:c>
      <x:c r="Z121" s="54" t="n">
        <x:f>MAX(W121-X121,0)</x:f>
        <x:v>61</x:v>
      </x:c>
      <x:c r="AA121" s="54" t="n">
        <x:f>MIN(Z121,ROUND(Z121*O121,0))</x:f>
        <x:v>2</x:v>
      </x:c>
      <x:c r="AB121" s="54" t="n">
        <x:f>Z121-AA121</x:f>
        <x:v>59</x:v>
      </x:c>
      <x:c r="AC121" s="52" t="n">
        <x:f>IFERROR(ABS(E121-D121)/E121,0)</x:f>
        <x:v>0.17482517482517482</x:v>
      </x:c>
      <x:c r="AD121" s="52" t="n">
        <x:f>IFERROR(L121/E121,1)</x:f>
        <x:v>1</x:v>
      </x:c>
      <x:c r="AE121" s="52" t="n">
        <x:f>IFERROR(X121/E121,1)</x:f>
        <x:v>1</x:v>
      </x:c>
      <x:c r="AF121" s="52" t="n">
        <x:f>IFERROR(I121/F121,0)</x:f>
        <x:v>0.7130434782608696</x:v>
      </x:c>
      <x:c r="AG121" s="52" t="n">
        <x:f>IFERROR(U121/F121,0)</x:f>
        <x:v>0.8565217391304348</x:v>
      </x:c>
    </x:row>
    <x:row r="122">
      <x:c r="A122" s="50" t="n">
        <x:v>46186</x:v>
      </x:c>
      <x:c r="B122" s="48" t="str">
        <x:v>Toned Milk</x:v>
      </x:c>
      <x:c r="C122" s="48" t="n">
        <x:v>2</x:v>
      </x:c>
      <x:c r="D122" s="54" t="n">
        <x:v>1954</x:v>
      </x:c>
      <x:c r="E122" s="54" t="n">
        <x:v>1906</x:v>
      </x:c>
      <x:c r="F122" s="54" t="n">
        <x:v>2250</x:v>
      </x:c>
      <x:c r="G122" s="54" t="n">
        <x:f>ROUND(D122*0.97,0)</x:f>
        <x:v>1895</x:v>
      </x:c>
      <x:c r="H122" s="52" t="n">
        <x:v>1.0123653299907565</x:v>
      </x:c>
      <x:c r="I122" s="54" t="n">
        <x:f>MIN(F122,ROUND(G122*H122,0))</x:f>
        <x:v>1918</x:v>
      </x:c>
      <x:c r="J122" s="54" t="n">
        <x:f>Q117</x:f>
        <x:v>980</x:v>
      </x:c>
      <x:c r="K122" s="54" t="n">
        <x:f>I122+J122</x:f>
        <x:v>2898</x:v>
      </x:c>
      <x:c r="L122" s="54" t="n">
        <x:f>MIN(E122,K122)</x:f>
        <x:v>1906</x:v>
      </x:c>
      <x:c r="M122" s="54" t="n">
        <x:f>MAX(E122-K122,0)</x:f>
        <x:v>0</x:v>
      </x:c>
      <x:c r="N122" s="54" t="n">
        <x:f>MAX(K122-L122,0)</x:f>
        <x:v>992</x:v>
      </x:c>
      <x:c r="O122" s="52" t="n">
        <x:v>0.025</x:v>
      </x:c>
      <x:c r="P122" s="54" t="n">
        <x:f>MIN(N122,ROUND(N122*O122,0))</x:f>
        <x:v>25</x:v>
      </x:c>
      <x:c r="Q122" s="54" t="n">
        <x:f>N122-P122</x:f>
        <x:v>967</x:v>
      </x:c>
      <x:c r="R122" s="54" t="n">
        <x:v>234</x:v>
      </x:c>
      <x:c r="S122" s="54" t="n">
        <x:f>MIN(F122,MAX(0,ROUND(D122+R122-V122,0)))</x:f>
        <x:v>1845</x:v>
      </x:c>
      <x:c r="T122" s="52" t="n">
        <x:v>0.9926498341281262</x:v>
      </x:c>
      <x:c r="U122" s="54" t="n">
        <x:f>MIN(F122,MAX(0,ROUND(S122*T122,0)))</x:f>
        <x:v>1831</x:v>
      </x:c>
      <x:c r="V122" s="54" t="n">
        <x:f>AB117</x:f>
        <x:v>343</x:v>
      </x:c>
      <x:c r="W122" s="54" t="n">
        <x:f>U122+V122</x:f>
        <x:v>2174</x:v>
      </x:c>
      <x:c r="X122" s="54" t="n">
        <x:f>MIN(E122,W122)</x:f>
        <x:v>1906</x:v>
      </x:c>
      <x:c r="Y122" s="54" t="n">
        <x:f>MAX(E122-W122,0)</x:f>
        <x:v>0</x:v>
      </x:c>
      <x:c r="Z122" s="54" t="n">
        <x:f>MAX(W122-X122,0)</x:f>
        <x:v>268</x:v>
      </x:c>
      <x:c r="AA122" s="54" t="n">
        <x:f>MIN(Z122,ROUND(Z122*O122,0))</x:f>
        <x:v>7</x:v>
      </x:c>
      <x:c r="AB122" s="54" t="n">
        <x:f>Z122-AA122</x:f>
        <x:v>261</x:v>
      </x:c>
      <x:c r="AC122" s="52" t="n">
        <x:f>IFERROR(ABS(E122-D122)/E122,0)</x:f>
        <x:v>0.025183630640083946</x:v>
      </x:c>
      <x:c r="AD122" s="52" t="n">
        <x:f>IFERROR(L122/E122,1)</x:f>
        <x:v>1</x:v>
      </x:c>
      <x:c r="AE122" s="52" t="n">
        <x:f>IFERROR(X122/E122,1)</x:f>
        <x:v>1</x:v>
      </x:c>
      <x:c r="AF122" s="52" t="n">
        <x:f>IFERROR(I122/F122,0)</x:f>
        <x:v>0.8524444444444444</x:v>
      </x:c>
      <x:c r="AG122" s="52" t="n">
        <x:f>IFERROR(U122/F122,0)</x:f>
        <x:v>0.8137777777777778</x:v>
      </x:c>
    </x:row>
    <x:row r="123">
      <x:c r="A123" s="50" t="n">
        <x:v>46186</x:v>
      </x:c>
      <x:c r="B123" s="48" t="str">
        <x:v>Full Cream Milk</x:v>
      </x:c>
      <x:c r="C123" s="48" t="n">
        <x:v>2</x:v>
      </x:c>
      <x:c r="D123" s="54" t="n">
        <x:v>977</x:v>
      </x:c>
      <x:c r="E123" s="54" t="n">
        <x:v>1054</x:v>
      </x:c>
      <x:c r="F123" s="54" t="n">
        <x:v>1200</x:v>
      </x:c>
      <x:c r="G123" s="54" t="n">
        <x:f>ROUND(D123*0.97,0)</x:f>
        <x:v>948</x:v>
      </x:c>
      <x:c r="H123" s="52" t="n">
        <x:v>0.9948573722059034</x:v>
      </x:c>
      <x:c r="I123" s="54" t="n">
        <x:f>MIN(F123,ROUND(G123*H123,0))</x:f>
        <x:v>943</x:v>
      </x:c>
      <x:c r="J123" s="54" t="n">
        <x:f>Q118</x:f>
        <x:v>144</x:v>
      </x:c>
      <x:c r="K123" s="54" t="n">
        <x:f>I123+J123</x:f>
        <x:v>1087</x:v>
      </x:c>
      <x:c r="L123" s="54" t="n">
        <x:f>MIN(E123,K123)</x:f>
        <x:v>1054</x:v>
      </x:c>
      <x:c r="M123" s="54" t="n">
        <x:f>MAX(E123-K123,0)</x:f>
        <x:v>0</x:v>
      </x:c>
      <x:c r="N123" s="54" t="n">
        <x:f>MAX(K123-L123,0)</x:f>
        <x:v>33</x:v>
      </x:c>
      <x:c r="O123" s="52" t="n">
        <x:v>0.03</x:v>
      </x:c>
      <x:c r="P123" s="54" t="n">
        <x:f>MIN(N123,ROUND(N123*O123,0))</x:f>
        <x:v>1</x:v>
      </x:c>
      <x:c r="Q123" s="54" t="n">
        <x:f>N123-P123</x:f>
        <x:v>32</x:v>
      </x:c>
      <x:c r="R123" s="54" t="n">
        <x:v>117</x:v>
      </x:c>
      <x:c r="S123" s="54" t="n">
        <x:f>MIN(F123,MAX(0,ROUND(D123+R123-V123,0)))</x:f>
        <x:v>832</x:v>
      </x:c>
      <x:c r="T123" s="52" t="n">
        <x:v>1.009906880310386</x:v>
      </x:c>
      <x:c r="U123" s="54" t="n">
        <x:f>MIN(F123,MAX(0,ROUND(S123*T123,0)))</x:f>
        <x:v>840</x:v>
      </x:c>
      <x:c r="V123" s="54" t="n">
        <x:f>AB118</x:f>
        <x:v>262</x:v>
      </x:c>
      <x:c r="W123" s="54" t="n">
        <x:f>U123+V123</x:f>
        <x:v>1102</x:v>
      </x:c>
      <x:c r="X123" s="54" t="n">
        <x:f>MIN(E123,W123)</x:f>
        <x:v>1054</x:v>
      </x:c>
      <x:c r="Y123" s="54" t="n">
        <x:f>MAX(E123-W123,0)</x:f>
        <x:v>0</x:v>
      </x:c>
      <x:c r="Z123" s="54" t="n">
        <x:f>MAX(W123-X123,0)</x:f>
        <x:v>48</x:v>
      </x:c>
      <x:c r="AA123" s="54" t="n">
        <x:f>MIN(Z123,ROUND(Z123*O123,0))</x:f>
        <x:v>1</x:v>
      </x:c>
      <x:c r="AB123" s="54" t="n">
        <x:f>Z123-AA123</x:f>
        <x:v>47</x:v>
      </x:c>
      <x:c r="AC123" s="52" t="n">
        <x:f>IFERROR(ABS(E123-D123)/E123,0)</x:f>
        <x:v>0.0730550284629981</x:v>
      </x:c>
      <x:c r="AD123" s="52" t="n">
        <x:f>IFERROR(L123/E123,1)</x:f>
        <x:v>1</x:v>
      </x:c>
      <x:c r="AE123" s="52" t="n">
        <x:f>IFERROR(X123/E123,1)</x:f>
        <x:v>1</x:v>
      </x:c>
      <x:c r="AF123" s="52" t="n">
        <x:f>IFERROR(I123/F123,0)</x:f>
        <x:v>0.7858333333333334</x:v>
      </x:c>
      <x:c r="AG123" s="52" t="n">
        <x:f>IFERROR(U123/F123,0)</x:f>
        <x:v>0.7</x:v>
      </x:c>
    </x:row>
    <x:row r="124">
      <x:c r="A124" s="50" t="n">
        <x:v>46186</x:v>
      </x:c>
      <x:c r="B124" s="48" t="str">
        <x:v>Curd</x:v>
      </x:c>
      <x:c r="C124" s="48" t="n">
        <x:v>7</x:v>
      </x:c>
      <x:c r="D124" s="54" t="n">
        <x:v>575</x:v>
      </x:c>
      <x:c r="E124" s="54" t="n">
        <x:v>571</x:v>
      </x:c>
      <x:c r="F124" s="54" t="n">
        <x:v>700</x:v>
      </x:c>
      <x:c r="G124" s="54" t="n">
        <x:f>ROUND(D124*0.97,0)</x:f>
        <x:v>558</x:v>
      </x:c>
      <x:c r="H124" s="52" t="n">
        <x:v>0.9904459893051083</x:v>
      </x:c>
      <x:c r="I124" s="54" t="n">
        <x:f>MIN(F124,ROUND(G124*H124,0))</x:f>
        <x:v>553</x:v>
      </x:c>
      <x:c r="J124" s="54" t="n">
        <x:f>Q119</x:f>
        <x:v>15</x:v>
      </x:c>
      <x:c r="K124" s="54" t="n">
        <x:f>I124+J124</x:f>
        <x:v>568</x:v>
      </x:c>
      <x:c r="L124" s="54" t="n">
        <x:f>MIN(E124,K124)</x:f>
        <x:v>568</x:v>
      </x:c>
      <x:c r="M124" s="54" t="n">
        <x:f>MAX(E124-K124,0)</x:f>
        <x:v>3</x:v>
      </x:c>
      <x:c r="N124" s="54" t="n">
        <x:f>MAX(K124-L124,0)</x:f>
        <x:v>0</x:v>
      </x:c>
      <x:c r="O124" s="52" t="n">
        <x:v>0.018</x:v>
      </x:c>
      <x:c r="P124" s="54" t="n">
        <x:f>MIN(N124,ROUND(N124*O124,0))</x:f>
        <x:v>0</x:v>
      </x:c>
      <x:c r="Q124" s="54" t="n">
        <x:f>N124-P124</x:f>
        <x:v>0</x:v>
      </x:c>
      <x:c r="R124" s="54" t="n">
        <x:v>104</x:v>
      </x:c>
      <x:c r="S124" s="54" t="n">
        <x:f>MIN(F124,MAX(0,ROUND(D124+R124-V124,0)))</x:f>
        <x:v>558</x:v>
      </x:c>
      <x:c r="T124" s="52" t="n">
        <x:v>0.9805241184299797</x:v>
      </x:c>
      <x:c r="U124" s="54" t="n">
        <x:f>MIN(F124,MAX(0,ROUND(S124*T124,0)))</x:f>
        <x:v>547</x:v>
      </x:c>
      <x:c r="V124" s="54" t="n">
        <x:f>AB119</x:f>
        <x:v>121</x:v>
      </x:c>
      <x:c r="W124" s="54" t="n">
        <x:f>U124+V124</x:f>
        <x:v>668</x:v>
      </x:c>
      <x:c r="X124" s="54" t="n">
        <x:f>MIN(E124,W124)</x:f>
        <x:v>571</x:v>
      </x:c>
      <x:c r="Y124" s="54" t="n">
        <x:f>MAX(E124-W124,0)</x:f>
        <x:v>0</x:v>
      </x:c>
      <x:c r="Z124" s="54" t="n">
        <x:f>MAX(W124-X124,0)</x:f>
        <x:v>97</x:v>
      </x:c>
      <x:c r="AA124" s="54" t="n">
        <x:f>MIN(Z124,ROUND(Z124*O124,0))</x:f>
        <x:v>2</x:v>
      </x:c>
      <x:c r="AB124" s="54" t="n">
        <x:f>Z124-AA124</x:f>
        <x:v>95</x:v>
      </x:c>
      <x:c r="AC124" s="52" t="n">
        <x:f>IFERROR(ABS(E124-D124)/E124,0)</x:f>
        <x:v>0.0070052539404553416</x:v>
      </x:c>
      <x:c r="AD124" s="52" t="n">
        <x:f>IFERROR(L124/E124,1)</x:f>
        <x:v>0.9947460595446584</x:v>
      </x:c>
      <x:c r="AE124" s="52" t="n">
        <x:f>IFERROR(X124/E124,1)</x:f>
        <x:v>1</x:v>
      </x:c>
      <x:c r="AF124" s="52" t="n">
        <x:f>IFERROR(I124/F124,0)</x:f>
        <x:v>0.79</x:v>
      </x:c>
      <x:c r="AG124" s="52" t="n">
        <x:f>IFERROR(U124/F124,0)</x:f>
        <x:v>0.7814285714285715</x:v>
      </x:c>
    </x:row>
    <x:row r="125">
      <x:c r="A125" s="50" t="n">
        <x:v>46186</x:v>
      </x:c>
      <x:c r="B125" s="48" t="str">
        <x:v>Lassi</x:v>
      </x:c>
      <x:c r="C125" s="48" t="n">
        <x:v>7</x:v>
      </x:c>
      <x:c r="D125" s="54" t="n">
        <x:v>456</x:v>
      </x:c>
      <x:c r="E125" s="54" t="n">
        <x:v>397</x:v>
      </x:c>
      <x:c r="F125" s="54" t="n">
        <x:v>560</x:v>
      </x:c>
      <x:c r="G125" s="54" t="n">
        <x:f>ROUND(D125*0.97,0)</x:f>
        <x:v>442</x:v>
      </x:c>
      <x:c r="H125" s="52" t="n">
        <x:v>0.9815587553213396</x:v>
      </x:c>
      <x:c r="I125" s="54" t="n">
        <x:f>MIN(F125,ROUND(G125*H125,0))</x:f>
        <x:v>434</x:v>
      </x:c>
      <x:c r="J125" s="54" t="n">
        <x:f>Q120</x:f>
        <x:v>57</x:v>
      </x:c>
      <x:c r="K125" s="54" t="n">
        <x:f>I125+J125</x:f>
        <x:v>491</x:v>
      </x:c>
      <x:c r="L125" s="54" t="n">
        <x:f>MIN(E125,K125)</x:f>
        <x:v>397</x:v>
      </x:c>
      <x:c r="M125" s="54" t="n">
        <x:f>MAX(E125-K125,0)</x:f>
        <x:v>0</x:v>
      </x:c>
      <x:c r="N125" s="54" t="n">
        <x:f>MAX(K125-L125,0)</x:f>
        <x:v>94</x:v>
      </x:c>
      <x:c r="O125" s="52" t="n">
        <x:v>0.02</x:v>
      </x:c>
      <x:c r="P125" s="54" t="n">
        <x:f>MIN(N125,ROUND(N125*O125,0))</x:f>
        <x:v>2</x:v>
      </x:c>
      <x:c r="Q125" s="54" t="n">
        <x:f>N125-P125</x:f>
        <x:v>92</x:v>
      </x:c>
      <x:c r="R125" s="54" t="n">
        <x:v>82</x:v>
      </x:c>
      <x:c r="S125" s="54" t="n">
        <x:f>MIN(F125,MAX(0,ROUND(D125+R125-V125,0)))</x:f>
        <x:v>391</x:v>
      </x:c>
      <x:c r="T125" s="52" t="n">
        <x:v>1.0130639812740758</x:v>
      </x:c>
      <x:c r="U125" s="54" t="n">
        <x:f>MIN(F125,MAX(0,ROUND(S125*T125,0)))</x:f>
        <x:v>396</x:v>
      </x:c>
      <x:c r="V125" s="54" t="n">
        <x:f>AB120</x:f>
        <x:v>147</x:v>
      </x:c>
      <x:c r="W125" s="54" t="n">
        <x:f>U125+V125</x:f>
        <x:v>543</x:v>
      </x:c>
      <x:c r="X125" s="54" t="n">
        <x:f>MIN(E125,W125)</x:f>
        <x:v>397</x:v>
      </x:c>
      <x:c r="Y125" s="54" t="n">
        <x:f>MAX(E125-W125,0)</x:f>
        <x:v>0</x:v>
      </x:c>
      <x:c r="Z125" s="54" t="n">
        <x:f>MAX(W125-X125,0)</x:f>
        <x:v>146</x:v>
      </x:c>
      <x:c r="AA125" s="54" t="n">
        <x:f>MIN(Z125,ROUND(Z125*O125,0))</x:f>
        <x:v>3</x:v>
      </x:c>
      <x:c r="AB125" s="54" t="n">
        <x:f>Z125-AA125</x:f>
        <x:v>143</x:v>
      </x:c>
      <x:c r="AC125" s="52" t="n">
        <x:f>IFERROR(ABS(E125-D125)/E125,0)</x:f>
        <x:v>0.1486146095717884</x:v>
      </x:c>
      <x:c r="AD125" s="52" t="n">
        <x:f>IFERROR(L125/E125,1)</x:f>
        <x:v>1</x:v>
      </x:c>
      <x:c r="AE125" s="52" t="n">
        <x:f>IFERROR(X125/E125,1)</x:f>
        <x:v>1</x:v>
      </x:c>
      <x:c r="AF125" s="52" t="n">
        <x:f>IFERROR(I125/F125,0)</x:f>
        <x:v>0.775</x:v>
      </x:c>
      <x:c r="AG125" s="52" t="n">
        <x:f>IFERROR(U125/F125,0)</x:f>
        <x:v>0.7071428571428572</x:v>
      </x:c>
    </x:row>
    <x:row r="126">
      <x:c r="A126" s="50" t="n">
        <x:v>46186</x:v>
      </x:c>
      <x:c r="B126" s="48" t="str">
        <x:v>Paneer</x:v>
      </x:c>
      <x:c r="C126" s="48" t="n">
        <x:v>5</x:v>
      </x:c>
      <x:c r="D126" s="54" t="n">
        <x:v>181</x:v>
      </x:c>
      <x:c r="E126" s="54" t="n">
        <x:v>155</x:v>
      </x:c>
      <x:c r="F126" s="54" t="n">
        <x:v>230</x:v>
      </x:c>
      <x:c r="G126" s="54" t="n">
        <x:f>ROUND(D126*0.97,0)</x:f>
        <x:v>176</x:v>
      </x:c>
      <x:c r="H126" s="52" t="n">
        <x:v>0.9855305660587095</x:v>
      </x:c>
      <x:c r="I126" s="54" t="n">
        <x:f>MIN(F126,ROUND(G126*H126,0))</x:f>
        <x:v>173</x:v>
      </x:c>
      <x:c r="J126" s="54" t="n">
        <x:f>Q121</x:f>
        <x:v>20</x:v>
      </x:c>
      <x:c r="K126" s="54" t="n">
        <x:f>I126+J126</x:f>
        <x:v>193</x:v>
      </x:c>
      <x:c r="L126" s="54" t="n">
        <x:f>MIN(E126,K126)</x:f>
        <x:v>155</x:v>
      </x:c>
      <x:c r="M126" s="54" t="n">
        <x:f>MAX(E126-K126,0)</x:f>
        <x:v>0</x:v>
      </x:c>
      <x:c r="N126" s="54" t="n">
        <x:f>MAX(K126-L126,0)</x:f>
        <x:v>38</x:v>
      </x:c>
      <x:c r="O126" s="52" t="n">
        <x:v>0.025</x:v>
      </x:c>
      <x:c r="P126" s="54" t="n">
        <x:f>MIN(N126,ROUND(N126*O126,0))</x:f>
        <x:v>1</x:v>
      </x:c>
      <x:c r="Q126" s="54" t="n">
        <x:f>N126-P126</x:f>
        <x:v>37</x:v>
      </x:c>
      <x:c r="R126" s="54" t="n">
        <x:v>36</x:v>
      </x:c>
      <x:c r="S126" s="54" t="n">
        <x:f>MIN(F126,MAX(0,ROUND(D126+R126-V126,0)))</x:f>
        <x:v>158</x:v>
      </x:c>
      <x:c r="T126" s="52" t="n">
        <x:v>1.000636147725229</x:v>
      </x:c>
      <x:c r="U126" s="54" t="n">
        <x:f>MIN(F126,MAX(0,ROUND(S126*T126,0)))</x:f>
        <x:v>158</x:v>
      </x:c>
      <x:c r="V126" s="54" t="n">
        <x:f>AB121</x:f>
        <x:v>59</x:v>
      </x:c>
      <x:c r="W126" s="54" t="n">
        <x:f>U126+V126</x:f>
        <x:v>217</x:v>
      </x:c>
      <x:c r="X126" s="54" t="n">
        <x:f>MIN(E126,W126)</x:f>
        <x:v>155</x:v>
      </x:c>
      <x:c r="Y126" s="54" t="n">
        <x:f>MAX(E126-W126,0)</x:f>
        <x:v>0</x:v>
      </x:c>
      <x:c r="Z126" s="54" t="n">
        <x:f>MAX(W126-X126,0)</x:f>
        <x:v>62</x:v>
      </x:c>
      <x:c r="AA126" s="54" t="n">
        <x:f>MIN(Z126,ROUND(Z126*O126,0))</x:f>
        <x:v>2</x:v>
      </x:c>
      <x:c r="AB126" s="54" t="n">
        <x:f>Z126-AA126</x:f>
        <x:v>60</x:v>
      </x:c>
      <x:c r="AC126" s="52" t="n">
        <x:f>IFERROR(ABS(E126-D126)/E126,0)</x:f>
        <x:v>0.16774193548387098</x:v>
      </x:c>
      <x:c r="AD126" s="52" t="n">
        <x:f>IFERROR(L126/E126,1)</x:f>
        <x:v>1</x:v>
      </x:c>
      <x:c r="AE126" s="52" t="n">
        <x:f>IFERROR(X126/E126,1)</x:f>
        <x:v>1</x:v>
      </x:c>
      <x:c r="AF126" s="52" t="n">
        <x:f>IFERROR(I126/F126,0)</x:f>
        <x:v>0.7521739130434782</x:v>
      </x:c>
      <x:c r="AG126" s="52" t="n">
        <x:f>IFERROR(U126/F126,0)</x:f>
        <x:v>0.6869565217391305</x:v>
      </x:c>
    </x:row>
    <x:row r="127">
      <x:c r="A127" s="50" t="n">
        <x:v>46187</x:v>
      </x:c>
      <x:c r="B127" s="48" t="str">
        <x:v>Toned Milk</x:v>
      </x:c>
      <x:c r="C127" s="48" t="n">
        <x:v>2</x:v>
      </x:c>
      <x:c r="D127" s="54" t="n">
        <x:v>1921</x:v>
      </x:c>
      <x:c r="E127" s="54" t="n">
        <x:v>1700</x:v>
      </x:c>
      <x:c r="F127" s="54" t="n">
        <x:v>2250</x:v>
      </x:c>
      <x:c r="G127" s="54" t="n">
        <x:f>ROUND(D127*0.97,0)</x:f>
        <x:v>1863</x:v>
      </x:c>
      <x:c r="H127" s="52" t="n">
        <x:v>1.0094286620055526</x:v>
      </x:c>
      <x:c r="I127" s="54" t="n">
        <x:f>MIN(F127,ROUND(G127*H127,0))</x:f>
        <x:v>1881</x:v>
      </x:c>
      <x:c r="J127" s="54" t="n">
        <x:f>Q122</x:f>
        <x:v>967</x:v>
      </x:c>
      <x:c r="K127" s="54" t="n">
        <x:f>I127+J127</x:f>
        <x:v>2848</x:v>
      </x:c>
      <x:c r="L127" s="54" t="n">
        <x:f>MIN(E127,K127)</x:f>
        <x:v>1700</x:v>
      </x:c>
      <x:c r="M127" s="54" t="n">
        <x:f>MAX(E127-K127,0)</x:f>
        <x:v>0</x:v>
      </x:c>
      <x:c r="N127" s="54" t="n">
        <x:f>MAX(K127-L127,0)</x:f>
        <x:v>1148</x:v>
      </x:c>
      <x:c r="O127" s="52" t="n">
        <x:v>0.025</x:v>
      </x:c>
      <x:c r="P127" s="54" t="n">
        <x:f>MIN(N127,ROUND(N127*O127,0))</x:f>
        <x:v>29</x:v>
      </x:c>
      <x:c r="Q127" s="54" t="n">
        <x:f>N127-P127</x:f>
        <x:v>1119</x:v>
      </x:c>
      <x:c r="R127" s="54" t="n">
        <x:v>231</x:v>
      </x:c>
      <x:c r="S127" s="54" t="n">
        <x:f>MIN(F127,MAX(0,ROUND(D127+R127-V127,0)))</x:f>
        <x:v>1891</x:v>
      </x:c>
      <x:c r="T127" s="52" t="n">
        <x:v>1.0157684365799482</x:v>
      </x:c>
      <x:c r="U127" s="54" t="n">
        <x:f>MIN(F127,MAX(0,ROUND(S127*T127,0)))</x:f>
        <x:v>1921</x:v>
      </x:c>
      <x:c r="V127" s="54" t="n">
        <x:f>AB122</x:f>
        <x:v>261</x:v>
      </x:c>
      <x:c r="W127" s="54" t="n">
        <x:f>U127+V127</x:f>
        <x:v>2182</x:v>
      </x:c>
      <x:c r="X127" s="54" t="n">
        <x:f>MIN(E127,W127)</x:f>
        <x:v>1700</x:v>
      </x:c>
      <x:c r="Y127" s="54" t="n">
        <x:f>MAX(E127-W127,0)</x:f>
        <x:v>0</x:v>
      </x:c>
      <x:c r="Z127" s="54" t="n">
        <x:f>MAX(W127-X127,0)</x:f>
        <x:v>482</x:v>
      </x:c>
      <x:c r="AA127" s="54" t="n">
        <x:f>MIN(Z127,ROUND(Z127*O127,0))</x:f>
        <x:v>12</x:v>
      </x:c>
      <x:c r="AB127" s="54" t="n">
        <x:f>Z127-AA127</x:f>
        <x:v>470</x:v>
      </x:c>
      <x:c r="AC127" s="52" t="n">
        <x:f>IFERROR(ABS(E127-D127)/E127,0)</x:f>
        <x:v>0.13</x:v>
      </x:c>
      <x:c r="AD127" s="52" t="n">
        <x:f>IFERROR(L127/E127,1)</x:f>
        <x:v>1</x:v>
      </x:c>
      <x:c r="AE127" s="52" t="n">
        <x:f>IFERROR(X127/E127,1)</x:f>
        <x:v>1</x:v>
      </x:c>
      <x:c r="AF127" s="52" t="n">
        <x:f>IFERROR(I127/F127,0)</x:f>
        <x:v>0.836</x:v>
      </x:c>
      <x:c r="AG127" s="52" t="n">
        <x:f>IFERROR(U127/F127,0)</x:f>
        <x:v>0.8537777777777777</x:v>
      </x:c>
    </x:row>
    <x:row r="128">
      <x:c r="A128" s="50" t="n">
        <x:v>46187</x:v>
      </x:c>
      <x:c r="B128" s="48" t="str">
        <x:v>Full Cream Milk</x:v>
      </x:c>
      <x:c r="C128" s="48" t="n">
        <x:v>2</x:v>
      </x:c>
      <x:c r="D128" s="54" t="n">
        <x:v>960</x:v>
      </x:c>
      <x:c r="E128" s="54" t="n">
        <x:v>838</x:v>
      </x:c>
      <x:c r="F128" s="54" t="n">
        <x:v>1200</x:v>
      </x:c>
      <x:c r="G128" s="54" t="n">
        <x:f>ROUND(D128*0.97,0)</x:f>
        <x:v>931</x:v>
      </x:c>
      <x:c r="H128" s="52" t="n">
        <x:v>0.9801390287410702</x:v>
      </x:c>
      <x:c r="I128" s="54" t="n">
        <x:f>MIN(F128,ROUND(G128*H128,0))</x:f>
        <x:v>913</x:v>
      </x:c>
      <x:c r="J128" s="54" t="n">
        <x:f>Q123</x:f>
        <x:v>32</x:v>
      </x:c>
      <x:c r="K128" s="54" t="n">
        <x:f>I128+J128</x:f>
        <x:v>945</x:v>
      </x:c>
      <x:c r="L128" s="54" t="n">
        <x:f>MIN(E128,K128)</x:f>
        <x:v>838</x:v>
      </x:c>
      <x:c r="M128" s="54" t="n">
        <x:f>MAX(E128-K128,0)</x:f>
        <x:v>0</x:v>
      </x:c>
      <x:c r="N128" s="54" t="n">
        <x:f>MAX(K128-L128,0)</x:f>
        <x:v>107</x:v>
      </x:c>
      <x:c r="O128" s="52" t="n">
        <x:v>0.03</x:v>
      </x:c>
      <x:c r="P128" s="54" t="n">
        <x:f>MIN(N128,ROUND(N128*O128,0))</x:f>
        <x:v>3</x:v>
      </x:c>
      <x:c r="Q128" s="54" t="n">
        <x:f>N128-P128</x:f>
        <x:v>104</x:v>
      </x:c>
      <x:c r="R128" s="54" t="n">
        <x:v>115</x:v>
      </x:c>
      <x:c r="S128" s="54" t="n">
        <x:f>MIN(F128,MAX(0,ROUND(D128+R128-V128,0)))</x:f>
        <x:v>1028</x:v>
      </x:c>
      <x:c r="T128" s="52" t="n">
        <x:v>0.9956538127940018</x:v>
      </x:c>
      <x:c r="U128" s="54" t="n">
        <x:f>MIN(F128,MAX(0,ROUND(S128*T128,0)))</x:f>
        <x:v>1024</x:v>
      </x:c>
      <x:c r="V128" s="54" t="n">
        <x:f>AB123</x:f>
        <x:v>47</x:v>
      </x:c>
      <x:c r="W128" s="54" t="n">
        <x:f>U128+V128</x:f>
        <x:v>1071</x:v>
      </x:c>
      <x:c r="X128" s="54" t="n">
        <x:f>MIN(E128,W128)</x:f>
        <x:v>838</x:v>
      </x:c>
      <x:c r="Y128" s="54" t="n">
        <x:f>MAX(E128-W128,0)</x:f>
        <x:v>0</x:v>
      </x:c>
      <x:c r="Z128" s="54" t="n">
        <x:f>MAX(W128-X128,0)</x:f>
        <x:v>233</x:v>
      </x:c>
      <x:c r="AA128" s="54" t="n">
        <x:f>MIN(Z128,ROUND(Z128*O128,0))</x:f>
        <x:v>7</x:v>
      </x:c>
      <x:c r="AB128" s="54" t="n">
        <x:f>Z128-AA128</x:f>
        <x:v>226</x:v>
      </x:c>
      <x:c r="AC128" s="52" t="n">
        <x:f>IFERROR(ABS(E128-D128)/E128,0)</x:f>
        <x:v>0.14558472553699284</x:v>
      </x:c>
      <x:c r="AD128" s="52" t="n">
        <x:f>IFERROR(L128/E128,1)</x:f>
        <x:v>1</x:v>
      </x:c>
      <x:c r="AE128" s="52" t="n">
        <x:f>IFERROR(X128/E128,1)</x:f>
        <x:v>1</x:v>
      </x:c>
      <x:c r="AF128" s="52" t="n">
        <x:f>IFERROR(I128/F128,0)</x:f>
        <x:v>0.7608333333333334</x:v>
      </x:c>
      <x:c r="AG128" s="52" t="n">
        <x:f>IFERROR(U128/F128,0)</x:f>
        <x:v>0.8533333333333334</x:v>
      </x:c>
    </x:row>
    <x:row r="129">
      <x:c r="A129" s="50" t="n">
        <x:v>46187</x:v>
      </x:c>
      <x:c r="B129" s="48" t="str">
        <x:v>Curd</x:v>
      </x:c>
      <x:c r="C129" s="48" t="n">
        <x:v>7</x:v>
      </x:c>
      <x:c r="D129" s="54" t="n">
        <x:v>585</x:v>
      </x:c>
      <x:c r="E129" s="54" t="n">
        <x:v>621</x:v>
      </x:c>
      <x:c r="F129" s="54" t="n">
        <x:v>700</x:v>
      </x:c>
      <x:c r="G129" s="54" t="n">
        <x:f>ROUND(D129*0.97,0)</x:f>
        <x:v>567</x:v>
      </x:c>
      <x:c r="H129" s="52" t="n">
        <x:v>1.0120771059268077</x:v>
      </x:c>
      <x:c r="I129" s="54" t="n">
        <x:f>MIN(F129,ROUND(G129*H129,0))</x:f>
        <x:v>574</x:v>
      </x:c>
      <x:c r="J129" s="54" t="n">
        <x:f>Q124</x:f>
        <x:v>0</x:v>
      </x:c>
      <x:c r="K129" s="54" t="n">
        <x:f>I129+J129</x:f>
        <x:v>574</x:v>
      </x:c>
      <x:c r="L129" s="54" t="n">
        <x:f>MIN(E129,K129)</x:f>
        <x:v>574</x:v>
      </x:c>
      <x:c r="M129" s="54" t="n">
        <x:f>MAX(E129-K129,0)</x:f>
        <x:v>47</x:v>
      </x:c>
      <x:c r="N129" s="54" t="n">
        <x:f>MAX(K129-L129,0)</x:f>
        <x:v>0</x:v>
      </x:c>
      <x:c r="O129" s="52" t="n">
        <x:v>0.018</x:v>
      </x:c>
      <x:c r="P129" s="54" t="n">
        <x:f>MIN(N129,ROUND(N129*O129,0))</x:f>
        <x:v>0</x:v>
      </x:c>
      <x:c r="Q129" s="54" t="n">
        <x:f>N129-P129</x:f>
        <x:v>0</x:v>
      </x:c>
      <x:c r="R129" s="54" t="n">
        <x:v>105</x:v>
      </x:c>
      <x:c r="S129" s="54" t="n">
        <x:f>MIN(F129,MAX(0,ROUND(D129+R129-V129,0)))</x:f>
        <x:v>595</x:v>
      </x:c>
      <x:c r="T129" s="52" t="n">
        <x:v>1.0043484189177978</x:v>
      </x:c>
      <x:c r="U129" s="54" t="n">
        <x:f>MIN(F129,MAX(0,ROUND(S129*T129,0)))</x:f>
        <x:v>598</x:v>
      </x:c>
      <x:c r="V129" s="54" t="n">
        <x:f>AB124</x:f>
        <x:v>95</x:v>
      </x:c>
      <x:c r="W129" s="54" t="n">
        <x:f>U129+V129</x:f>
        <x:v>693</x:v>
      </x:c>
      <x:c r="X129" s="54" t="n">
        <x:f>MIN(E129,W129)</x:f>
        <x:v>621</x:v>
      </x:c>
      <x:c r="Y129" s="54" t="n">
        <x:f>MAX(E129-W129,0)</x:f>
        <x:v>0</x:v>
      </x:c>
      <x:c r="Z129" s="54" t="n">
        <x:f>MAX(W129-X129,0)</x:f>
        <x:v>72</x:v>
      </x:c>
      <x:c r="AA129" s="54" t="n">
        <x:f>MIN(Z129,ROUND(Z129*O129,0))</x:f>
        <x:v>1</x:v>
      </x:c>
      <x:c r="AB129" s="54" t="n">
        <x:f>Z129-AA129</x:f>
        <x:v>71</x:v>
      </x:c>
      <x:c r="AC129" s="52" t="n">
        <x:f>IFERROR(ABS(E129-D129)/E129,0)</x:f>
        <x:v>0.057971014492753624</x:v>
      </x:c>
      <x:c r="AD129" s="52" t="n">
        <x:f>IFERROR(L129/E129,1)</x:f>
        <x:v>0.9243156199677939</x:v>
      </x:c>
      <x:c r="AE129" s="52" t="n">
        <x:f>IFERROR(X129/E129,1)</x:f>
        <x:v>1</x:v>
      </x:c>
      <x:c r="AF129" s="52" t="n">
        <x:f>IFERROR(I129/F129,0)</x:f>
        <x:v>0.82</x:v>
      </x:c>
      <x:c r="AG129" s="52" t="n">
        <x:f>IFERROR(U129/F129,0)</x:f>
        <x:v>0.8542857142857143</x:v>
      </x:c>
    </x:row>
    <x:row r="130">
      <x:c r="A130" s="50" t="n">
        <x:v>46187</x:v>
      </x:c>
      <x:c r="B130" s="48" t="str">
        <x:v>Lassi</x:v>
      </x:c>
      <x:c r="C130" s="48" t="n">
        <x:v>7</x:v>
      </x:c>
      <x:c r="D130" s="54" t="n">
        <x:v>468</x:v>
      </x:c>
      <x:c r="E130" s="54" t="n">
        <x:v>493</x:v>
      </x:c>
      <x:c r="F130" s="54" t="n">
        <x:v>560</x:v>
      </x:c>
      <x:c r="G130" s="54" t="n">
        <x:f>ROUND(D130*0.97,0)</x:f>
        <x:v>454</x:v>
      </x:c>
      <x:c r="H130" s="52" t="n">
        <x:v>0.9905649082508778</x:v>
      </x:c>
      <x:c r="I130" s="54" t="n">
        <x:f>MIN(F130,ROUND(G130*H130,0))</x:f>
        <x:v>450</x:v>
      </x:c>
      <x:c r="J130" s="54" t="n">
        <x:f>Q125</x:f>
        <x:v>92</x:v>
      </x:c>
      <x:c r="K130" s="54" t="n">
        <x:f>I130+J130</x:f>
        <x:v>542</x:v>
      </x:c>
      <x:c r="L130" s="54" t="n">
        <x:f>MIN(E130,K130)</x:f>
        <x:v>493</x:v>
      </x:c>
      <x:c r="M130" s="54" t="n">
        <x:f>MAX(E130-K130,0)</x:f>
        <x:v>0</x:v>
      </x:c>
      <x:c r="N130" s="54" t="n">
        <x:f>MAX(K130-L130,0)</x:f>
        <x:v>49</x:v>
      </x:c>
      <x:c r="O130" s="52" t="n">
        <x:v>0.02</x:v>
      </x:c>
      <x:c r="P130" s="54" t="n">
        <x:f>MIN(N130,ROUND(N130*O130,0))</x:f>
        <x:v>1</x:v>
      </x:c>
      <x:c r="Q130" s="54" t="n">
        <x:f>N130-P130</x:f>
        <x:v>48</x:v>
      </x:c>
      <x:c r="R130" s="54" t="n">
        <x:v>84</x:v>
      </x:c>
      <x:c r="S130" s="54" t="n">
        <x:f>MIN(F130,MAX(0,ROUND(D130+R130-V130,0)))</x:f>
        <x:v>409</x:v>
      </x:c>
      <x:c r="T130" s="52" t="n">
        <x:v>1.009340346781376</x:v>
      </x:c>
      <x:c r="U130" s="54" t="n">
        <x:f>MIN(F130,MAX(0,ROUND(S130*T130,0)))</x:f>
        <x:v>413</x:v>
      </x:c>
      <x:c r="V130" s="54" t="n">
        <x:f>AB125</x:f>
        <x:v>143</x:v>
      </x:c>
      <x:c r="W130" s="54" t="n">
        <x:f>U130+V130</x:f>
        <x:v>556</x:v>
      </x:c>
      <x:c r="X130" s="54" t="n">
        <x:f>MIN(E130,W130)</x:f>
        <x:v>493</x:v>
      </x:c>
      <x:c r="Y130" s="54" t="n">
        <x:f>MAX(E130-W130,0)</x:f>
        <x:v>0</x:v>
      </x:c>
      <x:c r="Z130" s="54" t="n">
        <x:f>MAX(W130-X130,0)</x:f>
        <x:v>63</x:v>
      </x:c>
      <x:c r="AA130" s="54" t="n">
        <x:f>MIN(Z130,ROUND(Z130*O130,0))</x:f>
        <x:v>1</x:v>
      </x:c>
      <x:c r="AB130" s="54" t="n">
        <x:f>Z130-AA130</x:f>
        <x:v>62</x:v>
      </x:c>
      <x:c r="AC130" s="52" t="n">
        <x:f>IFERROR(ABS(E130-D130)/E130,0)</x:f>
        <x:v>0.05070993914807302</x:v>
      </x:c>
      <x:c r="AD130" s="52" t="n">
        <x:f>IFERROR(L130/E130,1)</x:f>
        <x:v>1</x:v>
      </x:c>
      <x:c r="AE130" s="52" t="n">
        <x:f>IFERROR(X130/E130,1)</x:f>
        <x:v>1</x:v>
      </x:c>
      <x:c r="AF130" s="52" t="n">
        <x:f>IFERROR(I130/F130,0)</x:f>
        <x:v>0.8035714285714286</x:v>
      </x:c>
      <x:c r="AG130" s="52" t="n">
        <x:f>IFERROR(U130/F130,0)</x:f>
        <x:v>0.7375</x:v>
      </x:c>
    </x:row>
    <x:row r="131">
      <x:c r="A131" s="50" t="n">
        <x:v>46187</x:v>
      </x:c>
      <x:c r="B131" s="48" t="str">
        <x:v>Paneer</x:v>
      </x:c>
      <x:c r="C131" s="48" t="n">
        <x:v>5</x:v>
      </x:c>
      <x:c r="D131" s="54" t="n">
        <x:v>186</x:v>
      </x:c>
      <x:c r="E131" s="54" t="n">
        <x:v>170</x:v>
      </x:c>
      <x:c r="F131" s="54" t="n">
        <x:v>230</x:v>
      </x:c>
      <x:c r="G131" s="54" t="n">
        <x:f>ROUND(D131*0.97,0)</x:f>
        <x:v>180</x:v>
      </x:c>
      <x:c r="H131" s="52" t="n">
        <x:v>1.0039055140481352</x:v>
      </x:c>
      <x:c r="I131" s="54" t="n">
        <x:f>MIN(F131,ROUND(G131*H131,0))</x:f>
        <x:v>181</x:v>
      </x:c>
      <x:c r="J131" s="54" t="n">
        <x:f>Q126</x:f>
        <x:v>37</x:v>
      </x:c>
      <x:c r="K131" s="54" t="n">
        <x:f>I131+J131</x:f>
        <x:v>218</x:v>
      </x:c>
      <x:c r="L131" s="54" t="n">
        <x:f>MIN(E131,K131)</x:f>
        <x:v>170</x:v>
      </x:c>
      <x:c r="M131" s="54" t="n">
        <x:f>MAX(E131-K131,0)</x:f>
        <x:v>0</x:v>
      </x:c>
      <x:c r="N131" s="54" t="n">
        <x:f>MAX(K131-L131,0)</x:f>
        <x:v>48</x:v>
      </x:c>
      <x:c r="O131" s="52" t="n">
        <x:v>0.025</x:v>
      </x:c>
      <x:c r="P131" s="54" t="n">
        <x:f>MIN(N131,ROUND(N131*O131,0))</x:f>
        <x:v>1</x:v>
      </x:c>
      <x:c r="Q131" s="54" t="n">
        <x:f>N131-P131</x:f>
        <x:v>47</x:v>
      </x:c>
      <x:c r="R131" s="54" t="n">
        <x:v>37</x:v>
      </x:c>
      <x:c r="S131" s="54" t="n">
        <x:f>MIN(F131,MAX(0,ROUND(D131+R131-V131,0)))</x:f>
        <x:v>163</x:v>
      </x:c>
      <x:c r="T131" s="52" t="n">
        <x:v>1.009051954922533</x:v>
      </x:c>
      <x:c r="U131" s="54" t="n">
        <x:f>MIN(F131,MAX(0,ROUND(S131*T131,0)))</x:f>
        <x:v>164</x:v>
      </x:c>
      <x:c r="V131" s="54" t="n">
        <x:f>AB126</x:f>
        <x:v>60</x:v>
      </x:c>
      <x:c r="W131" s="54" t="n">
        <x:f>U131+V131</x:f>
        <x:v>224</x:v>
      </x:c>
      <x:c r="X131" s="54" t="n">
        <x:f>MIN(E131,W131)</x:f>
        <x:v>170</x:v>
      </x:c>
      <x:c r="Y131" s="54" t="n">
        <x:f>MAX(E131-W131,0)</x:f>
        <x:v>0</x:v>
      </x:c>
      <x:c r="Z131" s="54" t="n">
        <x:f>MAX(W131-X131,0)</x:f>
        <x:v>54</x:v>
      </x:c>
      <x:c r="AA131" s="54" t="n">
        <x:f>MIN(Z131,ROUND(Z131*O131,0))</x:f>
        <x:v>1</x:v>
      </x:c>
      <x:c r="AB131" s="54" t="n">
        <x:f>Z131-AA131</x:f>
        <x:v>53</x:v>
      </x:c>
      <x:c r="AC131" s="52" t="n">
        <x:f>IFERROR(ABS(E131-D131)/E131,0)</x:f>
        <x:v>0.09411764705882353</x:v>
      </x:c>
      <x:c r="AD131" s="52" t="n">
        <x:f>IFERROR(L131/E131,1)</x:f>
        <x:v>1</x:v>
      </x:c>
      <x:c r="AE131" s="52" t="n">
        <x:f>IFERROR(X131/E131,1)</x:f>
        <x:v>1</x:v>
      </x:c>
      <x:c r="AF131" s="52" t="n">
        <x:f>IFERROR(I131/F131,0)</x:f>
        <x:v>0.7869565217391304</x:v>
      </x:c>
      <x:c r="AG131" s="52" t="n">
        <x:f>IFERROR(U131/F131,0)</x:f>
        <x:v>0.7130434782608696</x:v>
      </x:c>
    </x:row>
    <x:row r="132">
      <x:c r="A132" s="50" t="n">
        <x:v>46188</x:v>
      </x:c>
      <x:c r="B132" s="48" t="str">
        <x:v>Toned Milk</x:v>
      </x:c>
      <x:c r="C132" s="48" t="n">
        <x:v>2</x:v>
      </x:c>
      <x:c r="D132" s="54" t="n">
        <x:v>1647</x:v>
      </x:c>
      <x:c r="E132" s="54" t="n">
        <x:v>1415</x:v>
      </x:c>
      <x:c r="F132" s="54" t="n">
        <x:v>2250</x:v>
      </x:c>
      <x:c r="G132" s="54" t="n">
        <x:f>ROUND(D132*0.97,0)</x:f>
        <x:v>1598</x:v>
      </x:c>
      <x:c r="H132" s="52" t="n">
        <x:v>0.994668570070725</x:v>
      </x:c>
      <x:c r="I132" s="54" t="n">
        <x:f>MIN(F132,ROUND(G132*H132,0))</x:f>
        <x:v>1589</x:v>
      </x:c>
      <x:c r="J132" s="54" t="n">
        <x:f>Q127</x:f>
        <x:v>1119</x:v>
      </x:c>
      <x:c r="K132" s="54" t="n">
        <x:f>I132+J132</x:f>
        <x:v>2708</x:v>
      </x:c>
      <x:c r="L132" s="54" t="n">
        <x:f>MIN(E132,K132)</x:f>
        <x:v>1415</x:v>
      </x:c>
      <x:c r="M132" s="54" t="n">
        <x:f>MAX(E132-K132,0)</x:f>
        <x:v>0</x:v>
      </x:c>
      <x:c r="N132" s="54" t="n">
        <x:f>MAX(K132-L132,0)</x:f>
        <x:v>1293</x:v>
      </x:c>
      <x:c r="O132" s="52" t="n">
        <x:v>0.025</x:v>
      </x:c>
      <x:c r="P132" s="54" t="n">
        <x:f>MIN(N132,ROUND(N132*O132,0))</x:f>
        <x:v>32</x:v>
      </x:c>
      <x:c r="Q132" s="54" t="n">
        <x:f>N132-P132</x:f>
        <x:v>1261</x:v>
      </x:c>
      <x:c r="R132" s="54" t="n">
        <x:v>198</x:v>
      </x:c>
      <x:c r="S132" s="54" t="n">
        <x:f>MIN(F132,MAX(0,ROUND(D132+R132-V132,0)))</x:f>
        <x:v>1375</x:v>
      </x:c>
      <x:c r="T132" s="52" t="n">
        <x:v>1.0103433822974122</x:v>
      </x:c>
      <x:c r="U132" s="54" t="n">
        <x:f>MIN(F132,MAX(0,ROUND(S132*T132,0)))</x:f>
        <x:v>1389</x:v>
      </x:c>
      <x:c r="V132" s="54" t="n">
        <x:f>AB127</x:f>
        <x:v>470</x:v>
      </x:c>
      <x:c r="W132" s="54" t="n">
        <x:f>U132+V132</x:f>
        <x:v>1859</x:v>
      </x:c>
      <x:c r="X132" s="54" t="n">
        <x:f>MIN(E132,W132)</x:f>
        <x:v>1415</x:v>
      </x:c>
      <x:c r="Y132" s="54" t="n">
        <x:f>MAX(E132-W132,0)</x:f>
        <x:v>0</x:v>
      </x:c>
      <x:c r="Z132" s="54" t="n">
        <x:f>MAX(W132-X132,0)</x:f>
        <x:v>444</x:v>
      </x:c>
      <x:c r="AA132" s="54" t="n">
        <x:f>MIN(Z132,ROUND(Z132*O132,0))</x:f>
        <x:v>11</x:v>
      </x:c>
      <x:c r="AB132" s="54" t="n">
        <x:f>Z132-AA132</x:f>
        <x:v>433</x:v>
      </x:c>
      <x:c r="AC132" s="52" t="n">
        <x:f>IFERROR(ABS(E132-D132)/E132,0)</x:f>
        <x:v>0.16395759717314487</x:v>
      </x:c>
      <x:c r="AD132" s="52" t="n">
        <x:f>IFERROR(L132/E132,1)</x:f>
        <x:v>1</x:v>
      </x:c>
      <x:c r="AE132" s="52" t="n">
        <x:f>IFERROR(X132/E132,1)</x:f>
        <x:v>1</x:v>
      </x:c>
      <x:c r="AF132" s="52" t="n">
        <x:f>IFERROR(I132/F132,0)</x:f>
        <x:v>0.7062222222222222</x:v>
      </x:c>
      <x:c r="AG132" s="52" t="n">
        <x:f>IFERROR(U132/F132,0)</x:f>
        <x:v>0.6173333333333333</x:v>
      </x:c>
    </x:row>
    <x:row r="133">
      <x:c r="A133" s="50" t="n">
        <x:v>46188</x:v>
      </x:c>
      <x:c r="B133" s="48" t="str">
        <x:v>Full Cream Milk</x:v>
      </x:c>
      <x:c r="C133" s="48" t="n">
        <x:v>2</x:v>
      </x:c>
      <x:c r="D133" s="54" t="n">
        <x:v>815</x:v>
      </x:c>
      <x:c r="E133" s="54" t="n">
        <x:v>932</x:v>
      </x:c>
      <x:c r="F133" s="54" t="n">
        <x:v>1200</x:v>
      </x:c>
      <x:c r="G133" s="54" t="n">
        <x:f>ROUND(D133*0.97,0)</x:f>
        <x:v>791</x:v>
      </x:c>
      <x:c r="H133" s="52" t="n">
        <x:v>0.9999825067984166</x:v>
      </x:c>
      <x:c r="I133" s="54" t="n">
        <x:f>MIN(F133,ROUND(G133*H133,0))</x:f>
        <x:v>791</x:v>
      </x:c>
      <x:c r="J133" s="54" t="n">
        <x:f>Q128</x:f>
        <x:v>104</x:v>
      </x:c>
      <x:c r="K133" s="54" t="n">
        <x:f>I133+J133</x:f>
        <x:v>895</x:v>
      </x:c>
      <x:c r="L133" s="54" t="n">
        <x:f>MIN(E133,K133)</x:f>
        <x:v>895</x:v>
      </x:c>
      <x:c r="M133" s="54" t="n">
        <x:f>MAX(E133-K133,0)</x:f>
        <x:v>37</x:v>
      </x:c>
      <x:c r="N133" s="54" t="n">
        <x:f>MAX(K133-L133,0)</x:f>
        <x:v>0</x:v>
      </x:c>
      <x:c r="O133" s="52" t="n">
        <x:v>0.03</x:v>
      </x:c>
      <x:c r="P133" s="54" t="n">
        <x:f>MIN(N133,ROUND(N133*O133,0))</x:f>
        <x:v>0</x:v>
      </x:c>
      <x:c r="Q133" s="54" t="n">
        <x:f>N133-P133</x:f>
        <x:v>0</x:v>
      </x:c>
      <x:c r="R133" s="54" t="n">
        <x:v>98</x:v>
      </x:c>
      <x:c r="S133" s="54" t="n">
        <x:f>MIN(F133,MAX(0,ROUND(D133+R133-V133,0)))</x:f>
        <x:v>687</x:v>
      </x:c>
      <x:c r="T133" s="52" t="n">
        <x:v>1.0075799420447213</x:v>
      </x:c>
      <x:c r="U133" s="54" t="n">
        <x:f>MIN(F133,MAX(0,ROUND(S133*T133,0)))</x:f>
        <x:v>692</x:v>
      </x:c>
      <x:c r="V133" s="54" t="n">
        <x:f>AB128</x:f>
        <x:v>226</x:v>
      </x:c>
      <x:c r="W133" s="54" t="n">
        <x:f>U133+V133</x:f>
        <x:v>918</x:v>
      </x:c>
      <x:c r="X133" s="54" t="n">
        <x:f>MIN(E133,W133)</x:f>
        <x:v>918</x:v>
      </x:c>
      <x:c r="Y133" s="54" t="n">
        <x:f>MAX(E133-W133,0)</x:f>
        <x:v>14</x:v>
      </x:c>
      <x:c r="Z133" s="54" t="n">
        <x:f>MAX(W133-X133,0)</x:f>
        <x:v>0</x:v>
      </x:c>
      <x:c r="AA133" s="54" t="n">
        <x:f>MIN(Z133,ROUND(Z133*O133,0))</x:f>
        <x:v>0</x:v>
      </x:c>
      <x:c r="AB133" s="54" t="n">
        <x:f>Z133-AA133</x:f>
        <x:v>0</x:v>
      </x:c>
      <x:c r="AC133" s="52" t="n">
        <x:f>IFERROR(ABS(E133-D133)/E133,0)</x:f>
        <x:v>0.1255364806866953</x:v>
      </x:c>
      <x:c r="AD133" s="52" t="n">
        <x:f>IFERROR(L133/E133,1)</x:f>
        <x:v>0.9603004291845494</x:v>
      </x:c>
      <x:c r="AE133" s="52" t="n">
        <x:f>IFERROR(X133/E133,1)</x:f>
        <x:v>0.9849785407725322</x:v>
      </x:c>
      <x:c r="AF133" s="52" t="n">
        <x:f>IFERROR(I133/F133,0)</x:f>
        <x:v>0.6591666666666667</x:v>
      </x:c>
      <x:c r="AG133" s="52" t="n">
        <x:f>IFERROR(U133/F133,0)</x:f>
        <x:v>0.5766666666666667</x:v>
      </x:c>
    </x:row>
    <x:row r="134">
      <x:c r="A134" s="50" t="n">
        <x:v>46188</x:v>
      </x:c>
      <x:c r="B134" s="48" t="str">
        <x:v>Curd</x:v>
      </x:c>
      <x:c r="C134" s="48" t="n">
        <x:v>7</x:v>
      </x:c>
      <x:c r="D134" s="54" t="n">
        <x:v>469</x:v>
      </x:c>
      <x:c r="E134" s="54" t="n">
        <x:v>503</x:v>
      </x:c>
      <x:c r="F134" s="54" t="n">
        <x:v>700</x:v>
      </x:c>
      <x:c r="G134" s="54" t="n">
        <x:f>ROUND(D134*0.97,0)</x:f>
        <x:v>455</x:v>
      </x:c>
      <x:c r="H134" s="52" t="n">
        <x:v>0.9887010495009545</x:v>
      </x:c>
      <x:c r="I134" s="54" t="n">
        <x:f>MIN(F134,ROUND(G134*H134,0))</x:f>
        <x:v>450</x:v>
      </x:c>
      <x:c r="J134" s="54" t="n">
        <x:f>Q129</x:f>
        <x:v>0</x:v>
      </x:c>
      <x:c r="K134" s="54" t="n">
        <x:f>I134+J134</x:f>
        <x:v>450</x:v>
      </x:c>
      <x:c r="L134" s="54" t="n">
        <x:f>MIN(E134,K134)</x:f>
        <x:v>450</x:v>
      </x:c>
      <x:c r="M134" s="54" t="n">
        <x:f>MAX(E134-K134,0)</x:f>
        <x:v>53</x:v>
      </x:c>
      <x:c r="N134" s="54" t="n">
        <x:f>MAX(K134-L134,0)</x:f>
        <x:v>0</x:v>
      </x:c>
      <x:c r="O134" s="52" t="n">
        <x:v>0.018</x:v>
      </x:c>
      <x:c r="P134" s="54" t="n">
        <x:f>MIN(N134,ROUND(N134*O134,0))</x:f>
        <x:v>0</x:v>
      </x:c>
      <x:c r="Q134" s="54" t="n">
        <x:f>N134-P134</x:f>
        <x:v>0</x:v>
      </x:c>
      <x:c r="R134" s="54" t="n">
        <x:v>84</x:v>
      </x:c>
      <x:c r="S134" s="54" t="n">
        <x:f>MIN(F134,MAX(0,ROUND(D134+R134-V134,0)))</x:f>
        <x:v>482</x:v>
      </x:c>
      <x:c r="T134" s="52" t="n">
        <x:v>1.0162681128437676</x:v>
      </x:c>
      <x:c r="U134" s="54" t="n">
        <x:f>MIN(F134,MAX(0,ROUND(S134*T134,0)))</x:f>
        <x:v>490</x:v>
      </x:c>
      <x:c r="V134" s="54" t="n">
        <x:f>AB129</x:f>
        <x:v>71</x:v>
      </x:c>
      <x:c r="W134" s="54" t="n">
        <x:f>U134+V134</x:f>
        <x:v>561</x:v>
      </x:c>
      <x:c r="X134" s="54" t="n">
        <x:f>MIN(E134,W134)</x:f>
        <x:v>503</x:v>
      </x:c>
      <x:c r="Y134" s="54" t="n">
        <x:f>MAX(E134-W134,0)</x:f>
        <x:v>0</x:v>
      </x:c>
      <x:c r="Z134" s="54" t="n">
        <x:f>MAX(W134-X134,0)</x:f>
        <x:v>58</x:v>
      </x:c>
      <x:c r="AA134" s="54" t="n">
        <x:f>MIN(Z134,ROUND(Z134*O134,0))</x:f>
        <x:v>1</x:v>
      </x:c>
      <x:c r="AB134" s="54" t="n">
        <x:f>Z134-AA134</x:f>
        <x:v>57</x:v>
      </x:c>
      <x:c r="AC134" s="52" t="n">
        <x:f>IFERROR(ABS(E134-D134)/E134,0)</x:f>
        <x:v>0.06759443339960239</x:v>
      </x:c>
      <x:c r="AD134" s="52" t="n">
        <x:f>IFERROR(L134/E134,1)</x:f>
        <x:v>0.8946322067594433</x:v>
      </x:c>
      <x:c r="AE134" s="52" t="n">
        <x:f>IFERROR(X134/E134,1)</x:f>
        <x:v>1</x:v>
      </x:c>
      <x:c r="AF134" s="52" t="n">
        <x:f>IFERROR(I134/F134,0)</x:f>
        <x:v>0.6428571428571429</x:v>
      </x:c>
      <x:c r="AG134" s="52" t="n">
        <x:f>IFERROR(U134/F134,0)</x:f>
        <x:v>0.7</x:v>
      </x:c>
    </x:row>
    <x:row r="135">
      <x:c r="A135" s="50" t="n">
        <x:v>46188</x:v>
      </x:c>
      <x:c r="B135" s="48" t="str">
        <x:v>Lassi</x:v>
      </x:c>
      <x:c r="C135" s="48" t="n">
        <x:v>7</x:v>
      </x:c>
      <x:c r="D135" s="54" t="n">
        <x:v>363</x:v>
      </x:c>
      <x:c r="E135" s="54" t="n">
        <x:v>376</x:v>
      </x:c>
      <x:c r="F135" s="54" t="n">
        <x:v>560</x:v>
      </x:c>
      <x:c r="G135" s="54" t="n">
        <x:f>ROUND(D135*0.97,0)</x:f>
        <x:v>352</x:v>
      </x:c>
      <x:c r="H135" s="52" t="n">
        <x:v>0.9997007063006826</x:v>
      </x:c>
      <x:c r="I135" s="54" t="n">
        <x:f>MIN(F135,ROUND(G135*H135,0))</x:f>
        <x:v>352</x:v>
      </x:c>
      <x:c r="J135" s="54" t="n">
        <x:f>Q130</x:f>
        <x:v>48</x:v>
      </x:c>
      <x:c r="K135" s="54" t="n">
        <x:f>I135+J135</x:f>
        <x:v>400</x:v>
      </x:c>
      <x:c r="L135" s="54" t="n">
        <x:f>MIN(E135,K135)</x:f>
        <x:v>376</x:v>
      </x:c>
      <x:c r="M135" s="54" t="n">
        <x:f>MAX(E135-K135,0)</x:f>
        <x:v>0</x:v>
      </x:c>
      <x:c r="N135" s="54" t="n">
        <x:f>MAX(K135-L135,0)</x:f>
        <x:v>24</x:v>
      </x:c>
      <x:c r="O135" s="52" t="n">
        <x:v>0.02</x:v>
      </x:c>
      <x:c r="P135" s="54" t="n">
        <x:f>MIN(N135,ROUND(N135*O135,0))</x:f>
        <x:v>0</x:v>
      </x:c>
      <x:c r="Q135" s="54" t="n">
        <x:f>N135-P135</x:f>
        <x:v>24</x:v>
      </x:c>
      <x:c r="R135" s="54" t="n">
        <x:v>65</x:v>
      </x:c>
      <x:c r="S135" s="54" t="n">
        <x:f>MIN(F135,MAX(0,ROUND(D135+R135-V135,0)))</x:f>
        <x:v>366</x:v>
      </x:c>
      <x:c r="T135" s="52" t="n">
        <x:v>0.9890227843120883</x:v>
      </x:c>
      <x:c r="U135" s="54" t="n">
        <x:f>MIN(F135,MAX(0,ROUND(S135*T135,0)))</x:f>
        <x:v>362</x:v>
      </x:c>
      <x:c r="V135" s="54" t="n">
        <x:f>AB130</x:f>
        <x:v>62</x:v>
      </x:c>
      <x:c r="W135" s="54" t="n">
        <x:f>U135+V135</x:f>
        <x:v>424</x:v>
      </x:c>
      <x:c r="X135" s="54" t="n">
        <x:f>MIN(E135,W135)</x:f>
        <x:v>376</x:v>
      </x:c>
      <x:c r="Y135" s="54" t="n">
        <x:f>MAX(E135-W135,0)</x:f>
        <x:v>0</x:v>
      </x:c>
      <x:c r="Z135" s="54" t="n">
        <x:f>MAX(W135-X135,0)</x:f>
        <x:v>48</x:v>
      </x:c>
      <x:c r="AA135" s="54" t="n">
        <x:f>MIN(Z135,ROUND(Z135*O135,0))</x:f>
        <x:v>1</x:v>
      </x:c>
      <x:c r="AB135" s="54" t="n">
        <x:f>Z135-AA135</x:f>
        <x:v>47</x:v>
      </x:c>
      <x:c r="AC135" s="52" t="n">
        <x:f>IFERROR(ABS(E135-D135)/E135,0)</x:f>
        <x:v>0.034574468085106384</x:v>
      </x:c>
      <x:c r="AD135" s="52" t="n">
        <x:f>IFERROR(L135/E135,1)</x:f>
        <x:v>1</x:v>
      </x:c>
      <x:c r="AE135" s="52" t="n">
        <x:f>IFERROR(X135/E135,1)</x:f>
        <x:v>1</x:v>
      </x:c>
      <x:c r="AF135" s="52" t="n">
        <x:f>IFERROR(I135/F135,0)</x:f>
        <x:v>0.6285714285714286</x:v>
      </x:c>
      <x:c r="AG135" s="52" t="n">
        <x:f>IFERROR(U135/F135,0)</x:f>
        <x:v>0.6464285714285715</x:v>
      </x:c>
    </x:row>
    <x:row r="136">
      <x:c r="A136" s="50" t="n">
        <x:v>46188</x:v>
      </x:c>
      <x:c r="B136" s="48" t="str">
        <x:v>Paneer</x:v>
      </x:c>
      <x:c r="C136" s="48" t="n">
        <x:v>5</x:v>
      </x:c>
      <x:c r="D136" s="54" t="n">
        <x:v>149</x:v>
      </x:c>
      <x:c r="E136" s="54" t="n">
        <x:v>167</x:v>
      </x:c>
      <x:c r="F136" s="54" t="n">
        <x:v>230</x:v>
      </x:c>
      <x:c r="G136" s="54" t="n">
        <x:f>ROUND(D136*0.97,0)</x:f>
        <x:v>145</x:v>
      </x:c>
      <x:c r="H136" s="52" t="n">
        <x:v>0.9819977440442715</x:v>
      </x:c>
      <x:c r="I136" s="54" t="n">
        <x:f>MIN(F136,ROUND(G136*H136,0))</x:f>
        <x:v>142</x:v>
      </x:c>
      <x:c r="J136" s="54" t="n">
        <x:f>Q131</x:f>
        <x:v>47</x:v>
      </x:c>
      <x:c r="K136" s="54" t="n">
        <x:f>I136+J136</x:f>
        <x:v>189</x:v>
      </x:c>
      <x:c r="L136" s="54" t="n">
        <x:f>MIN(E136,K136)</x:f>
        <x:v>167</x:v>
      </x:c>
      <x:c r="M136" s="54" t="n">
        <x:f>MAX(E136-K136,0)</x:f>
        <x:v>0</x:v>
      </x:c>
      <x:c r="N136" s="54" t="n">
        <x:f>MAX(K136-L136,0)</x:f>
        <x:v>22</x:v>
      </x:c>
      <x:c r="O136" s="52" t="n">
        <x:v>0.025</x:v>
      </x:c>
      <x:c r="P136" s="54" t="n">
        <x:f>MIN(N136,ROUND(N136*O136,0))</x:f>
        <x:v>1</x:v>
      </x:c>
      <x:c r="Q136" s="54" t="n">
        <x:f>N136-P136</x:f>
        <x:v>21</x:v>
      </x:c>
      <x:c r="R136" s="54" t="n">
        <x:v>30</x:v>
      </x:c>
      <x:c r="S136" s="54" t="n">
        <x:f>MIN(F136,MAX(0,ROUND(D136+R136-V136,0)))</x:f>
        <x:v>126</x:v>
      </x:c>
      <x:c r="T136" s="52" t="n">
        <x:v>0.995594524574031</x:v>
      </x:c>
      <x:c r="U136" s="54" t="n">
        <x:f>MIN(F136,MAX(0,ROUND(S136*T136,0)))</x:f>
        <x:v>125</x:v>
      </x:c>
      <x:c r="V136" s="54" t="n">
        <x:f>AB131</x:f>
        <x:v>53</x:v>
      </x:c>
      <x:c r="W136" s="54" t="n">
        <x:f>U136+V136</x:f>
        <x:v>178</x:v>
      </x:c>
      <x:c r="X136" s="54" t="n">
        <x:f>MIN(E136,W136)</x:f>
        <x:v>167</x:v>
      </x:c>
      <x:c r="Y136" s="54" t="n">
        <x:f>MAX(E136-W136,0)</x:f>
        <x:v>0</x:v>
      </x:c>
      <x:c r="Z136" s="54" t="n">
        <x:f>MAX(W136-X136,0)</x:f>
        <x:v>11</x:v>
      </x:c>
      <x:c r="AA136" s="54" t="n">
        <x:f>MIN(Z136,ROUND(Z136*O136,0))</x:f>
        <x:v>0</x:v>
      </x:c>
      <x:c r="AB136" s="54" t="n">
        <x:f>Z136-AA136</x:f>
        <x:v>11</x:v>
      </x:c>
      <x:c r="AC136" s="52" t="n">
        <x:f>IFERROR(ABS(E136-D136)/E136,0)</x:f>
        <x:v>0.10778443113772455</x:v>
      </x:c>
      <x:c r="AD136" s="52" t="n">
        <x:f>IFERROR(L136/E136,1)</x:f>
        <x:v>1</x:v>
      </x:c>
      <x:c r="AE136" s="52" t="n">
        <x:f>IFERROR(X136/E136,1)</x:f>
        <x:v>1</x:v>
      </x:c>
      <x:c r="AF136" s="52" t="n">
        <x:f>IFERROR(I136/F136,0)</x:f>
        <x:v>0.6173913043478261</x:v>
      </x:c>
      <x:c r="AG136" s="52" t="n">
        <x:f>IFERROR(U136/F136,0)</x:f>
        <x:v>0.5434782608695652</x:v>
      </x:c>
    </x:row>
    <x:row r="137">
      <x:c r="A137" s="50" t="n">
        <x:v>46189</x:v>
      </x:c>
      <x:c r="B137" s="48" t="str">
        <x:v>Toned Milk</x:v>
      </x:c>
      <x:c r="C137" s="48" t="n">
        <x:v>2</x:v>
      </x:c>
      <x:c r="D137" s="54" t="n">
        <x:v>1682</x:v>
      </x:c>
      <x:c r="E137" s="54" t="n">
        <x:v>1803</x:v>
      </x:c>
      <x:c r="F137" s="54" t="n">
        <x:v>2250</x:v>
      </x:c>
      <x:c r="G137" s="54" t="n">
        <x:f>ROUND(D137*0.97,0)</x:f>
        <x:v>1632</x:v>
      </x:c>
      <x:c r="H137" s="52" t="n">
        <x:v>1.0178556321179746</x:v>
      </x:c>
      <x:c r="I137" s="54" t="n">
        <x:f>MIN(F137,ROUND(G137*H137,0))</x:f>
        <x:v>1661</x:v>
      </x:c>
      <x:c r="J137" s="54" t="n">
        <x:f>Q132</x:f>
        <x:v>1261</x:v>
      </x:c>
      <x:c r="K137" s="54" t="n">
        <x:f>I137+J137</x:f>
        <x:v>2922</x:v>
      </x:c>
      <x:c r="L137" s="54" t="n">
        <x:f>MIN(E137,K137)</x:f>
        <x:v>1803</x:v>
      </x:c>
      <x:c r="M137" s="54" t="n">
        <x:f>MAX(E137-K137,0)</x:f>
        <x:v>0</x:v>
      </x:c>
      <x:c r="N137" s="54" t="n">
        <x:f>MAX(K137-L137,0)</x:f>
        <x:v>1119</x:v>
      </x:c>
      <x:c r="O137" s="52" t="n">
        <x:v>0.025</x:v>
      </x:c>
      <x:c r="P137" s="54" t="n">
        <x:f>MIN(N137,ROUND(N137*O137,0))</x:f>
        <x:v>28</x:v>
      </x:c>
      <x:c r="Q137" s="54" t="n">
        <x:f>N137-P137</x:f>
        <x:v>1091</x:v>
      </x:c>
      <x:c r="R137" s="54" t="n">
        <x:v>202</x:v>
      </x:c>
      <x:c r="S137" s="54" t="n">
        <x:f>MIN(F137,MAX(0,ROUND(D137+R137-V137,0)))</x:f>
        <x:v>1451</x:v>
      </x:c>
      <x:c r="T137" s="52" t="n">
        <x:v>1.0169826979557388</x:v>
      </x:c>
      <x:c r="U137" s="54" t="n">
        <x:f>MIN(F137,MAX(0,ROUND(S137*T137,0)))</x:f>
        <x:v>1476</x:v>
      </x:c>
      <x:c r="V137" s="54" t="n">
        <x:f>AB132</x:f>
        <x:v>433</x:v>
      </x:c>
      <x:c r="W137" s="54" t="n">
        <x:f>U137+V137</x:f>
        <x:v>1909</x:v>
      </x:c>
      <x:c r="X137" s="54" t="n">
        <x:f>MIN(E137,W137)</x:f>
        <x:v>1803</x:v>
      </x:c>
      <x:c r="Y137" s="54" t="n">
        <x:f>MAX(E137-W137,0)</x:f>
        <x:v>0</x:v>
      </x:c>
      <x:c r="Z137" s="54" t="n">
        <x:f>MAX(W137-X137,0)</x:f>
        <x:v>106</x:v>
      </x:c>
      <x:c r="AA137" s="54" t="n">
        <x:f>MIN(Z137,ROUND(Z137*O137,0))</x:f>
        <x:v>3</x:v>
      </x:c>
      <x:c r="AB137" s="54" t="n">
        <x:f>Z137-AA137</x:f>
        <x:v>103</x:v>
      </x:c>
      <x:c r="AC137" s="52" t="n">
        <x:f>IFERROR(ABS(E137-D137)/E137,0)</x:f>
        <x:v>0.06711037160288408</x:v>
      </x:c>
      <x:c r="AD137" s="52" t="n">
        <x:f>IFERROR(L137/E137,1)</x:f>
        <x:v>1</x:v>
      </x:c>
      <x:c r="AE137" s="52" t="n">
        <x:f>IFERROR(X137/E137,1)</x:f>
        <x:v>1</x:v>
      </x:c>
      <x:c r="AF137" s="52" t="n">
        <x:f>IFERROR(I137/F137,0)</x:f>
        <x:v>0.7382222222222222</x:v>
      </x:c>
      <x:c r="AG137" s="52" t="n">
        <x:f>IFERROR(U137/F137,0)</x:f>
        <x:v>0.656</x:v>
      </x:c>
    </x:row>
    <x:row r="138">
      <x:c r="A138" s="50" t="n">
        <x:v>46189</x:v>
      </x:c>
      <x:c r="B138" s="48" t="str">
        <x:v>Full Cream Milk</x:v>
      </x:c>
      <x:c r="C138" s="48" t="n">
        <x:v>2</x:v>
      </x:c>
      <x:c r="D138" s="54" t="n">
        <x:v>841</x:v>
      </x:c>
      <x:c r="E138" s="54" t="n">
        <x:v>804</x:v>
      </x:c>
      <x:c r="F138" s="54" t="n">
        <x:v>1200</x:v>
      </x:c>
      <x:c r="G138" s="54" t="n">
        <x:f>ROUND(D138*0.97,0)</x:f>
        <x:v>816</x:v>
      </x:c>
      <x:c r="H138" s="52" t="n">
        <x:v>0.9823014020230938</x:v>
      </x:c>
      <x:c r="I138" s="54" t="n">
        <x:f>MIN(F138,ROUND(G138*H138,0))</x:f>
        <x:v>802</x:v>
      </x:c>
      <x:c r="J138" s="54" t="n">
        <x:f>Q133</x:f>
        <x:v>0</x:v>
      </x:c>
      <x:c r="K138" s="54" t="n">
        <x:f>I138+J138</x:f>
        <x:v>802</x:v>
      </x:c>
      <x:c r="L138" s="54" t="n">
        <x:f>MIN(E138,K138)</x:f>
        <x:v>802</x:v>
      </x:c>
      <x:c r="M138" s="54" t="n">
        <x:f>MAX(E138-K138,0)</x:f>
        <x:v>2</x:v>
      </x:c>
      <x:c r="N138" s="54" t="n">
        <x:f>MAX(K138-L138,0)</x:f>
        <x:v>0</x:v>
      </x:c>
      <x:c r="O138" s="52" t="n">
        <x:v>0.03</x:v>
      </x:c>
      <x:c r="P138" s="54" t="n">
        <x:f>MIN(N138,ROUND(N138*O138,0))</x:f>
        <x:v>0</x:v>
      </x:c>
      <x:c r="Q138" s="54" t="n">
        <x:f>N138-P138</x:f>
        <x:v>0</x:v>
      </x:c>
      <x:c r="R138" s="54" t="n">
        <x:v>101</x:v>
      </x:c>
      <x:c r="S138" s="54" t="n">
        <x:f>MIN(F138,MAX(0,ROUND(D138+R138-V138,0)))</x:f>
        <x:v>942</x:v>
      </x:c>
      <x:c r="T138" s="52" t="n">
        <x:v>0.9871940868852479</x:v>
      </x:c>
      <x:c r="U138" s="54" t="n">
        <x:f>MIN(F138,MAX(0,ROUND(S138*T138,0)))</x:f>
        <x:v>930</x:v>
      </x:c>
      <x:c r="V138" s="54" t="n">
        <x:f>AB133</x:f>
        <x:v>0</x:v>
      </x:c>
      <x:c r="W138" s="54" t="n">
        <x:f>U138+V138</x:f>
        <x:v>930</x:v>
      </x:c>
      <x:c r="X138" s="54" t="n">
        <x:f>MIN(E138,W138)</x:f>
        <x:v>804</x:v>
      </x:c>
      <x:c r="Y138" s="54" t="n">
        <x:f>MAX(E138-W138,0)</x:f>
        <x:v>0</x:v>
      </x:c>
      <x:c r="Z138" s="54" t="n">
        <x:f>MAX(W138-X138,0)</x:f>
        <x:v>126</x:v>
      </x:c>
      <x:c r="AA138" s="54" t="n">
        <x:f>MIN(Z138,ROUND(Z138*O138,0))</x:f>
        <x:v>4</x:v>
      </x:c>
      <x:c r="AB138" s="54" t="n">
        <x:f>Z138-AA138</x:f>
        <x:v>122</x:v>
      </x:c>
      <x:c r="AC138" s="52" t="n">
        <x:f>IFERROR(ABS(E138-D138)/E138,0)</x:f>
        <x:v>0.046019900497512436</x:v>
      </x:c>
      <x:c r="AD138" s="52" t="n">
        <x:f>IFERROR(L138/E138,1)</x:f>
        <x:v>0.9975124378109452</x:v>
      </x:c>
      <x:c r="AE138" s="52" t="n">
        <x:f>IFERROR(X138/E138,1)</x:f>
        <x:v>1</x:v>
      </x:c>
      <x:c r="AF138" s="52" t="n">
        <x:f>IFERROR(I138/F138,0)</x:f>
        <x:v>0.6683333333333333</x:v>
      </x:c>
      <x:c r="AG138" s="52" t="n">
        <x:f>IFERROR(U138/F138,0)</x:f>
        <x:v>0.775</x:v>
      </x:c>
    </x:row>
    <x:row r="139">
      <x:c r="A139" s="50" t="n">
        <x:v>46189</x:v>
      </x:c>
      <x:c r="B139" s="48" t="str">
        <x:v>Curd</x:v>
      </x:c>
      <x:c r="C139" s="48" t="n">
        <x:v>7</x:v>
      </x:c>
      <x:c r="D139" s="54" t="n">
        <x:v>485</x:v>
      </x:c>
      <x:c r="E139" s="54" t="n">
        <x:v>447</x:v>
      </x:c>
      <x:c r="F139" s="54" t="n">
        <x:v>700</x:v>
      </x:c>
      <x:c r="G139" s="54" t="n">
        <x:f>ROUND(D139*0.97,0)</x:f>
        <x:v>470</x:v>
      </x:c>
      <x:c r="H139" s="52" t="n">
        <x:v>1.0195898577308933</x:v>
      </x:c>
      <x:c r="I139" s="54" t="n">
        <x:f>MIN(F139,ROUND(G139*H139,0))</x:f>
        <x:v>479</x:v>
      </x:c>
      <x:c r="J139" s="54" t="n">
        <x:f>Q134</x:f>
        <x:v>0</x:v>
      </x:c>
      <x:c r="K139" s="54" t="n">
        <x:f>I139+J139</x:f>
        <x:v>479</x:v>
      </x:c>
      <x:c r="L139" s="54" t="n">
        <x:f>MIN(E139,K139)</x:f>
        <x:v>447</x:v>
      </x:c>
      <x:c r="M139" s="54" t="n">
        <x:f>MAX(E139-K139,0)</x:f>
        <x:v>0</x:v>
      </x:c>
      <x:c r="N139" s="54" t="n">
        <x:f>MAX(K139-L139,0)</x:f>
        <x:v>32</x:v>
      </x:c>
      <x:c r="O139" s="52" t="n">
        <x:v>0.018</x:v>
      </x:c>
      <x:c r="P139" s="54" t="n">
        <x:f>MIN(N139,ROUND(N139*O139,0))</x:f>
        <x:v>1</x:v>
      </x:c>
      <x:c r="Q139" s="54" t="n">
        <x:f>N139-P139</x:f>
        <x:v>31</x:v>
      </x:c>
      <x:c r="R139" s="54" t="n">
        <x:v>87</x:v>
      </x:c>
      <x:c r="S139" s="54" t="n">
        <x:f>MIN(F139,MAX(0,ROUND(D139+R139-V139,0)))</x:f>
        <x:v>515</x:v>
      </x:c>
      <x:c r="T139" s="52" t="n">
        <x:v>0.9964719908004354</x:v>
      </x:c>
      <x:c r="U139" s="54" t="n">
        <x:f>MIN(F139,MAX(0,ROUND(S139*T139,0)))</x:f>
        <x:v>513</x:v>
      </x:c>
      <x:c r="V139" s="54" t="n">
        <x:f>AB134</x:f>
        <x:v>57</x:v>
      </x:c>
      <x:c r="W139" s="54" t="n">
        <x:f>U139+V139</x:f>
        <x:v>570</x:v>
      </x:c>
      <x:c r="X139" s="54" t="n">
        <x:f>MIN(E139,W139)</x:f>
        <x:v>447</x:v>
      </x:c>
      <x:c r="Y139" s="54" t="n">
        <x:f>MAX(E139-W139,0)</x:f>
        <x:v>0</x:v>
      </x:c>
      <x:c r="Z139" s="54" t="n">
        <x:f>MAX(W139-X139,0)</x:f>
        <x:v>123</x:v>
      </x:c>
      <x:c r="AA139" s="54" t="n">
        <x:f>MIN(Z139,ROUND(Z139*O139,0))</x:f>
        <x:v>2</x:v>
      </x:c>
      <x:c r="AB139" s="54" t="n">
        <x:f>Z139-AA139</x:f>
        <x:v>121</x:v>
      </x:c>
      <x:c r="AC139" s="52" t="n">
        <x:f>IFERROR(ABS(E139-D139)/E139,0)</x:f>
        <x:v>0.08501118568232663</x:v>
      </x:c>
      <x:c r="AD139" s="52" t="n">
        <x:f>IFERROR(L139/E139,1)</x:f>
        <x:v>1</x:v>
      </x:c>
      <x:c r="AE139" s="52" t="n">
        <x:f>IFERROR(X139/E139,1)</x:f>
        <x:v>1</x:v>
      </x:c>
      <x:c r="AF139" s="52" t="n">
        <x:f>IFERROR(I139/F139,0)</x:f>
        <x:v>0.6842857142857143</x:v>
      </x:c>
      <x:c r="AG139" s="52" t="n">
        <x:f>IFERROR(U139/F139,0)</x:f>
        <x:v>0.7328571428571429</x:v>
      </x:c>
    </x:row>
    <x:row r="140">
      <x:c r="A140" s="50" t="n">
        <x:v>46189</x:v>
      </x:c>
      <x:c r="B140" s="48" t="str">
        <x:v>Lassi</x:v>
      </x:c>
      <x:c r="C140" s="48" t="n">
        <x:v>7</x:v>
      </x:c>
      <x:c r="D140" s="54" t="n">
        <x:v>380</x:v>
      </x:c>
      <x:c r="E140" s="54" t="n">
        <x:v>385</x:v>
      </x:c>
      <x:c r="F140" s="54" t="n">
        <x:v>560</x:v>
      </x:c>
      <x:c r="G140" s="54" t="n">
        <x:f>ROUND(D140*0.97,0)</x:f>
        <x:v>369</x:v>
      </x:c>
      <x:c r="H140" s="52" t="n">
        <x:v>1.010350476019617</x:v>
      </x:c>
      <x:c r="I140" s="54" t="n">
        <x:f>MIN(F140,ROUND(G140*H140,0))</x:f>
        <x:v>373</x:v>
      </x:c>
      <x:c r="J140" s="54" t="n">
        <x:f>Q135</x:f>
        <x:v>24</x:v>
      </x:c>
      <x:c r="K140" s="54" t="n">
        <x:f>I140+J140</x:f>
        <x:v>397</x:v>
      </x:c>
      <x:c r="L140" s="54" t="n">
        <x:f>MIN(E140,K140)</x:f>
        <x:v>385</x:v>
      </x:c>
      <x:c r="M140" s="54" t="n">
        <x:f>MAX(E140-K140,0)</x:f>
        <x:v>0</x:v>
      </x:c>
      <x:c r="N140" s="54" t="n">
        <x:f>MAX(K140-L140,0)</x:f>
        <x:v>12</x:v>
      </x:c>
      <x:c r="O140" s="52" t="n">
        <x:v>0.02</x:v>
      </x:c>
      <x:c r="P140" s="54" t="n">
        <x:f>MIN(N140,ROUND(N140*O140,0))</x:f>
        <x:v>0</x:v>
      </x:c>
      <x:c r="Q140" s="54" t="n">
        <x:f>N140-P140</x:f>
        <x:v>12</x:v>
      </x:c>
      <x:c r="R140" s="54" t="n">
        <x:v>68</x:v>
      </x:c>
      <x:c r="S140" s="54" t="n">
        <x:f>MIN(F140,MAX(0,ROUND(D140+R140-V140,0)))</x:f>
        <x:v>401</x:v>
      </x:c>
      <x:c r="T140" s="52" t="n">
        <x:v>1.0160970549137167</x:v>
      </x:c>
      <x:c r="U140" s="54" t="n">
        <x:f>MIN(F140,MAX(0,ROUND(S140*T140,0)))</x:f>
        <x:v>407</x:v>
      </x:c>
      <x:c r="V140" s="54" t="n">
        <x:f>AB135</x:f>
        <x:v>47</x:v>
      </x:c>
      <x:c r="W140" s="54" t="n">
        <x:f>U140+V140</x:f>
        <x:v>454</x:v>
      </x:c>
      <x:c r="X140" s="54" t="n">
        <x:f>MIN(E140,W140)</x:f>
        <x:v>385</x:v>
      </x:c>
      <x:c r="Y140" s="54" t="n">
        <x:f>MAX(E140-W140,0)</x:f>
        <x:v>0</x:v>
      </x:c>
      <x:c r="Z140" s="54" t="n">
        <x:f>MAX(W140-X140,0)</x:f>
        <x:v>69</x:v>
      </x:c>
      <x:c r="AA140" s="54" t="n">
        <x:f>MIN(Z140,ROUND(Z140*O140,0))</x:f>
        <x:v>1</x:v>
      </x:c>
      <x:c r="AB140" s="54" t="n">
        <x:f>Z140-AA140</x:f>
        <x:v>68</x:v>
      </x:c>
      <x:c r="AC140" s="52" t="n">
        <x:f>IFERROR(ABS(E140-D140)/E140,0)</x:f>
        <x:v>0.012987012987012988</x:v>
      </x:c>
      <x:c r="AD140" s="52" t="n">
        <x:f>IFERROR(L140/E140,1)</x:f>
        <x:v>1</x:v>
      </x:c>
      <x:c r="AE140" s="52" t="n">
        <x:f>IFERROR(X140/E140,1)</x:f>
        <x:v>1</x:v>
      </x:c>
      <x:c r="AF140" s="52" t="n">
        <x:f>IFERROR(I140/F140,0)</x:f>
        <x:v>0.6660714285714285</x:v>
      </x:c>
      <x:c r="AG140" s="52" t="n">
        <x:f>IFERROR(U140/F140,0)</x:f>
        <x:v>0.7267857142857143</x:v>
      </x:c>
    </x:row>
    <x:row r="141">
      <x:c r="A141" s="50" t="n">
        <x:v>46189</x:v>
      </x:c>
      <x:c r="B141" s="48" t="str">
        <x:v>Paneer</x:v>
      </x:c>
      <x:c r="C141" s="48" t="n">
        <x:v>5</x:v>
      </x:c>
      <x:c r="D141" s="54" t="n">
        <x:v>153</x:v>
      </x:c>
      <x:c r="E141" s="54" t="n">
        <x:v>147</x:v>
      </x:c>
      <x:c r="F141" s="54" t="n">
        <x:v>230</x:v>
      </x:c>
      <x:c r="G141" s="54" t="n">
        <x:f>ROUND(D141*0.97,0)</x:f>
        <x:v>148</x:v>
      </x:c>
      <x:c r="H141" s="52" t="n">
        <x:v>0.9857874785665175</x:v>
      </x:c>
      <x:c r="I141" s="54" t="n">
        <x:f>MIN(F141,ROUND(G141*H141,0))</x:f>
        <x:v>146</x:v>
      </x:c>
      <x:c r="J141" s="54" t="n">
        <x:f>Q136</x:f>
        <x:v>21</x:v>
      </x:c>
      <x:c r="K141" s="54" t="n">
        <x:f>I141+J141</x:f>
        <x:v>167</x:v>
      </x:c>
      <x:c r="L141" s="54" t="n">
        <x:f>MIN(E141,K141)</x:f>
        <x:v>147</x:v>
      </x:c>
      <x:c r="M141" s="54" t="n">
        <x:f>MAX(E141-K141,0)</x:f>
        <x:v>0</x:v>
      </x:c>
      <x:c r="N141" s="54" t="n">
        <x:f>MAX(K141-L141,0)</x:f>
        <x:v>20</x:v>
      </x:c>
      <x:c r="O141" s="52" t="n">
        <x:v>0.025</x:v>
      </x:c>
      <x:c r="P141" s="54" t="n">
        <x:f>MIN(N141,ROUND(N141*O141,0))</x:f>
        <x:v>1</x:v>
      </x:c>
      <x:c r="Q141" s="54" t="n">
        <x:f>N141-P141</x:f>
        <x:v>19</x:v>
      </x:c>
      <x:c r="R141" s="54" t="n">
        <x:v>31</x:v>
      </x:c>
      <x:c r="S141" s="54" t="n">
        <x:f>MIN(F141,MAX(0,ROUND(D141+R141-V141,0)))</x:f>
        <x:v>173</x:v>
      </x:c>
      <x:c r="T141" s="52" t="n">
        <x:v>0.9899734967957173</x:v>
      </x:c>
      <x:c r="U141" s="54" t="n">
        <x:f>MIN(F141,MAX(0,ROUND(S141*T141,0)))</x:f>
        <x:v>171</x:v>
      </x:c>
      <x:c r="V141" s="54" t="n">
        <x:f>AB136</x:f>
        <x:v>11</x:v>
      </x:c>
      <x:c r="W141" s="54" t="n">
        <x:f>U141+V141</x:f>
        <x:v>182</x:v>
      </x:c>
      <x:c r="X141" s="54" t="n">
        <x:f>MIN(E141,W141)</x:f>
        <x:v>147</x:v>
      </x:c>
      <x:c r="Y141" s="54" t="n">
        <x:f>MAX(E141-W141,0)</x:f>
        <x:v>0</x:v>
      </x:c>
      <x:c r="Z141" s="54" t="n">
        <x:f>MAX(W141-X141,0)</x:f>
        <x:v>35</x:v>
      </x:c>
      <x:c r="AA141" s="54" t="n">
        <x:f>MIN(Z141,ROUND(Z141*O141,0))</x:f>
        <x:v>1</x:v>
      </x:c>
      <x:c r="AB141" s="54" t="n">
        <x:f>Z141-AA141</x:f>
        <x:v>34</x:v>
      </x:c>
      <x:c r="AC141" s="52" t="n">
        <x:f>IFERROR(ABS(E141-D141)/E141,0)</x:f>
        <x:v>0.04081632653061224</x:v>
      </x:c>
      <x:c r="AD141" s="52" t="n">
        <x:f>IFERROR(L141/E141,1)</x:f>
        <x:v>1</x:v>
      </x:c>
      <x:c r="AE141" s="52" t="n">
        <x:f>IFERROR(X141/E141,1)</x:f>
        <x:v>1</x:v>
      </x:c>
      <x:c r="AF141" s="52" t="n">
        <x:f>IFERROR(I141/F141,0)</x:f>
        <x:v>0.6347826086956522</x:v>
      </x:c>
      <x:c r="AG141" s="52" t="n">
        <x:f>IFERROR(U141/F141,0)</x:f>
        <x:v>0.7434782608695653</x:v>
      </x:c>
    </x:row>
    <x:row r="142">
      <x:c r="A142" s="50" t="n">
        <x:v>46190</x:v>
      </x:c>
      <x:c r="B142" s="48" t="str">
        <x:v>Toned Milk</x:v>
      </x:c>
      <x:c r="C142" s="48" t="n">
        <x:v>2</x:v>
      </x:c>
      <x:c r="D142" s="54" t="n">
        <x:v>1699</x:v>
      </x:c>
      <x:c r="E142" s="54" t="n">
        <x:v>1735</x:v>
      </x:c>
      <x:c r="F142" s="54" t="n">
        <x:v>2250</x:v>
      </x:c>
      <x:c r="G142" s="54" t="n">
        <x:f>ROUND(D142*0.97,0)</x:f>
        <x:v>1648</x:v>
      </x:c>
      <x:c r="H142" s="52" t="n">
        <x:v>0.9914334702714536</x:v>
      </x:c>
      <x:c r="I142" s="54" t="n">
        <x:f>MIN(F142,ROUND(G142*H142,0))</x:f>
        <x:v>1634</x:v>
      </x:c>
      <x:c r="J142" s="54" t="n">
        <x:f>Q137</x:f>
        <x:v>1091</x:v>
      </x:c>
      <x:c r="K142" s="54" t="n">
        <x:f>I142+J142</x:f>
        <x:v>2725</x:v>
      </x:c>
      <x:c r="L142" s="54" t="n">
        <x:f>MIN(E142,K142)</x:f>
        <x:v>1735</x:v>
      </x:c>
      <x:c r="M142" s="54" t="n">
        <x:f>MAX(E142-K142,0)</x:f>
        <x:v>0</x:v>
      </x:c>
      <x:c r="N142" s="54" t="n">
        <x:f>MAX(K142-L142,0)</x:f>
        <x:v>990</x:v>
      </x:c>
      <x:c r="O142" s="52" t="n">
        <x:v>0.025</x:v>
      </x:c>
      <x:c r="P142" s="54" t="n">
        <x:f>MIN(N142,ROUND(N142*O142,0))</x:f>
        <x:v>25</x:v>
      </x:c>
      <x:c r="Q142" s="54" t="n">
        <x:f>N142-P142</x:f>
        <x:v>965</x:v>
      </x:c>
      <x:c r="R142" s="54" t="n">
        <x:v>204</x:v>
      </x:c>
      <x:c r="S142" s="54" t="n">
        <x:f>MIN(F142,MAX(0,ROUND(D142+R142-V142,0)))</x:f>
        <x:v>1800</x:v>
      </x:c>
      <x:c r="T142" s="52" t="n">
        <x:v>0.982630190998793</x:v>
      </x:c>
      <x:c r="U142" s="54" t="n">
        <x:f>MIN(F142,MAX(0,ROUND(S142*T142,0)))</x:f>
        <x:v>1769</x:v>
      </x:c>
      <x:c r="V142" s="54" t="n">
        <x:f>AB137</x:f>
        <x:v>103</x:v>
      </x:c>
      <x:c r="W142" s="54" t="n">
        <x:f>U142+V142</x:f>
        <x:v>1872</x:v>
      </x:c>
      <x:c r="X142" s="54" t="n">
        <x:f>MIN(E142,W142)</x:f>
        <x:v>1735</x:v>
      </x:c>
      <x:c r="Y142" s="54" t="n">
        <x:f>MAX(E142-W142,0)</x:f>
        <x:v>0</x:v>
      </x:c>
      <x:c r="Z142" s="54" t="n">
        <x:f>MAX(W142-X142,0)</x:f>
        <x:v>137</x:v>
      </x:c>
      <x:c r="AA142" s="54" t="n">
        <x:f>MIN(Z142,ROUND(Z142*O142,0))</x:f>
        <x:v>3</x:v>
      </x:c>
      <x:c r="AB142" s="54" t="n">
        <x:f>Z142-AA142</x:f>
        <x:v>134</x:v>
      </x:c>
      <x:c r="AC142" s="52" t="n">
        <x:f>IFERROR(ABS(E142-D142)/E142,0)</x:f>
        <x:v>0.0207492795389049</x:v>
      </x:c>
      <x:c r="AD142" s="52" t="n">
        <x:f>IFERROR(L142/E142,1)</x:f>
        <x:v>1</x:v>
      </x:c>
      <x:c r="AE142" s="52" t="n">
        <x:f>IFERROR(X142/E142,1)</x:f>
        <x:v>1</x:v>
      </x:c>
      <x:c r="AF142" s="52" t="n">
        <x:f>IFERROR(I142/F142,0)</x:f>
        <x:v>0.7262222222222222</x:v>
      </x:c>
      <x:c r="AG142" s="52" t="n">
        <x:f>IFERROR(U142/F142,0)</x:f>
        <x:v>0.7862222222222223</x:v>
      </x:c>
    </x:row>
    <x:row r="143">
      <x:c r="A143" s="50" t="n">
        <x:v>46190</x:v>
      </x:c>
      <x:c r="B143" s="48" t="str">
        <x:v>Full Cream Milk</x:v>
      </x:c>
      <x:c r="C143" s="48" t="n">
        <x:v>2</x:v>
      </x:c>
      <x:c r="D143" s="54" t="n">
        <x:v>850</x:v>
      </x:c>
      <x:c r="E143" s="54" t="n">
        <x:v>738</x:v>
      </x:c>
      <x:c r="F143" s="54" t="n">
        <x:v>1200</x:v>
      </x:c>
      <x:c r="G143" s="54" t="n">
        <x:f>ROUND(D143*0.97,0)</x:f>
        <x:v>825</x:v>
      </x:c>
      <x:c r="H143" s="52" t="n">
        <x:v>1.0124594388682262</x:v>
      </x:c>
      <x:c r="I143" s="54" t="n">
        <x:f>MIN(F143,ROUND(G143*H143,0))</x:f>
        <x:v>835</x:v>
      </x:c>
      <x:c r="J143" s="54" t="n">
        <x:f>Q138</x:f>
        <x:v>0</x:v>
      </x:c>
      <x:c r="K143" s="54" t="n">
        <x:f>I143+J143</x:f>
        <x:v>835</x:v>
      </x:c>
      <x:c r="L143" s="54" t="n">
        <x:f>MIN(E143,K143)</x:f>
        <x:v>738</x:v>
      </x:c>
      <x:c r="M143" s="54" t="n">
        <x:f>MAX(E143-K143,0)</x:f>
        <x:v>0</x:v>
      </x:c>
      <x:c r="N143" s="54" t="n">
        <x:f>MAX(K143-L143,0)</x:f>
        <x:v>97</x:v>
      </x:c>
      <x:c r="O143" s="52" t="n">
        <x:v>0.03</x:v>
      </x:c>
      <x:c r="P143" s="54" t="n">
        <x:f>MIN(N143,ROUND(N143*O143,0))</x:f>
        <x:v>3</x:v>
      </x:c>
      <x:c r="Q143" s="54" t="n">
        <x:f>N143-P143</x:f>
        <x:v>94</x:v>
      </x:c>
      <x:c r="R143" s="54" t="n">
        <x:v>102</x:v>
      </x:c>
      <x:c r="S143" s="54" t="n">
        <x:f>MIN(F143,MAX(0,ROUND(D143+R143-V143,0)))</x:f>
        <x:v>830</x:v>
      </x:c>
      <x:c r="T143" s="52" t="n">
        <x:v>1.0053607205747495</x:v>
      </x:c>
      <x:c r="U143" s="54" t="n">
        <x:f>MIN(F143,MAX(0,ROUND(S143*T143,0)))</x:f>
        <x:v>834</x:v>
      </x:c>
      <x:c r="V143" s="54" t="n">
        <x:f>AB138</x:f>
        <x:v>122</x:v>
      </x:c>
      <x:c r="W143" s="54" t="n">
        <x:f>U143+V143</x:f>
        <x:v>956</x:v>
      </x:c>
      <x:c r="X143" s="54" t="n">
        <x:f>MIN(E143,W143)</x:f>
        <x:v>738</x:v>
      </x:c>
      <x:c r="Y143" s="54" t="n">
        <x:f>MAX(E143-W143,0)</x:f>
        <x:v>0</x:v>
      </x:c>
      <x:c r="Z143" s="54" t="n">
        <x:f>MAX(W143-X143,0)</x:f>
        <x:v>218</x:v>
      </x:c>
      <x:c r="AA143" s="54" t="n">
        <x:f>MIN(Z143,ROUND(Z143*O143,0))</x:f>
        <x:v>7</x:v>
      </x:c>
      <x:c r="AB143" s="54" t="n">
        <x:f>Z143-AA143</x:f>
        <x:v>211</x:v>
      </x:c>
      <x:c r="AC143" s="52" t="n">
        <x:f>IFERROR(ABS(E143-D143)/E143,0)</x:f>
        <x:v>0.15176151761517614</x:v>
      </x:c>
      <x:c r="AD143" s="52" t="n">
        <x:f>IFERROR(L143/E143,1)</x:f>
        <x:v>1</x:v>
      </x:c>
      <x:c r="AE143" s="52" t="n">
        <x:f>IFERROR(X143/E143,1)</x:f>
        <x:v>1</x:v>
      </x:c>
      <x:c r="AF143" s="52" t="n">
        <x:f>IFERROR(I143/F143,0)</x:f>
        <x:v>0.6958333333333333</x:v>
      </x:c>
      <x:c r="AG143" s="52" t="n">
        <x:f>IFERROR(U143/F143,0)</x:f>
        <x:v>0.695</x:v>
      </x:c>
    </x:row>
    <x:row r="144">
      <x:c r="A144" s="50" t="n">
        <x:v>46190</x:v>
      </x:c>
      <x:c r="B144" s="48" t="str">
        <x:v>Curd</x:v>
      </x:c>
      <x:c r="C144" s="48" t="n">
        <x:v>7</x:v>
      </x:c>
      <x:c r="D144" s="54" t="n">
        <x:v>495</x:v>
      </x:c>
      <x:c r="E144" s="54" t="n">
        <x:v>523</x:v>
      </x:c>
      <x:c r="F144" s="54" t="n">
        <x:v>700</x:v>
      </x:c>
      <x:c r="G144" s="54" t="n">
        <x:f>ROUND(D144*0.97,0)</x:f>
        <x:v>480</x:v>
      </x:c>
      <x:c r="H144" s="52" t="n">
        <x:v>0.9919115794499072</x:v>
      </x:c>
      <x:c r="I144" s="54" t="n">
        <x:f>MIN(F144,ROUND(G144*H144,0))</x:f>
        <x:v>476</x:v>
      </x:c>
      <x:c r="J144" s="54" t="n">
        <x:f>Q139</x:f>
        <x:v>31</x:v>
      </x:c>
      <x:c r="K144" s="54" t="n">
        <x:f>I144+J144</x:f>
        <x:v>507</x:v>
      </x:c>
      <x:c r="L144" s="54" t="n">
        <x:f>MIN(E144,K144)</x:f>
        <x:v>507</x:v>
      </x:c>
      <x:c r="M144" s="54" t="n">
        <x:f>MAX(E144-K144,0)</x:f>
        <x:v>16</x:v>
      </x:c>
      <x:c r="N144" s="54" t="n">
        <x:f>MAX(K144-L144,0)</x:f>
        <x:v>0</x:v>
      </x:c>
      <x:c r="O144" s="52" t="n">
        <x:v>0.018</x:v>
      </x:c>
      <x:c r="P144" s="54" t="n">
        <x:f>MIN(N144,ROUND(N144*O144,0))</x:f>
        <x:v>0</x:v>
      </x:c>
      <x:c r="Q144" s="54" t="n">
        <x:f>N144-P144</x:f>
        <x:v>0</x:v>
      </x:c>
      <x:c r="R144" s="54" t="n">
        <x:v>89</x:v>
      </x:c>
      <x:c r="S144" s="54" t="n">
        <x:f>MIN(F144,MAX(0,ROUND(D144+R144-V144,0)))</x:f>
        <x:v>463</x:v>
      </x:c>
      <x:c r="T144" s="52" t="n">
        <x:v>1.0127378594448895</x:v>
      </x:c>
      <x:c r="U144" s="54" t="n">
        <x:f>MIN(F144,MAX(0,ROUND(S144*T144,0)))</x:f>
        <x:v>469</x:v>
      </x:c>
      <x:c r="V144" s="54" t="n">
        <x:f>AB139</x:f>
        <x:v>121</x:v>
      </x:c>
      <x:c r="W144" s="54" t="n">
        <x:f>U144+V144</x:f>
        <x:v>590</x:v>
      </x:c>
      <x:c r="X144" s="54" t="n">
        <x:f>MIN(E144,W144)</x:f>
        <x:v>523</x:v>
      </x:c>
      <x:c r="Y144" s="54" t="n">
        <x:f>MAX(E144-W144,0)</x:f>
        <x:v>0</x:v>
      </x:c>
      <x:c r="Z144" s="54" t="n">
        <x:f>MAX(W144-X144,0)</x:f>
        <x:v>67</x:v>
      </x:c>
      <x:c r="AA144" s="54" t="n">
        <x:f>MIN(Z144,ROUND(Z144*O144,0))</x:f>
        <x:v>1</x:v>
      </x:c>
      <x:c r="AB144" s="54" t="n">
        <x:f>Z144-AA144</x:f>
        <x:v>66</x:v>
      </x:c>
      <x:c r="AC144" s="52" t="n">
        <x:f>IFERROR(ABS(E144-D144)/E144,0)</x:f>
        <x:v>0.05353728489483748</x:v>
      </x:c>
      <x:c r="AD144" s="52" t="n">
        <x:f>IFERROR(L144/E144,1)</x:f>
        <x:v>0.9694072657743786</x:v>
      </x:c>
      <x:c r="AE144" s="52" t="n">
        <x:f>IFERROR(X144/E144,1)</x:f>
        <x:v>1</x:v>
      </x:c>
      <x:c r="AF144" s="52" t="n">
        <x:f>IFERROR(I144/F144,0)</x:f>
        <x:v>0.68</x:v>
      </x:c>
      <x:c r="AG144" s="52" t="n">
        <x:f>IFERROR(U144/F144,0)</x:f>
        <x:v>0.67</x:v>
      </x:c>
    </x:row>
    <x:row r="145">
      <x:c r="A145" s="50" t="n">
        <x:v>46190</x:v>
      </x:c>
      <x:c r="B145" s="48" t="str">
        <x:v>Lassi</x:v>
      </x:c>
      <x:c r="C145" s="48" t="n">
        <x:v>7</x:v>
      </x:c>
      <x:c r="D145" s="54" t="n">
        <x:v>396</x:v>
      </x:c>
      <x:c r="E145" s="54" t="n">
        <x:v>461</x:v>
      </x:c>
      <x:c r="F145" s="54" t="n">
        <x:v>560</x:v>
      </x:c>
      <x:c r="G145" s="54" t="n">
        <x:f>ROUND(D145*0.97,0)</x:f>
        <x:v>384</x:v>
      </x:c>
      <x:c r="H145" s="52" t="n">
        <x:v>0.9823947651582324</x:v>
      </x:c>
      <x:c r="I145" s="54" t="n">
        <x:f>MIN(F145,ROUND(G145*H145,0))</x:f>
        <x:v>377</x:v>
      </x:c>
      <x:c r="J145" s="54" t="n">
        <x:f>Q140</x:f>
        <x:v>12</x:v>
      </x:c>
      <x:c r="K145" s="54" t="n">
        <x:f>I145+J145</x:f>
        <x:v>389</x:v>
      </x:c>
      <x:c r="L145" s="54" t="n">
        <x:f>MIN(E145,K145)</x:f>
        <x:v>389</x:v>
      </x:c>
      <x:c r="M145" s="54" t="n">
        <x:f>MAX(E145-K145,0)</x:f>
        <x:v>72</x:v>
      </x:c>
      <x:c r="N145" s="54" t="n">
        <x:f>MAX(K145-L145,0)</x:f>
        <x:v>0</x:v>
      </x:c>
      <x:c r="O145" s="52" t="n">
        <x:v>0.02</x:v>
      </x:c>
      <x:c r="P145" s="54" t="n">
        <x:f>MIN(N145,ROUND(N145*O145,0))</x:f>
        <x:v>0</x:v>
      </x:c>
      <x:c r="Q145" s="54" t="n">
        <x:f>N145-P145</x:f>
        <x:v>0</x:v>
      </x:c>
      <x:c r="R145" s="54" t="n">
        <x:v>71</x:v>
      </x:c>
      <x:c r="S145" s="54" t="n">
        <x:f>MIN(F145,MAX(0,ROUND(D145+R145-V145,0)))</x:f>
        <x:v>399</x:v>
      </x:c>
      <x:c r="T145" s="52" t="n">
        <x:v>0.9906004464975972</x:v>
      </x:c>
      <x:c r="U145" s="54" t="n">
        <x:f>MIN(F145,MAX(0,ROUND(S145*T145,0)))</x:f>
        <x:v>395</x:v>
      </x:c>
      <x:c r="V145" s="54" t="n">
        <x:f>AB140</x:f>
        <x:v>68</x:v>
      </x:c>
      <x:c r="W145" s="54" t="n">
        <x:f>U145+V145</x:f>
        <x:v>463</x:v>
      </x:c>
      <x:c r="X145" s="54" t="n">
        <x:f>MIN(E145,W145)</x:f>
        <x:v>461</x:v>
      </x:c>
      <x:c r="Y145" s="54" t="n">
        <x:f>MAX(E145-W145,0)</x:f>
        <x:v>0</x:v>
      </x:c>
      <x:c r="Z145" s="54" t="n">
        <x:f>MAX(W145-X145,0)</x:f>
        <x:v>2</x:v>
      </x:c>
      <x:c r="AA145" s="54" t="n">
        <x:f>MIN(Z145,ROUND(Z145*O145,0))</x:f>
        <x:v>0</x:v>
      </x:c>
      <x:c r="AB145" s="54" t="n">
        <x:f>Z145-AA145</x:f>
        <x:v>2</x:v>
      </x:c>
      <x:c r="AC145" s="52" t="n">
        <x:f>IFERROR(ABS(E145-D145)/E145,0)</x:f>
        <x:v>0.14099783080260303</x:v>
      </x:c>
      <x:c r="AD145" s="52" t="n">
        <x:f>IFERROR(L145/E145,1)</x:f>
        <x:v>0.8438177874186551</x:v>
      </x:c>
      <x:c r="AE145" s="52" t="n">
        <x:f>IFERROR(X145/E145,1)</x:f>
        <x:v>1</x:v>
      </x:c>
      <x:c r="AF145" s="52" t="n">
        <x:f>IFERROR(I145/F145,0)</x:f>
        <x:v>0.6732142857142858</x:v>
      </x:c>
      <x:c r="AG145" s="52" t="n">
        <x:f>IFERROR(U145/F145,0)</x:f>
        <x:v>0.7053571428571429</x:v>
      </x:c>
    </x:row>
    <x:row r="146">
      <x:c r="A146" s="50" t="n">
        <x:v>46190</x:v>
      </x:c>
      <x:c r="B146" s="48" t="str">
        <x:v>Paneer</x:v>
      </x:c>
      <x:c r="C146" s="48" t="n">
        <x:v>5</x:v>
      </x:c>
      <x:c r="D146" s="54" t="n">
        <x:v>158</x:v>
      </x:c>
      <x:c r="E146" s="54" t="n">
        <x:v>173</x:v>
      </x:c>
      <x:c r="F146" s="54" t="n">
        <x:v>230</x:v>
      </x:c>
      <x:c r="G146" s="54" t="n">
        <x:f>ROUND(D146*0.97,0)</x:f>
        <x:v>153</x:v>
      </x:c>
      <x:c r="H146" s="52" t="n">
        <x:v>1.0089793073320068</x:v>
      </x:c>
      <x:c r="I146" s="54" t="n">
        <x:f>MIN(F146,ROUND(G146*H146,0))</x:f>
        <x:v>154</x:v>
      </x:c>
      <x:c r="J146" s="54" t="n">
        <x:f>Q141</x:f>
        <x:v>19</x:v>
      </x:c>
      <x:c r="K146" s="54" t="n">
        <x:f>I146+J146</x:f>
        <x:v>173</x:v>
      </x:c>
      <x:c r="L146" s="54" t="n">
        <x:f>MIN(E146,K146)</x:f>
        <x:v>173</x:v>
      </x:c>
      <x:c r="M146" s="54" t="n">
        <x:f>MAX(E146-K146,0)</x:f>
        <x:v>0</x:v>
      </x:c>
      <x:c r="N146" s="54" t="n">
        <x:f>MAX(K146-L146,0)</x:f>
        <x:v>0</x:v>
      </x:c>
      <x:c r="O146" s="52" t="n">
        <x:v>0.025</x:v>
      </x:c>
      <x:c r="P146" s="54" t="n">
        <x:f>MIN(N146,ROUND(N146*O146,0))</x:f>
        <x:v>0</x:v>
      </x:c>
      <x:c r="Q146" s="54" t="n">
        <x:f>N146-P146</x:f>
        <x:v>0</x:v>
      </x:c>
      <x:c r="R146" s="54" t="n">
        <x:v>32</x:v>
      </x:c>
      <x:c r="S146" s="54" t="n">
        <x:f>MIN(F146,MAX(0,ROUND(D146+R146-V146,0)))</x:f>
        <x:v>156</x:v>
      </x:c>
      <x:c r="T146" s="52" t="n">
        <x:v>1.002373565900254</x:v>
      </x:c>
      <x:c r="U146" s="54" t="n">
        <x:f>MIN(F146,MAX(0,ROUND(S146*T146,0)))</x:f>
        <x:v>156</x:v>
      </x:c>
      <x:c r="V146" s="54" t="n">
        <x:f>AB141</x:f>
        <x:v>34</x:v>
      </x:c>
      <x:c r="W146" s="54" t="n">
        <x:f>U146+V146</x:f>
        <x:v>190</x:v>
      </x:c>
      <x:c r="X146" s="54" t="n">
        <x:f>MIN(E146,W146)</x:f>
        <x:v>173</x:v>
      </x:c>
      <x:c r="Y146" s="54" t="n">
        <x:f>MAX(E146-W146,0)</x:f>
        <x:v>0</x:v>
      </x:c>
      <x:c r="Z146" s="54" t="n">
        <x:f>MAX(W146-X146,0)</x:f>
        <x:v>17</x:v>
      </x:c>
      <x:c r="AA146" s="54" t="n">
        <x:f>MIN(Z146,ROUND(Z146*O146,0))</x:f>
        <x:v>0</x:v>
      </x:c>
      <x:c r="AB146" s="54" t="n">
        <x:f>Z146-AA146</x:f>
        <x:v>17</x:v>
      </x:c>
      <x:c r="AC146" s="52" t="n">
        <x:f>IFERROR(ABS(E146-D146)/E146,0)</x:f>
        <x:v>0.08670520231213873</x:v>
      </x:c>
      <x:c r="AD146" s="52" t="n">
        <x:f>IFERROR(L146/E146,1)</x:f>
        <x:v>1</x:v>
      </x:c>
      <x:c r="AE146" s="52" t="n">
        <x:f>IFERROR(X146/E146,1)</x:f>
        <x:v>1</x:v>
      </x:c>
      <x:c r="AF146" s="52" t="n">
        <x:f>IFERROR(I146/F146,0)</x:f>
        <x:v>0.6695652173913044</x:v>
      </x:c>
      <x:c r="AG146" s="52" t="n">
        <x:f>IFERROR(U146/F146,0)</x:f>
        <x:v>0.6782608695652174</x:v>
      </x:c>
    </x:row>
    <x:row r="147">
      <x:c r="A147" s="50" t="n">
        <x:v>46191</x:v>
      </x:c>
      <x:c r="B147" s="48" t="str">
        <x:v>Toned Milk</x:v>
      </x:c>
      <x:c r="C147" s="48" t="n">
        <x:v>2</x:v>
      </x:c>
      <x:c r="D147" s="54" t="n">
        <x:v>1717</x:v>
      </x:c>
      <x:c r="E147" s="54" t="n">
        <x:v>1940</x:v>
      </x:c>
      <x:c r="F147" s="54" t="n">
        <x:v>2250</x:v>
      </x:c>
      <x:c r="G147" s="54" t="n">
        <x:f>ROUND(D147*0.97,0)</x:f>
        <x:v>1665</x:v>
      </x:c>
      <x:c r="H147" s="52" t="n">
        <x:v>0.9842170883436211</x:v>
      </x:c>
      <x:c r="I147" s="54" t="n">
        <x:f>MIN(F147,ROUND(G147*H147,0))</x:f>
        <x:v>1639</x:v>
      </x:c>
      <x:c r="J147" s="54" t="n">
        <x:f>Q142</x:f>
        <x:v>965</x:v>
      </x:c>
      <x:c r="K147" s="54" t="n">
        <x:f>I147+J147</x:f>
        <x:v>2604</x:v>
      </x:c>
      <x:c r="L147" s="54" t="n">
        <x:f>MIN(E147,K147)</x:f>
        <x:v>1940</x:v>
      </x:c>
      <x:c r="M147" s="54" t="n">
        <x:f>MAX(E147-K147,0)</x:f>
        <x:v>0</x:v>
      </x:c>
      <x:c r="N147" s="54" t="n">
        <x:f>MAX(K147-L147,0)</x:f>
        <x:v>664</x:v>
      </x:c>
      <x:c r="O147" s="52" t="n">
        <x:v>0.025</x:v>
      </x:c>
      <x:c r="P147" s="54" t="n">
        <x:f>MIN(N147,ROUND(N147*O147,0))</x:f>
        <x:v>17</x:v>
      </x:c>
      <x:c r="Q147" s="54" t="n">
        <x:f>N147-P147</x:f>
        <x:v>647</x:v>
      </x:c>
      <x:c r="R147" s="54" t="n">
        <x:v>206</x:v>
      </x:c>
      <x:c r="S147" s="54" t="n">
        <x:f>MIN(F147,MAX(0,ROUND(D147+R147-V147,0)))</x:f>
        <x:v>1789</x:v>
      </x:c>
      <x:c r="T147" s="52" t="n">
        <x:v>1.0081640233192926</x:v>
      </x:c>
      <x:c r="U147" s="54" t="n">
        <x:f>MIN(F147,MAX(0,ROUND(S147*T147,0)))</x:f>
        <x:v>1804</x:v>
      </x:c>
      <x:c r="V147" s="54" t="n">
        <x:f>AB142</x:f>
        <x:v>134</x:v>
      </x:c>
      <x:c r="W147" s="54" t="n">
        <x:f>U147+V147</x:f>
        <x:v>1938</x:v>
      </x:c>
      <x:c r="X147" s="54" t="n">
        <x:f>MIN(E147,W147)</x:f>
        <x:v>1938</x:v>
      </x:c>
      <x:c r="Y147" s="54" t="n">
        <x:f>MAX(E147-W147,0)</x:f>
        <x:v>2</x:v>
      </x:c>
      <x:c r="Z147" s="54" t="n">
        <x:f>MAX(W147-X147,0)</x:f>
        <x:v>0</x:v>
      </x:c>
      <x:c r="AA147" s="54" t="n">
        <x:f>MIN(Z147,ROUND(Z147*O147,0))</x:f>
        <x:v>0</x:v>
      </x:c>
      <x:c r="AB147" s="54" t="n">
        <x:f>Z147-AA147</x:f>
        <x:v>0</x:v>
      </x:c>
      <x:c r="AC147" s="52" t="n">
        <x:f>IFERROR(ABS(E147-D147)/E147,0)</x:f>
        <x:v>0.11494845360824742</x:v>
      </x:c>
      <x:c r="AD147" s="52" t="n">
        <x:f>IFERROR(L147/E147,1)</x:f>
        <x:v>1</x:v>
      </x:c>
      <x:c r="AE147" s="52" t="n">
        <x:f>IFERROR(X147/E147,1)</x:f>
        <x:v>0.9989690721649485</x:v>
      </x:c>
      <x:c r="AF147" s="52" t="n">
        <x:f>IFERROR(I147/F147,0)</x:f>
        <x:v>0.7284444444444444</x:v>
      </x:c>
      <x:c r="AG147" s="52" t="n">
        <x:f>IFERROR(U147/F147,0)</x:f>
        <x:v>0.8017777777777778</x:v>
      </x:c>
    </x:row>
    <x:row r="148">
      <x:c r="A148" s="50" t="n">
        <x:v>46191</x:v>
      </x:c>
      <x:c r="B148" s="48" t="str">
        <x:v>Full Cream Milk</x:v>
      </x:c>
      <x:c r="C148" s="48" t="n">
        <x:v>2</x:v>
      </x:c>
      <x:c r="D148" s="54" t="n">
        <x:v>859</x:v>
      </x:c>
      <x:c r="E148" s="54" t="n">
        <x:v>967</x:v>
      </x:c>
      <x:c r="F148" s="54" t="n">
        <x:v>1200</x:v>
      </x:c>
      <x:c r="G148" s="54" t="n">
        <x:f>ROUND(D148*0.97,0)</x:f>
        <x:v>833</x:v>
      </x:c>
      <x:c r="H148" s="52" t="n">
        <x:v>1.0095259729065689</x:v>
      </x:c>
      <x:c r="I148" s="54" t="n">
        <x:f>MIN(F148,ROUND(G148*H148,0))</x:f>
        <x:v>841</x:v>
      </x:c>
      <x:c r="J148" s="54" t="n">
        <x:f>Q143</x:f>
        <x:v>94</x:v>
      </x:c>
      <x:c r="K148" s="54" t="n">
        <x:f>I148+J148</x:f>
        <x:v>935</x:v>
      </x:c>
      <x:c r="L148" s="54" t="n">
        <x:f>MIN(E148,K148)</x:f>
        <x:v>935</x:v>
      </x:c>
      <x:c r="M148" s="54" t="n">
        <x:f>MAX(E148-K148,0)</x:f>
        <x:v>32</x:v>
      </x:c>
      <x:c r="N148" s="54" t="n">
        <x:f>MAX(K148-L148,0)</x:f>
        <x:v>0</x:v>
      </x:c>
      <x:c r="O148" s="52" t="n">
        <x:v>0.03</x:v>
      </x:c>
      <x:c r="P148" s="54" t="n">
        <x:f>MIN(N148,ROUND(N148*O148,0))</x:f>
        <x:v>0</x:v>
      </x:c>
      <x:c r="Q148" s="54" t="n">
        <x:f>N148-P148</x:f>
        <x:v>0</x:v>
      </x:c>
      <x:c r="R148" s="54" t="n">
        <x:v>103</x:v>
      </x:c>
      <x:c r="S148" s="54" t="n">
        <x:f>MIN(F148,MAX(0,ROUND(D148+R148-V148,0)))</x:f>
        <x:v>751</x:v>
      </x:c>
      <x:c r="T148" s="52" t="n">
        <x:v>1.0010519393208823</x:v>
      </x:c>
      <x:c r="U148" s="54" t="n">
        <x:f>MIN(F148,MAX(0,ROUND(S148*T148,0)))</x:f>
        <x:v>752</x:v>
      </x:c>
      <x:c r="V148" s="54" t="n">
        <x:f>AB143</x:f>
        <x:v>211</x:v>
      </x:c>
      <x:c r="W148" s="54" t="n">
        <x:f>U148+V148</x:f>
        <x:v>963</x:v>
      </x:c>
      <x:c r="X148" s="54" t="n">
        <x:f>MIN(E148,W148)</x:f>
        <x:v>963</x:v>
      </x:c>
      <x:c r="Y148" s="54" t="n">
        <x:f>MAX(E148-W148,0)</x:f>
        <x:v>4</x:v>
      </x:c>
      <x:c r="Z148" s="54" t="n">
        <x:f>MAX(W148-X148,0)</x:f>
        <x:v>0</x:v>
      </x:c>
      <x:c r="AA148" s="54" t="n">
        <x:f>MIN(Z148,ROUND(Z148*O148,0))</x:f>
        <x:v>0</x:v>
      </x:c>
      <x:c r="AB148" s="54" t="n">
        <x:f>Z148-AA148</x:f>
        <x:v>0</x:v>
      </x:c>
      <x:c r="AC148" s="52" t="n">
        <x:f>IFERROR(ABS(E148-D148)/E148,0)</x:f>
        <x:v>0.11168562564632885</x:v>
      </x:c>
      <x:c r="AD148" s="52" t="n">
        <x:f>IFERROR(L148/E148,1)</x:f>
        <x:v>0.9669079627714581</x:v>
      </x:c>
      <x:c r="AE148" s="52" t="n">
        <x:f>IFERROR(X148/E148,1)</x:f>
        <x:v>0.9958634953464323</x:v>
      </x:c>
      <x:c r="AF148" s="52" t="n">
        <x:f>IFERROR(I148/F148,0)</x:f>
        <x:v>0.7008333333333333</x:v>
      </x:c>
      <x:c r="AG148" s="52" t="n">
        <x:f>IFERROR(U148/F148,0)</x:f>
        <x:v>0.6266666666666667</x:v>
      </x:c>
    </x:row>
    <x:row r="149">
      <x:c r="A149" s="50" t="n">
        <x:v>46191</x:v>
      </x:c>
      <x:c r="B149" s="48" t="str">
        <x:v>Curd</x:v>
      </x:c>
      <x:c r="C149" s="48" t="n">
        <x:v>7</x:v>
      </x:c>
      <x:c r="D149" s="54" t="n">
        <x:v>505</x:v>
      </x:c>
      <x:c r="E149" s="54" t="n">
        <x:v>583</x:v>
      </x:c>
      <x:c r="F149" s="54" t="n">
        <x:v>700</x:v>
      </x:c>
      <x:c r="G149" s="54" t="n">
        <x:f>ROUND(D149*0.97,0)</x:f>
        <x:v>490</x:v>
      </x:c>
      <x:c r="H149" s="52" t="n">
        <x:v>0.9881907103841213</x:v>
      </x:c>
      <x:c r="I149" s="54" t="n">
        <x:f>MIN(F149,ROUND(G149*H149,0))</x:f>
        <x:v>484</x:v>
      </x:c>
      <x:c r="J149" s="54" t="n">
        <x:f>Q144</x:f>
        <x:v>0</x:v>
      </x:c>
      <x:c r="K149" s="54" t="n">
        <x:f>I149+J149</x:f>
        <x:v>484</x:v>
      </x:c>
      <x:c r="L149" s="54" t="n">
        <x:f>MIN(E149,K149)</x:f>
        <x:v>484</x:v>
      </x:c>
      <x:c r="M149" s="54" t="n">
        <x:f>MAX(E149-K149,0)</x:f>
        <x:v>99</x:v>
      </x:c>
      <x:c r="N149" s="54" t="n">
        <x:f>MAX(K149-L149,0)</x:f>
        <x:v>0</x:v>
      </x:c>
      <x:c r="O149" s="52" t="n">
        <x:v>0.018</x:v>
      </x:c>
      <x:c r="P149" s="54" t="n">
        <x:f>MIN(N149,ROUND(N149*O149,0))</x:f>
        <x:v>0</x:v>
      </x:c>
      <x:c r="Q149" s="54" t="n">
        <x:f>N149-P149</x:f>
        <x:v>0</x:v>
      </x:c>
      <x:c r="R149" s="54" t="n">
        <x:v>91</x:v>
      </x:c>
      <x:c r="S149" s="54" t="n">
        <x:f>MIN(F149,MAX(0,ROUND(D149+R149-V149,0)))</x:f>
        <x:v>530</x:v>
      </x:c>
      <x:c r="T149" s="52" t="n">
        <x:v>1.0009755831790992</x:v>
      </x:c>
      <x:c r="U149" s="54" t="n">
        <x:f>MIN(F149,MAX(0,ROUND(S149*T149,0)))</x:f>
        <x:v>531</x:v>
      </x:c>
      <x:c r="V149" s="54" t="n">
        <x:f>AB144</x:f>
        <x:v>66</x:v>
      </x:c>
      <x:c r="W149" s="54" t="n">
        <x:f>U149+V149</x:f>
        <x:v>597</x:v>
      </x:c>
      <x:c r="X149" s="54" t="n">
        <x:f>MIN(E149,W149)</x:f>
        <x:v>583</x:v>
      </x:c>
      <x:c r="Y149" s="54" t="n">
        <x:f>MAX(E149-W149,0)</x:f>
        <x:v>0</x:v>
      </x:c>
      <x:c r="Z149" s="54" t="n">
        <x:f>MAX(W149-X149,0)</x:f>
        <x:v>14</x:v>
      </x:c>
      <x:c r="AA149" s="54" t="n">
        <x:f>MIN(Z149,ROUND(Z149*O149,0))</x:f>
        <x:v>0</x:v>
      </x:c>
      <x:c r="AB149" s="54" t="n">
        <x:f>Z149-AA149</x:f>
        <x:v>14</x:v>
      </x:c>
      <x:c r="AC149" s="52" t="n">
        <x:f>IFERROR(ABS(E149-D149)/E149,0)</x:f>
        <x:v>0.13379073756432247</x:v>
      </x:c>
      <x:c r="AD149" s="52" t="n">
        <x:f>IFERROR(L149/E149,1)</x:f>
        <x:v>0.8301886792452831</x:v>
      </x:c>
      <x:c r="AE149" s="52" t="n">
        <x:f>IFERROR(X149/E149,1)</x:f>
        <x:v>1</x:v>
      </x:c>
      <x:c r="AF149" s="52" t="n">
        <x:f>IFERROR(I149/F149,0)</x:f>
        <x:v>0.6914285714285714</x:v>
      </x:c>
      <x:c r="AG149" s="52" t="n">
        <x:f>IFERROR(U149/F149,0)</x:f>
        <x:v>0.7585714285714286</x:v>
      </x:c>
    </x:row>
    <x:row r="150">
      <x:c r="A150" s="50" t="n">
        <x:v>46191</x:v>
      </x:c>
      <x:c r="B150" s="48" t="str">
        <x:v>Lassi</x:v>
      </x:c>
      <x:c r="C150" s="48" t="n">
        <x:v>7</x:v>
      </x:c>
      <x:c r="D150" s="54" t="n">
        <x:v>404</x:v>
      </x:c>
      <x:c r="E150" s="54" t="n">
        <x:v>446</x:v>
      </x:c>
      <x:c r="F150" s="54" t="n">
        <x:v>560</x:v>
      </x:c>
      <x:c r="G150" s="54" t="n">
        <x:f>ROUND(D150*0.97,0)</x:f>
        <x:v>392</x:v>
      </x:c>
      <x:c r="H150" s="52" t="n">
        <x:v>0.9841682784001113</x:v>
      </x:c>
      <x:c r="I150" s="54" t="n">
        <x:f>MIN(F150,ROUND(G150*H150,0))</x:f>
        <x:v>386</x:v>
      </x:c>
      <x:c r="J150" s="54" t="n">
        <x:f>Q145</x:f>
        <x:v>0</x:v>
      </x:c>
      <x:c r="K150" s="54" t="n">
        <x:f>I150+J150</x:f>
        <x:v>386</x:v>
      </x:c>
      <x:c r="L150" s="54" t="n">
        <x:f>MIN(E150,K150)</x:f>
        <x:v>386</x:v>
      </x:c>
      <x:c r="M150" s="54" t="n">
        <x:f>MAX(E150-K150,0)</x:f>
        <x:v>60</x:v>
      </x:c>
      <x:c r="N150" s="54" t="n">
        <x:f>MAX(K150-L150,0)</x:f>
        <x:v>0</x:v>
      </x:c>
      <x:c r="O150" s="52" t="n">
        <x:v>0.02</x:v>
      </x:c>
      <x:c r="P150" s="54" t="n">
        <x:f>MIN(N150,ROUND(N150*O150,0))</x:f>
        <x:v>0</x:v>
      </x:c>
      <x:c r="Q150" s="54" t="n">
        <x:f>N150-P150</x:f>
        <x:v>0</x:v>
      </x:c>
      <x:c r="R150" s="54" t="n">
        <x:v>73</x:v>
      </x:c>
      <x:c r="S150" s="54" t="n">
        <x:f>MIN(F150,MAX(0,ROUND(D150+R150-V150,0)))</x:f>
        <x:v>475</x:v>
      </x:c>
      <x:c r="T150" s="52" t="n">
        <x:v>1.0103407428390687</x:v>
      </x:c>
      <x:c r="U150" s="54" t="n">
        <x:f>MIN(F150,MAX(0,ROUND(S150*T150,0)))</x:f>
        <x:v>480</x:v>
      </x:c>
      <x:c r="V150" s="54" t="n">
        <x:f>AB145</x:f>
        <x:v>2</x:v>
      </x:c>
      <x:c r="W150" s="54" t="n">
        <x:f>U150+V150</x:f>
        <x:v>482</x:v>
      </x:c>
      <x:c r="X150" s="54" t="n">
        <x:f>MIN(E150,W150)</x:f>
        <x:v>446</x:v>
      </x:c>
      <x:c r="Y150" s="54" t="n">
        <x:f>MAX(E150-W150,0)</x:f>
        <x:v>0</x:v>
      </x:c>
      <x:c r="Z150" s="54" t="n">
        <x:f>MAX(W150-X150,0)</x:f>
        <x:v>36</x:v>
      </x:c>
      <x:c r="AA150" s="54" t="n">
        <x:f>MIN(Z150,ROUND(Z150*O150,0))</x:f>
        <x:v>1</x:v>
      </x:c>
      <x:c r="AB150" s="54" t="n">
        <x:f>Z150-AA150</x:f>
        <x:v>35</x:v>
      </x:c>
      <x:c r="AC150" s="52" t="n">
        <x:f>IFERROR(ABS(E150-D150)/E150,0)</x:f>
        <x:v>0.09417040358744394</x:v>
      </x:c>
      <x:c r="AD150" s="52" t="n">
        <x:f>IFERROR(L150/E150,1)</x:f>
        <x:v>0.8654708520179372</x:v>
      </x:c>
      <x:c r="AE150" s="52" t="n">
        <x:f>IFERROR(X150/E150,1)</x:f>
        <x:v>1</x:v>
      </x:c>
      <x:c r="AF150" s="52" t="n">
        <x:f>IFERROR(I150/F150,0)</x:f>
        <x:v>0.6892857142857143</x:v>
      </x:c>
      <x:c r="AG150" s="52" t="n">
        <x:f>IFERROR(U150/F150,0)</x:f>
        <x:v>0.8571428571428571</x:v>
      </x:c>
    </x:row>
    <x:row r="151">
      <x:c r="A151" s="50" t="n">
        <x:v>46191</x:v>
      </x:c>
      <x:c r="B151" s="48" t="str">
        <x:v>Paneer</x:v>
      </x:c>
      <x:c r="C151" s="48" t="n">
        <x:v>5</x:v>
      </x:c>
      <x:c r="D151" s="54" t="n">
        <x:v>162</x:v>
      </x:c>
      <x:c r="E151" s="54" t="n">
        <x:v>153</x:v>
      </x:c>
      <x:c r="F151" s="54" t="n">
        <x:v>230</x:v>
      </x:c>
      <x:c r="G151" s="54" t="n">
        <x:f>ROUND(D151*0.97,0)</x:f>
        <x:v>157</x:v>
      </x:c>
      <x:c r="H151" s="52" t="n">
        <x:v>1.0116776279835238</x:v>
      </x:c>
      <x:c r="I151" s="54" t="n">
        <x:f>MIN(F151,ROUND(G151*H151,0))</x:f>
        <x:v>159</x:v>
      </x:c>
      <x:c r="J151" s="54" t="n">
        <x:f>Q146</x:f>
        <x:v>0</x:v>
      </x:c>
      <x:c r="K151" s="54" t="n">
        <x:f>I151+J151</x:f>
        <x:v>159</x:v>
      </x:c>
      <x:c r="L151" s="54" t="n">
        <x:f>MIN(E151,K151)</x:f>
        <x:v>153</x:v>
      </x:c>
      <x:c r="M151" s="54" t="n">
        <x:f>MAX(E151-K151,0)</x:f>
        <x:v>0</x:v>
      </x:c>
      <x:c r="N151" s="54" t="n">
        <x:f>MAX(K151-L151,0)</x:f>
        <x:v>6</x:v>
      </x:c>
      <x:c r="O151" s="52" t="n">
        <x:v>0.025</x:v>
      </x:c>
      <x:c r="P151" s="54" t="n">
        <x:f>MIN(N151,ROUND(N151*O151,0))</x:f>
        <x:v>0</x:v>
      </x:c>
      <x:c r="Q151" s="54" t="n">
        <x:f>N151-P151</x:f>
        <x:v>6</x:v>
      </x:c>
      <x:c r="R151" s="54" t="n">
        <x:v>32</x:v>
      </x:c>
      <x:c r="S151" s="54" t="n">
        <x:f>MIN(F151,MAX(0,ROUND(D151+R151-V151,0)))</x:f>
        <x:v>177</x:v>
      </x:c>
      <x:c r="T151" s="52" t="n">
        <x:v>0.9866741272747971</x:v>
      </x:c>
      <x:c r="U151" s="54" t="n">
        <x:f>MIN(F151,MAX(0,ROUND(S151*T151,0)))</x:f>
        <x:v>175</x:v>
      </x:c>
      <x:c r="V151" s="54" t="n">
        <x:f>AB146</x:f>
        <x:v>17</x:v>
      </x:c>
      <x:c r="W151" s="54" t="n">
        <x:f>U151+V151</x:f>
        <x:v>192</x:v>
      </x:c>
      <x:c r="X151" s="54" t="n">
        <x:f>MIN(E151,W151)</x:f>
        <x:v>153</x:v>
      </x:c>
      <x:c r="Y151" s="54" t="n">
        <x:f>MAX(E151-W151,0)</x:f>
        <x:v>0</x:v>
      </x:c>
      <x:c r="Z151" s="54" t="n">
        <x:f>MAX(W151-X151,0)</x:f>
        <x:v>39</x:v>
      </x:c>
      <x:c r="AA151" s="54" t="n">
        <x:f>MIN(Z151,ROUND(Z151*O151,0))</x:f>
        <x:v>1</x:v>
      </x:c>
      <x:c r="AB151" s="54" t="n">
        <x:f>Z151-AA151</x:f>
        <x:v>38</x:v>
      </x:c>
      <x:c r="AC151" s="52" t="n">
        <x:f>IFERROR(ABS(E151-D151)/E151,0)</x:f>
        <x:v>0.058823529411764705</x:v>
      </x:c>
      <x:c r="AD151" s="52" t="n">
        <x:f>IFERROR(L151/E151,1)</x:f>
        <x:v>1</x:v>
      </x:c>
      <x:c r="AE151" s="52" t="n">
        <x:f>IFERROR(X151/E151,1)</x:f>
        <x:v>1</x:v>
      </x:c>
      <x:c r="AF151" s="52" t="n">
        <x:f>IFERROR(I151/F151,0)</x:f>
        <x:v>0.691304347826087</x:v>
      </x:c>
      <x:c r="AG151" s="52" t="n">
        <x:f>IFERROR(U151/F151,0)</x:f>
        <x:v>0.7608695652173914</x:v>
      </x:c>
    </x:row>
    <x:row r="152">
      <x:c r="A152" s="50" t="n">
        <x:v>46192</x:v>
      </x:c>
      <x:c r="B152" s="48" t="str">
        <x:v>Toned Milk</x:v>
      </x:c>
      <x:c r="C152" s="48" t="n">
        <x:v>2</x:v>
      </x:c>
      <x:c r="D152" s="54" t="n">
        <x:v>1787</x:v>
      </x:c>
      <x:c r="E152" s="54" t="n">
        <x:v>2098</x:v>
      </x:c>
      <x:c r="F152" s="54" t="n">
        <x:v>2250</x:v>
      </x:c>
      <x:c r="G152" s="54" t="n">
        <x:f>ROUND(D152*0.97,0)</x:f>
        <x:v>1733</x:v>
      </x:c>
      <x:c r="H152" s="52" t="n">
        <x:v>1.0158140332881607</x:v>
      </x:c>
      <x:c r="I152" s="54" t="n">
        <x:f>MIN(F152,ROUND(G152*H152,0))</x:f>
        <x:v>1760</x:v>
      </x:c>
      <x:c r="J152" s="54" t="n">
        <x:f>Q147</x:f>
        <x:v>647</x:v>
      </x:c>
      <x:c r="K152" s="54" t="n">
        <x:f>I152+J152</x:f>
        <x:v>2407</x:v>
      </x:c>
      <x:c r="L152" s="54" t="n">
        <x:f>MIN(E152,K152)</x:f>
        <x:v>2098</x:v>
      </x:c>
      <x:c r="M152" s="54" t="n">
        <x:f>MAX(E152-K152,0)</x:f>
        <x:v>0</x:v>
      </x:c>
      <x:c r="N152" s="54" t="n">
        <x:f>MAX(K152-L152,0)</x:f>
        <x:v>309</x:v>
      </x:c>
      <x:c r="O152" s="52" t="n">
        <x:v>0.025</x:v>
      </x:c>
      <x:c r="P152" s="54" t="n">
        <x:f>MIN(N152,ROUND(N152*O152,0))</x:f>
        <x:v>8</x:v>
      </x:c>
      <x:c r="Q152" s="54" t="n">
        <x:f>N152-P152</x:f>
        <x:v>301</x:v>
      </x:c>
      <x:c r="R152" s="54" t="n">
        <x:v>214</x:v>
      </x:c>
      <x:c r="S152" s="54" t="n">
        <x:f>MIN(F152,MAX(0,ROUND(D152+R152-V152,0)))</x:f>
        <x:v>2001</x:v>
      </x:c>
      <x:c r="T152" s="52" t="n">
        <x:v>0.9858920369365571</x:v>
      </x:c>
      <x:c r="U152" s="54" t="n">
        <x:f>MIN(F152,MAX(0,ROUND(S152*T152,0)))</x:f>
        <x:v>1973</x:v>
      </x:c>
      <x:c r="V152" s="54" t="n">
        <x:f>AB147</x:f>
        <x:v>0</x:v>
      </x:c>
      <x:c r="W152" s="54" t="n">
        <x:f>U152+V152</x:f>
        <x:v>1973</x:v>
      </x:c>
      <x:c r="X152" s="54" t="n">
        <x:f>MIN(E152,W152)</x:f>
        <x:v>1973</x:v>
      </x:c>
      <x:c r="Y152" s="54" t="n">
        <x:f>MAX(E152-W152,0)</x:f>
        <x:v>125</x:v>
      </x:c>
      <x:c r="Z152" s="54" t="n">
        <x:f>MAX(W152-X152,0)</x:f>
        <x:v>0</x:v>
      </x:c>
      <x:c r="AA152" s="54" t="n">
        <x:f>MIN(Z152,ROUND(Z152*O152,0))</x:f>
        <x:v>0</x:v>
      </x:c>
      <x:c r="AB152" s="54" t="n">
        <x:f>Z152-AA152</x:f>
        <x:v>0</x:v>
      </x:c>
      <x:c r="AC152" s="52" t="n">
        <x:f>IFERROR(ABS(E152-D152)/E152,0)</x:f>
        <x:v>0.14823641563393708</x:v>
      </x:c>
      <x:c r="AD152" s="52" t="n">
        <x:f>IFERROR(L152/E152,1)</x:f>
        <x:v>1</x:v>
      </x:c>
      <x:c r="AE152" s="52" t="n">
        <x:f>IFERROR(X152/E152,1)</x:f>
        <x:v>0.940419447092469</x:v>
      </x:c>
      <x:c r="AF152" s="52" t="n">
        <x:f>IFERROR(I152/F152,0)</x:f>
        <x:v>0.7822222222222223</x:v>
      </x:c>
      <x:c r="AG152" s="52" t="n">
        <x:f>IFERROR(U152/F152,0)</x:f>
        <x:v>0.8768888888888889</x:v>
      </x:c>
    </x:row>
    <x:row r="153">
      <x:c r="A153" s="50" t="n">
        <x:v>46192</x:v>
      </x:c>
      <x:c r="B153" s="48" t="str">
        <x:v>Full Cream Milk</x:v>
      </x:c>
      <x:c r="C153" s="48" t="n">
        <x:v>2</x:v>
      </x:c>
      <x:c r="D153" s="54" t="n">
        <x:v>893</x:v>
      </x:c>
      <x:c r="E153" s="54" t="n">
        <x:v>828</x:v>
      </x:c>
      <x:c r="F153" s="54" t="n">
        <x:v>1200</x:v>
      </x:c>
      <x:c r="G153" s="54" t="n">
        <x:f>ROUND(D153*0.97,0)</x:f>
        <x:v>866</x:v>
      </x:c>
      <x:c r="H153" s="52" t="n">
        <x:v>1.0099854352600113</x:v>
      </x:c>
      <x:c r="I153" s="54" t="n">
        <x:f>MIN(F153,ROUND(G153*H153,0))</x:f>
        <x:v>875</x:v>
      </x:c>
      <x:c r="J153" s="54" t="n">
        <x:f>Q148</x:f>
        <x:v>0</x:v>
      </x:c>
      <x:c r="K153" s="54" t="n">
        <x:f>I153+J153</x:f>
        <x:v>875</x:v>
      </x:c>
      <x:c r="L153" s="54" t="n">
        <x:f>MIN(E153,K153)</x:f>
        <x:v>828</x:v>
      </x:c>
      <x:c r="M153" s="54" t="n">
        <x:f>MAX(E153-K153,0)</x:f>
        <x:v>0</x:v>
      </x:c>
      <x:c r="N153" s="54" t="n">
        <x:f>MAX(K153-L153,0)</x:f>
        <x:v>47</x:v>
      </x:c>
      <x:c r="O153" s="52" t="n">
        <x:v>0.03</x:v>
      </x:c>
      <x:c r="P153" s="54" t="n">
        <x:f>MIN(N153,ROUND(N153*O153,0))</x:f>
        <x:v>1</x:v>
      </x:c>
      <x:c r="Q153" s="54" t="n">
        <x:f>N153-P153</x:f>
        <x:v>46</x:v>
      </x:c>
      <x:c r="R153" s="54" t="n">
        <x:v>107</x:v>
      </x:c>
      <x:c r="S153" s="54" t="n">
        <x:f>MIN(F153,MAX(0,ROUND(D153+R153-V153,0)))</x:f>
        <x:v>1000</x:v>
      </x:c>
      <x:c r="T153" s="52" t="n">
        <x:v>1.0097429205777286</x:v>
      </x:c>
      <x:c r="U153" s="54" t="n">
        <x:f>MIN(F153,MAX(0,ROUND(S153*T153,0)))</x:f>
        <x:v>1010</x:v>
      </x:c>
      <x:c r="V153" s="54" t="n">
        <x:f>AB148</x:f>
        <x:v>0</x:v>
      </x:c>
      <x:c r="W153" s="54" t="n">
        <x:f>U153+V153</x:f>
        <x:v>1010</x:v>
      </x:c>
      <x:c r="X153" s="54" t="n">
        <x:f>MIN(E153,W153)</x:f>
        <x:v>828</x:v>
      </x:c>
      <x:c r="Y153" s="54" t="n">
        <x:f>MAX(E153-W153,0)</x:f>
        <x:v>0</x:v>
      </x:c>
      <x:c r="Z153" s="54" t="n">
        <x:f>MAX(W153-X153,0)</x:f>
        <x:v>182</x:v>
      </x:c>
      <x:c r="AA153" s="54" t="n">
        <x:f>MIN(Z153,ROUND(Z153*O153,0))</x:f>
        <x:v>5</x:v>
      </x:c>
      <x:c r="AB153" s="54" t="n">
        <x:f>Z153-AA153</x:f>
        <x:v>177</x:v>
      </x:c>
      <x:c r="AC153" s="52" t="n">
        <x:f>IFERROR(ABS(E153-D153)/E153,0)</x:f>
        <x:v>0.0785024154589372</x:v>
      </x:c>
      <x:c r="AD153" s="52" t="n">
        <x:f>IFERROR(L153/E153,1)</x:f>
        <x:v>1</x:v>
      </x:c>
      <x:c r="AE153" s="52" t="n">
        <x:f>IFERROR(X153/E153,1)</x:f>
        <x:v>1</x:v>
      </x:c>
      <x:c r="AF153" s="52" t="n">
        <x:f>IFERROR(I153/F153,0)</x:f>
        <x:v>0.7291666666666666</x:v>
      </x:c>
      <x:c r="AG153" s="52" t="n">
        <x:f>IFERROR(U153/F153,0)</x:f>
        <x:v>0.8416666666666667</x:v>
      </x:c>
    </x:row>
    <x:row r="154">
      <x:c r="A154" s="50" t="n">
        <x:v>46192</x:v>
      </x:c>
      <x:c r="B154" s="48" t="str">
        <x:v>Curd</x:v>
      </x:c>
      <x:c r="C154" s="48" t="n">
        <x:v>7</x:v>
      </x:c>
      <x:c r="D154" s="54" t="n">
        <x:v>525</x:v>
      </x:c>
      <x:c r="E154" s="54" t="n">
        <x:v>486</x:v>
      </x:c>
      <x:c r="F154" s="54" t="n">
        <x:v>700</x:v>
      </x:c>
      <x:c r="G154" s="54" t="n">
        <x:f>ROUND(D154*0.97,0)</x:f>
        <x:v>509</x:v>
      </x:c>
      <x:c r="H154" s="52" t="n">
        <x:v>1.0156250942475233</x:v>
      </x:c>
      <x:c r="I154" s="54" t="n">
        <x:f>MIN(F154,ROUND(G154*H154,0))</x:f>
        <x:v>517</x:v>
      </x:c>
      <x:c r="J154" s="54" t="n">
        <x:f>Q149</x:f>
        <x:v>0</x:v>
      </x:c>
      <x:c r="K154" s="54" t="n">
        <x:f>I154+J154</x:f>
        <x:v>517</x:v>
      </x:c>
      <x:c r="L154" s="54" t="n">
        <x:f>MIN(E154,K154)</x:f>
        <x:v>486</x:v>
      </x:c>
      <x:c r="M154" s="54" t="n">
        <x:f>MAX(E154-K154,0)</x:f>
        <x:v>0</x:v>
      </x:c>
      <x:c r="N154" s="54" t="n">
        <x:f>MAX(K154-L154,0)</x:f>
        <x:v>31</x:v>
      </x:c>
      <x:c r="O154" s="52" t="n">
        <x:v>0.018</x:v>
      </x:c>
      <x:c r="P154" s="54" t="n">
        <x:f>MIN(N154,ROUND(N154*O154,0))</x:f>
        <x:v>1</x:v>
      </x:c>
      <x:c r="Q154" s="54" t="n">
        <x:f>N154-P154</x:f>
        <x:v>30</x:v>
      </x:c>
      <x:c r="R154" s="54" t="n">
        <x:v>94</x:v>
      </x:c>
      <x:c r="S154" s="54" t="n">
        <x:f>MIN(F154,MAX(0,ROUND(D154+R154-V154,0)))</x:f>
        <x:v>605</x:v>
      </x:c>
      <x:c r="T154" s="52" t="n">
        <x:v>0.9926989871570624</x:v>
      </x:c>
      <x:c r="U154" s="54" t="n">
        <x:f>MIN(F154,MAX(0,ROUND(S154*T154,0)))</x:f>
        <x:v>601</x:v>
      </x:c>
      <x:c r="V154" s="54" t="n">
        <x:f>AB149</x:f>
        <x:v>14</x:v>
      </x:c>
      <x:c r="W154" s="54" t="n">
        <x:f>U154+V154</x:f>
        <x:v>615</x:v>
      </x:c>
      <x:c r="X154" s="54" t="n">
        <x:f>MIN(E154,W154)</x:f>
        <x:v>486</x:v>
      </x:c>
      <x:c r="Y154" s="54" t="n">
        <x:f>MAX(E154-W154,0)</x:f>
        <x:v>0</x:v>
      </x:c>
      <x:c r="Z154" s="54" t="n">
        <x:f>MAX(W154-X154,0)</x:f>
        <x:v>129</x:v>
      </x:c>
      <x:c r="AA154" s="54" t="n">
        <x:f>MIN(Z154,ROUND(Z154*O154,0))</x:f>
        <x:v>2</x:v>
      </x:c>
      <x:c r="AB154" s="54" t="n">
        <x:f>Z154-AA154</x:f>
        <x:v>127</x:v>
      </x:c>
      <x:c r="AC154" s="52" t="n">
        <x:f>IFERROR(ABS(E154-D154)/E154,0)</x:f>
        <x:v>0.08024691358024691</x:v>
      </x:c>
      <x:c r="AD154" s="52" t="n">
        <x:f>IFERROR(L154/E154,1)</x:f>
        <x:v>1</x:v>
      </x:c>
      <x:c r="AE154" s="52" t="n">
        <x:f>IFERROR(X154/E154,1)</x:f>
        <x:v>1</x:v>
      </x:c>
      <x:c r="AF154" s="52" t="n">
        <x:f>IFERROR(I154/F154,0)</x:f>
        <x:v>0.7385714285714285</x:v>
      </x:c>
      <x:c r="AG154" s="52" t="n">
        <x:f>IFERROR(U154/F154,0)</x:f>
        <x:v>0.8585714285714285</x:v>
      </x:c>
    </x:row>
    <x:row r="155">
      <x:c r="A155" s="50" t="n">
        <x:v>46192</x:v>
      </x:c>
      <x:c r="B155" s="48" t="str">
        <x:v>Lassi</x:v>
      </x:c>
      <x:c r="C155" s="48" t="n">
        <x:v>7</x:v>
      </x:c>
      <x:c r="D155" s="54" t="n">
        <x:v>420</x:v>
      </x:c>
      <x:c r="E155" s="54" t="n">
        <x:v>390</x:v>
      </x:c>
      <x:c r="F155" s="54" t="n">
        <x:v>560</x:v>
      </x:c>
      <x:c r="G155" s="54" t="n">
        <x:f>ROUND(D155*0.97,0)</x:f>
        <x:v>407</x:v>
      </x:c>
      <x:c r="H155" s="52" t="n">
        <x:v>0.995973694704049</x:v>
      </x:c>
      <x:c r="I155" s="54" t="n">
        <x:f>MIN(F155,ROUND(G155*H155,0))</x:f>
        <x:v>405</x:v>
      </x:c>
      <x:c r="J155" s="54" t="n">
        <x:f>Q150</x:f>
        <x:v>0</x:v>
      </x:c>
      <x:c r="K155" s="54" t="n">
        <x:f>I155+J155</x:f>
        <x:v>405</x:v>
      </x:c>
      <x:c r="L155" s="54" t="n">
        <x:f>MIN(E155,K155)</x:f>
        <x:v>390</x:v>
      </x:c>
      <x:c r="M155" s="54" t="n">
        <x:f>MAX(E155-K155,0)</x:f>
        <x:v>0</x:v>
      </x:c>
      <x:c r="N155" s="54" t="n">
        <x:f>MAX(K155-L155,0)</x:f>
        <x:v>15</x:v>
      </x:c>
      <x:c r="O155" s="52" t="n">
        <x:v>0.02</x:v>
      </x:c>
      <x:c r="P155" s="54" t="n">
        <x:f>MIN(N155,ROUND(N155*O155,0))</x:f>
        <x:v>0</x:v>
      </x:c>
      <x:c r="Q155" s="54" t="n">
        <x:f>N155-P155</x:f>
        <x:v>15</x:v>
      </x:c>
      <x:c r="R155" s="54" t="n">
        <x:v>76</x:v>
      </x:c>
      <x:c r="S155" s="54" t="n">
        <x:f>MIN(F155,MAX(0,ROUND(D155+R155-V155,0)))</x:f>
        <x:v>461</x:v>
      </x:c>
      <x:c r="T155" s="52" t="n">
        <x:v>1.0086316588592188</x:v>
      </x:c>
      <x:c r="U155" s="54" t="n">
        <x:f>MIN(F155,MAX(0,ROUND(S155*T155,0)))</x:f>
        <x:v>465</x:v>
      </x:c>
      <x:c r="V155" s="54" t="n">
        <x:f>AB150</x:f>
        <x:v>35</x:v>
      </x:c>
      <x:c r="W155" s="54" t="n">
        <x:f>U155+V155</x:f>
        <x:v>500</x:v>
      </x:c>
      <x:c r="X155" s="54" t="n">
        <x:f>MIN(E155,W155)</x:f>
        <x:v>390</x:v>
      </x:c>
      <x:c r="Y155" s="54" t="n">
        <x:f>MAX(E155-W155,0)</x:f>
        <x:v>0</x:v>
      </x:c>
      <x:c r="Z155" s="54" t="n">
        <x:f>MAX(W155-X155,0)</x:f>
        <x:v>110</x:v>
      </x:c>
      <x:c r="AA155" s="54" t="n">
        <x:f>MIN(Z155,ROUND(Z155*O155,0))</x:f>
        <x:v>2</x:v>
      </x:c>
      <x:c r="AB155" s="54" t="n">
        <x:f>Z155-AA155</x:f>
        <x:v>108</x:v>
      </x:c>
      <x:c r="AC155" s="52" t="n">
        <x:f>IFERROR(ABS(E155-D155)/E155,0)</x:f>
        <x:v>0.07692307692307693</x:v>
      </x:c>
      <x:c r="AD155" s="52" t="n">
        <x:f>IFERROR(L155/E155,1)</x:f>
        <x:v>1</x:v>
      </x:c>
      <x:c r="AE155" s="52" t="n">
        <x:f>IFERROR(X155/E155,1)</x:f>
        <x:v>1</x:v>
      </x:c>
      <x:c r="AF155" s="52" t="n">
        <x:f>IFERROR(I155/F155,0)</x:f>
        <x:v>0.7232142857142857</x:v>
      </x:c>
      <x:c r="AG155" s="52" t="n">
        <x:f>IFERROR(U155/F155,0)</x:f>
        <x:v>0.8303571428571429</x:v>
      </x:c>
    </x:row>
    <x:row r="156">
      <x:c r="A156" s="50" t="n">
        <x:v>46192</x:v>
      </x:c>
      <x:c r="B156" s="48" t="str">
        <x:v>Paneer</x:v>
      </x:c>
      <x:c r="C156" s="48" t="n">
        <x:v>5</x:v>
      </x:c>
      <x:c r="D156" s="54" t="n">
        <x:v>168</x:v>
      </x:c>
      <x:c r="E156" s="54" t="n">
        <x:v>181</x:v>
      </x:c>
      <x:c r="F156" s="54" t="n">
        <x:v>230</x:v>
      </x:c>
      <x:c r="G156" s="54" t="n">
        <x:f>ROUND(D156*0.97,0)</x:f>
        <x:v>163</x:v>
      </x:c>
      <x:c r="H156" s="52" t="n">
        <x:v>0.9861823136144388</x:v>
      </x:c>
      <x:c r="I156" s="54" t="n">
        <x:f>MIN(F156,ROUND(G156*H156,0))</x:f>
        <x:v>161</x:v>
      </x:c>
      <x:c r="J156" s="54" t="n">
        <x:f>Q151</x:f>
        <x:v>6</x:v>
      </x:c>
      <x:c r="K156" s="54" t="n">
        <x:f>I156+J156</x:f>
        <x:v>167</x:v>
      </x:c>
      <x:c r="L156" s="54" t="n">
        <x:f>MIN(E156,K156)</x:f>
        <x:v>167</x:v>
      </x:c>
      <x:c r="M156" s="54" t="n">
        <x:f>MAX(E156-K156,0)</x:f>
        <x:v>14</x:v>
      </x:c>
      <x:c r="N156" s="54" t="n">
        <x:f>MAX(K156-L156,0)</x:f>
        <x:v>0</x:v>
      </x:c>
      <x:c r="O156" s="52" t="n">
        <x:v>0.025</x:v>
      </x:c>
      <x:c r="P156" s="54" t="n">
        <x:f>MIN(N156,ROUND(N156*O156,0))</x:f>
        <x:v>0</x:v>
      </x:c>
      <x:c r="Q156" s="54" t="n">
        <x:f>N156-P156</x:f>
        <x:v>0</x:v>
      </x:c>
      <x:c r="R156" s="54" t="n">
        <x:v>34</x:v>
      </x:c>
      <x:c r="S156" s="54" t="n">
        <x:f>MIN(F156,MAX(0,ROUND(D156+R156-V156,0)))</x:f>
        <x:v>164</x:v>
      </x:c>
      <x:c r="T156" s="52" t="n">
        <x:v>1.0176629061001845</x:v>
      </x:c>
      <x:c r="U156" s="54" t="n">
        <x:f>MIN(F156,MAX(0,ROUND(S156*T156,0)))</x:f>
        <x:v>167</x:v>
      </x:c>
      <x:c r="V156" s="54" t="n">
        <x:f>AB151</x:f>
        <x:v>38</x:v>
      </x:c>
      <x:c r="W156" s="54" t="n">
        <x:f>U156+V156</x:f>
        <x:v>205</x:v>
      </x:c>
      <x:c r="X156" s="54" t="n">
        <x:f>MIN(E156,W156)</x:f>
        <x:v>181</x:v>
      </x:c>
      <x:c r="Y156" s="54" t="n">
        <x:f>MAX(E156-W156,0)</x:f>
        <x:v>0</x:v>
      </x:c>
      <x:c r="Z156" s="54" t="n">
        <x:f>MAX(W156-X156,0)</x:f>
        <x:v>24</x:v>
      </x:c>
      <x:c r="AA156" s="54" t="n">
        <x:f>MIN(Z156,ROUND(Z156*O156,0))</x:f>
        <x:v>1</x:v>
      </x:c>
      <x:c r="AB156" s="54" t="n">
        <x:f>Z156-AA156</x:f>
        <x:v>23</x:v>
      </x:c>
      <x:c r="AC156" s="52" t="n">
        <x:f>IFERROR(ABS(E156-D156)/E156,0)</x:f>
        <x:v>0.0718232044198895</x:v>
      </x:c>
      <x:c r="AD156" s="52" t="n">
        <x:f>IFERROR(L156/E156,1)</x:f>
        <x:v>0.9226519337016574</x:v>
      </x:c>
      <x:c r="AE156" s="52" t="n">
        <x:f>IFERROR(X156/E156,1)</x:f>
        <x:v>1</x:v>
      </x:c>
      <x:c r="AF156" s="52" t="n">
        <x:f>IFERROR(I156/F156,0)</x:f>
        <x:v>0.7</x:v>
      </x:c>
      <x:c r="AG156" s="52" t="n">
        <x:f>IFERROR(U156/F156,0)</x:f>
        <x:v>0.7260869565217392</x:v>
      </x:c>
    </x:row>
    <x:row r="157">
      <x:c r="A157" s="50" t="n">
        <x:v>46193</x:v>
      </x:c>
      <x:c r="B157" s="48" t="str">
        <x:v>Toned Milk</x:v>
      </x:c>
      <x:c r="C157" s="48" t="n">
        <x:v>2</x:v>
      </x:c>
      <x:c r="D157" s="54" t="n">
        <x:v>1959</x:v>
      </x:c>
      <x:c r="E157" s="54" t="n">
        <x:v>1876</x:v>
      </x:c>
      <x:c r="F157" s="54" t="n">
        <x:v>2250</x:v>
      </x:c>
      <x:c r="G157" s="54" t="n">
        <x:f>ROUND(D157*0.97,0)</x:f>
        <x:v>1900</x:v>
      </x:c>
      <x:c r="H157" s="52" t="n">
        <x:v>1.016178993778868</x:v>
      </x:c>
      <x:c r="I157" s="54" t="n">
        <x:f>MIN(F157,ROUND(G157*H157,0))</x:f>
        <x:v>1931</x:v>
      </x:c>
      <x:c r="J157" s="54" t="n">
        <x:f>Q152</x:f>
        <x:v>301</x:v>
      </x:c>
      <x:c r="K157" s="54" t="n">
        <x:f>I157+J157</x:f>
        <x:v>2232</x:v>
      </x:c>
      <x:c r="L157" s="54" t="n">
        <x:f>MIN(E157,K157)</x:f>
        <x:v>1876</x:v>
      </x:c>
      <x:c r="M157" s="54" t="n">
        <x:f>MAX(E157-K157,0)</x:f>
        <x:v>0</x:v>
      </x:c>
      <x:c r="N157" s="54" t="n">
        <x:f>MAX(K157-L157,0)</x:f>
        <x:v>356</x:v>
      </x:c>
      <x:c r="O157" s="52" t="n">
        <x:v>0.025</x:v>
      </x:c>
      <x:c r="P157" s="54" t="n">
        <x:f>MIN(N157,ROUND(N157*O157,0))</x:f>
        <x:v>9</x:v>
      </x:c>
      <x:c r="Q157" s="54" t="n">
        <x:f>N157-P157</x:f>
        <x:v>347</x:v>
      </x:c>
      <x:c r="R157" s="54" t="n">
        <x:v>235</x:v>
      </x:c>
      <x:c r="S157" s="54" t="n">
        <x:f>MIN(F157,MAX(0,ROUND(D157+R157-V157,0)))</x:f>
        <x:v>2194</x:v>
      </x:c>
      <x:c r="T157" s="52" t="n">
        <x:v>0.9894991013974187</x:v>
      </x:c>
      <x:c r="U157" s="54" t="n">
        <x:f>MIN(F157,MAX(0,ROUND(S157*T157,0)))</x:f>
        <x:v>2171</x:v>
      </x:c>
      <x:c r="V157" s="54" t="n">
        <x:f>AB152</x:f>
        <x:v>0</x:v>
      </x:c>
      <x:c r="W157" s="54" t="n">
        <x:f>U157+V157</x:f>
        <x:v>2171</x:v>
      </x:c>
      <x:c r="X157" s="54" t="n">
        <x:f>MIN(E157,W157)</x:f>
        <x:v>1876</x:v>
      </x:c>
      <x:c r="Y157" s="54" t="n">
        <x:f>MAX(E157-W157,0)</x:f>
        <x:v>0</x:v>
      </x:c>
      <x:c r="Z157" s="54" t="n">
        <x:f>MAX(W157-X157,0)</x:f>
        <x:v>295</x:v>
      </x:c>
      <x:c r="AA157" s="54" t="n">
        <x:f>MIN(Z157,ROUND(Z157*O157,0))</x:f>
        <x:v>7</x:v>
      </x:c>
      <x:c r="AB157" s="54" t="n">
        <x:f>Z157-AA157</x:f>
        <x:v>288</x:v>
      </x:c>
      <x:c r="AC157" s="52" t="n">
        <x:f>IFERROR(ABS(E157-D157)/E157,0)</x:f>
        <x:v>0.044243070362473345</x:v>
      </x:c>
      <x:c r="AD157" s="52" t="n">
        <x:f>IFERROR(L157/E157,1)</x:f>
        <x:v>1</x:v>
      </x:c>
      <x:c r="AE157" s="52" t="n">
        <x:f>IFERROR(X157/E157,1)</x:f>
        <x:v>1</x:v>
      </x:c>
      <x:c r="AF157" s="52" t="n">
        <x:f>IFERROR(I157/F157,0)</x:f>
        <x:v>0.8582222222222222</x:v>
      </x:c>
      <x:c r="AG157" s="52" t="n">
        <x:f>IFERROR(U157/F157,0)</x:f>
        <x:v>0.9648888888888889</x:v>
      </x:c>
    </x:row>
    <x:row r="158">
      <x:c r="A158" s="50" t="n">
        <x:v>46193</x:v>
      </x:c>
      <x:c r="B158" s="48" t="str">
        <x:v>Full Cream Milk</x:v>
      </x:c>
      <x:c r="C158" s="48" t="n">
        <x:v>2</x:v>
      </x:c>
      <x:c r="D158" s="54" t="n">
        <x:v>980</x:v>
      </x:c>
      <x:c r="E158" s="54" t="n">
        <x:v>1113</x:v>
      </x:c>
      <x:c r="F158" s="54" t="n">
        <x:v>1200</x:v>
      </x:c>
      <x:c r="G158" s="54" t="n">
        <x:f>ROUND(D158*0.97,0)</x:f>
        <x:v>951</x:v>
      </x:c>
      <x:c r="H158" s="52" t="n">
        <x:v>0.9844044311563048</x:v>
      </x:c>
      <x:c r="I158" s="54" t="n">
        <x:f>MIN(F158,ROUND(G158*H158,0))</x:f>
        <x:v>936</x:v>
      </x:c>
      <x:c r="J158" s="54" t="n">
        <x:f>Q153</x:f>
        <x:v>46</x:v>
      </x:c>
      <x:c r="K158" s="54" t="n">
        <x:f>I158+J158</x:f>
        <x:v>982</x:v>
      </x:c>
      <x:c r="L158" s="54" t="n">
        <x:f>MIN(E158,K158)</x:f>
        <x:v>982</x:v>
      </x:c>
      <x:c r="M158" s="54" t="n">
        <x:f>MAX(E158-K158,0)</x:f>
        <x:v>131</x:v>
      </x:c>
      <x:c r="N158" s="54" t="n">
        <x:f>MAX(K158-L158,0)</x:f>
        <x:v>0</x:v>
      </x:c>
      <x:c r="O158" s="52" t="n">
        <x:v>0.03</x:v>
      </x:c>
      <x:c r="P158" s="54" t="n">
        <x:f>MIN(N158,ROUND(N158*O158,0))</x:f>
        <x:v>0</x:v>
      </x:c>
      <x:c r="Q158" s="54" t="n">
        <x:f>N158-P158</x:f>
        <x:v>0</x:v>
      </x:c>
      <x:c r="R158" s="54" t="n">
        <x:v>118</x:v>
      </x:c>
      <x:c r="S158" s="54" t="n">
        <x:f>MIN(F158,MAX(0,ROUND(D158+R158-V158,0)))</x:f>
        <x:v>921</x:v>
      </x:c>
      <x:c r="T158" s="52" t="n">
        <x:v>0.9838474428748297</x:v>
      </x:c>
      <x:c r="U158" s="54" t="n">
        <x:f>MIN(F158,MAX(0,ROUND(S158*T158,0)))</x:f>
        <x:v>906</x:v>
      </x:c>
      <x:c r="V158" s="54" t="n">
        <x:f>AB153</x:f>
        <x:v>177</x:v>
      </x:c>
      <x:c r="W158" s="54" t="n">
        <x:f>U158+V158</x:f>
        <x:v>1083</x:v>
      </x:c>
      <x:c r="X158" s="54" t="n">
        <x:f>MIN(E158,W158)</x:f>
        <x:v>1083</x:v>
      </x:c>
      <x:c r="Y158" s="54" t="n">
        <x:f>MAX(E158-W158,0)</x:f>
        <x:v>30</x:v>
      </x:c>
      <x:c r="Z158" s="54" t="n">
        <x:f>MAX(W158-X158,0)</x:f>
        <x:v>0</x:v>
      </x:c>
      <x:c r="AA158" s="54" t="n">
        <x:f>MIN(Z158,ROUND(Z158*O158,0))</x:f>
        <x:v>0</x:v>
      </x:c>
      <x:c r="AB158" s="54" t="n">
        <x:f>Z158-AA158</x:f>
        <x:v>0</x:v>
      </x:c>
      <x:c r="AC158" s="52" t="n">
        <x:f>IFERROR(ABS(E158-D158)/E158,0)</x:f>
        <x:v>0.11949685534591195</x:v>
      </x:c>
      <x:c r="AD158" s="52" t="n">
        <x:f>IFERROR(L158/E158,1)</x:f>
        <x:v>0.8823000898472596</x:v>
      </x:c>
      <x:c r="AE158" s="52" t="n">
        <x:f>IFERROR(X158/E158,1)</x:f>
        <x:v>0.9730458221024259</x:v>
      </x:c>
      <x:c r="AF158" s="52" t="n">
        <x:f>IFERROR(I158/F158,0)</x:f>
        <x:v>0.78</x:v>
      </x:c>
      <x:c r="AG158" s="52" t="n">
        <x:f>IFERROR(U158/F158,0)</x:f>
        <x:v>0.755</x:v>
      </x:c>
    </x:row>
    <x:row r="159">
      <x:c r="A159" s="50" t="n">
        <x:v>46193</x:v>
      </x:c>
      <x:c r="B159" s="48" t="str">
        <x:v>Curd</x:v>
      </x:c>
      <x:c r="C159" s="48" t="n">
        <x:v>7</x:v>
      </x:c>
      <x:c r="D159" s="54" t="n">
        <x:v>576</x:v>
      </x:c>
      <x:c r="E159" s="54" t="n">
        <x:v>511</x:v>
      </x:c>
      <x:c r="F159" s="54" t="n">
        <x:v>700</x:v>
      </x:c>
      <x:c r="G159" s="54" t="n">
        <x:f>ROUND(D159*0.97,0)</x:f>
        <x:v>559</x:v>
      </x:c>
      <x:c r="H159" s="52" t="n">
        <x:v>0.9867553258544857</x:v>
      </x:c>
      <x:c r="I159" s="54" t="n">
        <x:f>MIN(F159,ROUND(G159*H159,0))</x:f>
        <x:v>552</x:v>
      </x:c>
      <x:c r="J159" s="54" t="n">
        <x:f>Q154</x:f>
        <x:v>30</x:v>
      </x:c>
      <x:c r="K159" s="54" t="n">
        <x:f>I159+J159</x:f>
        <x:v>582</x:v>
      </x:c>
      <x:c r="L159" s="54" t="n">
        <x:f>MIN(E159,K159)</x:f>
        <x:v>511</x:v>
      </x:c>
      <x:c r="M159" s="54" t="n">
        <x:f>MAX(E159-K159,0)</x:f>
        <x:v>0</x:v>
      </x:c>
      <x:c r="N159" s="54" t="n">
        <x:f>MAX(K159-L159,0)</x:f>
        <x:v>71</x:v>
      </x:c>
      <x:c r="O159" s="52" t="n">
        <x:v>0.018</x:v>
      </x:c>
      <x:c r="P159" s="54" t="n">
        <x:f>MIN(N159,ROUND(N159*O159,0))</x:f>
        <x:v>1</x:v>
      </x:c>
      <x:c r="Q159" s="54" t="n">
        <x:f>N159-P159</x:f>
        <x:v>70</x:v>
      </x:c>
      <x:c r="R159" s="54" t="n">
        <x:v>104</x:v>
      </x:c>
      <x:c r="S159" s="54" t="n">
        <x:f>MIN(F159,MAX(0,ROUND(D159+R159-V159,0)))</x:f>
        <x:v>553</x:v>
      </x:c>
      <x:c r="T159" s="52" t="n">
        <x:v>1.0058755988442374</x:v>
      </x:c>
      <x:c r="U159" s="54" t="n">
        <x:f>MIN(F159,MAX(0,ROUND(S159*T159,0)))</x:f>
        <x:v>556</x:v>
      </x:c>
      <x:c r="V159" s="54" t="n">
        <x:f>AB154</x:f>
        <x:v>127</x:v>
      </x:c>
      <x:c r="W159" s="54" t="n">
        <x:f>U159+V159</x:f>
        <x:v>683</x:v>
      </x:c>
      <x:c r="X159" s="54" t="n">
        <x:f>MIN(E159,W159)</x:f>
        <x:v>511</x:v>
      </x:c>
      <x:c r="Y159" s="54" t="n">
        <x:f>MAX(E159-W159,0)</x:f>
        <x:v>0</x:v>
      </x:c>
      <x:c r="Z159" s="54" t="n">
        <x:f>MAX(W159-X159,0)</x:f>
        <x:v>172</x:v>
      </x:c>
      <x:c r="AA159" s="54" t="n">
        <x:f>MIN(Z159,ROUND(Z159*O159,0))</x:f>
        <x:v>3</x:v>
      </x:c>
      <x:c r="AB159" s="54" t="n">
        <x:f>Z159-AA159</x:f>
        <x:v>169</x:v>
      </x:c>
      <x:c r="AC159" s="52" t="n">
        <x:f>IFERROR(ABS(E159-D159)/E159,0)</x:f>
        <x:v>0.12720156555772993</x:v>
      </x:c>
      <x:c r="AD159" s="52" t="n">
        <x:f>IFERROR(L159/E159,1)</x:f>
        <x:v>1</x:v>
      </x:c>
      <x:c r="AE159" s="52" t="n">
        <x:f>IFERROR(X159/E159,1)</x:f>
        <x:v>1</x:v>
      </x:c>
      <x:c r="AF159" s="52" t="n">
        <x:f>IFERROR(I159/F159,0)</x:f>
        <x:v>0.7885714285714286</x:v>
      </x:c>
      <x:c r="AG159" s="52" t="n">
        <x:f>IFERROR(U159/F159,0)</x:f>
        <x:v>0.7942857142857143</x:v>
      </x:c>
    </x:row>
    <x:row r="160">
      <x:c r="A160" s="50" t="n">
        <x:v>46193</x:v>
      </x:c>
      <x:c r="B160" s="48" t="str">
        <x:v>Lassi</x:v>
      </x:c>
      <x:c r="C160" s="48" t="n">
        <x:v>7</x:v>
      </x:c>
      <x:c r="D160" s="54" t="n">
        <x:v>457</x:v>
      </x:c>
      <x:c r="E160" s="54" t="n">
        <x:v>379</x:v>
      </x:c>
      <x:c r="F160" s="54" t="n">
        <x:v>560</x:v>
      </x:c>
      <x:c r="G160" s="54" t="n">
        <x:f>ROUND(D160*0.97,0)</x:f>
        <x:v>443</x:v>
      </x:c>
      <x:c r="H160" s="52" t="n">
        <x:v>0.9888453733211762</x:v>
      </x:c>
      <x:c r="I160" s="54" t="n">
        <x:f>MIN(F160,ROUND(G160*H160,0))</x:f>
        <x:v>438</x:v>
      </x:c>
      <x:c r="J160" s="54" t="n">
        <x:f>Q155</x:f>
        <x:v>15</x:v>
      </x:c>
      <x:c r="K160" s="54" t="n">
        <x:f>I160+J160</x:f>
        <x:v>453</x:v>
      </x:c>
      <x:c r="L160" s="54" t="n">
        <x:f>MIN(E160,K160)</x:f>
        <x:v>379</x:v>
      </x:c>
      <x:c r="M160" s="54" t="n">
        <x:f>MAX(E160-K160,0)</x:f>
        <x:v>0</x:v>
      </x:c>
      <x:c r="N160" s="54" t="n">
        <x:f>MAX(K160-L160,0)</x:f>
        <x:v>74</x:v>
      </x:c>
      <x:c r="O160" s="52" t="n">
        <x:v>0.02</x:v>
      </x:c>
      <x:c r="P160" s="54" t="n">
        <x:f>MIN(N160,ROUND(N160*O160,0))</x:f>
        <x:v>1</x:v>
      </x:c>
      <x:c r="Q160" s="54" t="n">
        <x:f>N160-P160</x:f>
        <x:v>73</x:v>
      </x:c>
      <x:c r="R160" s="54" t="n">
        <x:v>82</x:v>
      </x:c>
      <x:c r="S160" s="54" t="n">
        <x:f>MIN(F160,MAX(0,ROUND(D160+R160-V160,0)))</x:f>
        <x:v>431</x:v>
      </x:c>
      <x:c r="T160" s="52" t="n">
        <x:v>1.0032347948451577</x:v>
      </x:c>
      <x:c r="U160" s="54" t="n">
        <x:f>MIN(F160,MAX(0,ROUND(S160*T160,0)))</x:f>
        <x:v>432</x:v>
      </x:c>
      <x:c r="V160" s="54" t="n">
        <x:f>AB155</x:f>
        <x:v>108</x:v>
      </x:c>
      <x:c r="W160" s="54" t="n">
        <x:f>U160+V160</x:f>
        <x:v>540</x:v>
      </x:c>
      <x:c r="X160" s="54" t="n">
        <x:f>MIN(E160,W160)</x:f>
        <x:v>379</x:v>
      </x:c>
      <x:c r="Y160" s="54" t="n">
        <x:f>MAX(E160-W160,0)</x:f>
        <x:v>0</x:v>
      </x:c>
      <x:c r="Z160" s="54" t="n">
        <x:f>MAX(W160-X160,0)</x:f>
        <x:v>161</x:v>
      </x:c>
      <x:c r="AA160" s="54" t="n">
        <x:f>MIN(Z160,ROUND(Z160*O160,0))</x:f>
        <x:v>3</x:v>
      </x:c>
      <x:c r="AB160" s="54" t="n">
        <x:f>Z160-AA160</x:f>
        <x:v>158</x:v>
      </x:c>
      <x:c r="AC160" s="52" t="n">
        <x:f>IFERROR(ABS(E160-D160)/E160,0)</x:f>
        <x:v>0.20580474934036938</x:v>
      </x:c>
      <x:c r="AD160" s="52" t="n">
        <x:f>IFERROR(L160/E160,1)</x:f>
        <x:v>1</x:v>
      </x:c>
      <x:c r="AE160" s="52" t="n">
        <x:f>IFERROR(X160/E160,1)</x:f>
        <x:v>1</x:v>
      </x:c>
      <x:c r="AF160" s="52" t="n">
        <x:f>IFERROR(I160/F160,0)</x:f>
        <x:v>0.7821428571428571</x:v>
      </x:c>
      <x:c r="AG160" s="52" t="n">
        <x:f>IFERROR(U160/F160,0)</x:f>
        <x:v>0.7714285714285715</x:v>
      </x:c>
    </x:row>
    <x:row r="161">
      <x:c r="A161" s="50" t="n">
        <x:v>46193</x:v>
      </x:c>
      <x:c r="B161" s="48" t="str">
        <x:v>Paneer</x:v>
      </x:c>
      <x:c r="C161" s="48" t="n">
        <x:v>5</x:v>
      </x:c>
      <x:c r="D161" s="54" t="n">
        <x:v>181</x:v>
      </x:c>
      <x:c r="E161" s="54" t="n">
        <x:v>186</x:v>
      </x:c>
      <x:c r="F161" s="54" t="n">
        <x:v>230</x:v>
      </x:c>
      <x:c r="G161" s="54" t="n">
        <x:f>ROUND(D161*0.97,0)</x:f>
        <x:v>176</x:v>
      </x:c>
      <x:c r="H161" s="52" t="n">
        <x:v>0.9980632186565207</x:v>
      </x:c>
      <x:c r="I161" s="54" t="n">
        <x:f>MIN(F161,ROUND(G161*H161,0))</x:f>
        <x:v>176</x:v>
      </x:c>
      <x:c r="J161" s="54" t="n">
        <x:f>Q156</x:f>
        <x:v>0</x:v>
      </x:c>
      <x:c r="K161" s="54" t="n">
        <x:f>I161+J161</x:f>
        <x:v>176</x:v>
      </x:c>
      <x:c r="L161" s="54" t="n">
        <x:f>MIN(E161,K161)</x:f>
        <x:v>176</x:v>
      </x:c>
      <x:c r="M161" s="54" t="n">
        <x:f>MAX(E161-K161,0)</x:f>
        <x:v>10</x:v>
      </x:c>
      <x:c r="N161" s="54" t="n">
        <x:f>MAX(K161-L161,0)</x:f>
        <x:v>0</x:v>
      </x:c>
      <x:c r="O161" s="52" t="n">
        <x:v>0.025</x:v>
      </x:c>
      <x:c r="P161" s="54" t="n">
        <x:f>MIN(N161,ROUND(N161*O161,0))</x:f>
        <x:v>0</x:v>
      </x:c>
      <x:c r="Q161" s="54" t="n">
        <x:f>N161-P161</x:f>
        <x:v>0</x:v>
      </x:c>
      <x:c r="R161" s="54" t="n">
        <x:v>36</x:v>
      </x:c>
      <x:c r="S161" s="54" t="n">
        <x:f>MIN(F161,MAX(0,ROUND(D161+R161-V161,0)))</x:f>
        <x:v>194</x:v>
      </x:c>
      <x:c r="T161" s="52" t="n">
        <x:v>0.986674650318374</x:v>
      </x:c>
      <x:c r="U161" s="54" t="n">
        <x:f>MIN(F161,MAX(0,ROUND(S161*T161,0)))</x:f>
        <x:v>191</x:v>
      </x:c>
      <x:c r="V161" s="54" t="n">
        <x:f>AB156</x:f>
        <x:v>23</x:v>
      </x:c>
      <x:c r="W161" s="54" t="n">
        <x:f>U161+V161</x:f>
        <x:v>214</x:v>
      </x:c>
      <x:c r="X161" s="54" t="n">
        <x:f>MIN(E161,W161)</x:f>
        <x:v>186</x:v>
      </x:c>
      <x:c r="Y161" s="54" t="n">
        <x:f>MAX(E161-W161,0)</x:f>
        <x:v>0</x:v>
      </x:c>
      <x:c r="Z161" s="54" t="n">
        <x:f>MAX(W161-X161,0)</x:f>
        <x:v>28</x:v>
      </x:c>
      <x:c r="AA161" s="54" t="n">
        <x:f>MIN(Z161,ROUND(Z161*O161,0))</x:f>
        <x:v>1</x:v>
      </x:c>
      <x:c r="AB161" s="54" t="n">
        <x:f>Z161-AA161</x:f>
        <x:v>27</x:v>
      </x:c>
      <x:c r="AC161" s="52" t="n">
        <x:f>IFERROR(ABS(E161-D161)/E161,0)</x:f>
        <x:v>0.026881720430107527</x:v>
      </x:c>
      <x:c r="AD161" s="52" t="n">
        <x:f>IFERROR(L161/E161,1)</x:f>
        <x:v>0.946236559139785</x:v>
      </x:c>
      <x:c r="AE161" s="52" t="n">
        <x:f>IFERROR(X161/E161,1)</x:f>
        <x:v>1</x:v>
      </x:c>
      <x:c r="AF161" s="52" t="n">
        <x:f>IFERROR(I161/F161,0)</x:f>
        <x:v>0.7652173913043478</x:v>
      </x:c>
      <x:c r="AG161" s="52" t="n">
        <x:f>IFERROR(U161/F161,0)</x:f>
        <x:v>0.8304347826086956</x:v>
      </x:c>
    </x:row>
    <x:row r="162">
      <x:c r="A162" s="50" t="n">
        <x:v>46194</x:v>
      </x:c>
      <x:c r="B162" s="48" t="str">
        <x:v>Toned Milk</x:v>
      </x:c>
      <x:c r="C162" s="48" t="n">
        <x:v>2</x:v>
      </x:c>
      <x:c r="D162" s="54" t="n">
        <x:v>1925</x:v>
      </x:c>
      <x:c r="E162" s="54" t="n">
        <x:v>1593</x:v>
      </x:c>
      <x:c r="F162" s="54" t="n">
        <x:v>2250</x:v>
      </x:c>
      <x:c r="G162" s="54" t="n">
        <x:f>ROUND(D162*0.97,0)</x:f>
        <x:v>1867</x:v>
      </x:c>
      <x:c r="H162" s="52" t="n">
        <x:v>0.9883579030839517</x:v>
      </x:c>
      <x:c r="I162" s="54" t="n">
        <x:f>MIN(F162,ROUND(G162*H162,0))</x:f>
        <x:v>1845</x:v>
      </x:c>
      <x:c r="J162" s="54" t="n">
        <x:f>Q157</x:f>
        <x:v>347</x:v>
      </x:c>
      <x:c r="K162" s="54" t="n">
        <x:f>I162+J162</x:f>
        <x:v>2192</x:v>
      </x:c>
      <x:c r="L162" s="54" t="n">
        <x:f>MIN(E162,K162)</x:f>
        <x:v>1593</x:v>
      </x:c>
      <x:c r="M162" s="54" t="n">
        <x:f>MAX(E162-K162,0)</x:f>
        <x:v>0</x:v>
      </x:c>
      <x:c r="N162" s="54" t="n">
        <x:f>MAX(K162-L162,0)</x:f>
        <x:v>599</x:v>
      </x:c>
      <x:c r="O162" s="52" t="n">
        <x:v>0.025</x:v>
      </x:c>
      <x:c r="P162" s="54" t="n">
        <x:f>MIN(N162,ROUND(N162*O162,0))</x:f>
        <x:v>15</x:v>
      </x:c>
      <x:c r="Q162" s="54" t="n">
        <x:f>N162-P162</x:f>
        <x:v>584</x:v>
      </x:c>
      <x:c r="R162" s="54" t="n">
        <x:v>231</x:v>
      </x:c>
      <x:c r="S162" s="54" t="n">
        <x:f>MIN(F162,MAX(0,ROUND(D162+R162-V162,0)))</x:f>
        <x:v>1868</x:v>
      </x:c>
      <x:c r="T162" s="52" t="n">
        <x:v>0.9971385319791992</x:v>
      </x:c>
      <x:c r="U162" s="54" t="n">
        <x:f>MIN(F162,MAX(0,ROUND(S162*T162,0)))</x:f>
        <x:v>1863</x:v>
      </x:c>
      <x:c r="V162" s="54" t="n">
        <x:f>AB157</x:f>
        <x:v>288</x:v>
      </x:c>
      <x:c r="W162" s="54" t="n">
        <x:f>U162+V162</x:f>
        <x:v>2151</x:v>
      </x:c>
      <x:c r="X162" s="54" t="n">
        <x:f>MIN(E162,W162)</x:f>
        <x:v>1593</x:v>
      </x:c>
      <x:c r="Y162" s="54" t="n">
        <x:f>MAX(E162-W162,0)</x:f>
        <x:v>0</x:v>
      </x:c>
      <x:c r="Z162" s="54" t="n">
        <x:f>MAX(W162-X162,0)</x:f>
        <x:v>558</x:v>
      </x:c>
      <x:c r="AA162" s="54" t="n">
        <x:f>MIN(Z162,ROUND(Z162*O162,0))</x:f>
        <x:v>14</x:v>
      </x:c>
      <x:c r="AB162" s="54" t="n">
        <x:f>Z162-AA162</x:f>
        <x:v>544</x:v>
      </x:c>
      <x:c r="AC162" s="52" t="n">
        <x:f>IFERROR(ABS(E162-D162)/E162,0)</x:f>
        <x:v>0.20841180163214063</x:v>
      </x:c>
      <x:c r="AD162" s="52" t="n">
        <x:f>IFERROR(L162/E162,1)</x:f>
        <x:v>1</x:v>
      </x:c>
      <x:c r="AE162" s="52" t="n">
        <x:f>IFERROR(X162/E162,1)</x:f>
        <x:v>1</x:v>
      </x:c>
      <x:c r="AF162" s="52" t="n">
        <x:f>IFERROR(I162/F162,0)</x:f>
        <x:v>0.82</x:v>
      </x:c>
      <x:c r="AG162" s="52" t="n">
        <x:f>IFERROR(U162/F162,0)</x:f>
        <x:v>0.828</x:v>
      </x:c>
    </x:row>
    <x:row r="163">
      <x:c r="A163" s="50" t="n">
        <x:v>46194</x:v>
      </x:c>
      <x:c r="B163" s="48" t="str">
        <x:v>Full Cream Milk</x:v>
      </x:c>
      <x:c r="C163" s="48" t="n">
        <x:v>2</x:v>
      </x:c>
      <x:c r="D163" s="54" t="n">
        <x:v>963</x:v>
      </x:c>
      <x:c r="E163" s="54" t="n">
        <x:v>1087</x:v>
      </x:c>
      <x:c r="F163" s="54" t="n">
        <x:v>1200</x:v>
      </x:c>
      <x:c r="G163" s="54" t="n">
        <x:f>ROUND(D163*0.97,0)</x:f>
        <x:v>934</x:v>
      </x:c>
      <x:c r="H163" s="52" t="n">
        <x:v>1.0158670407734065</x:v>
      </x:c>
      <x:c r="I163" s="54" t="n">
        <x:f>MIN(F163,ROUND(G163*H163,0))</x:f>
        <x:v>949</x:v>
      </x:c>
      <x:c r="J163" s="54" t="n">
        <x:f>Q158</x:f>
        <x:v>0</x:v>
      </x:c>
      <x:c r="K163" s="54" t="n">
        <x:f>I163+J163</x:f>
        <x:v>949</x:v>
      </x:c>
      <x:c r="L163" s="54" t="n">
        <x:f>MIN(E163,K163)</x:f>
        <x:v>949</x:v>
      </x:c>
      <x:c r="M163" s="54" t="n">
        <x:f>MAX(E163-K163,0)</x:f>
        <x:v>138</x:v>
      </x:c>
      <x:c r="N163" s="54" t="n">
        <x:f>MAX(K163-L163,0)</x:f>
        <x:v>0</x:v>
      </x:c>
      <x:c r="O163" s="52" t="n">
        <x:v>0.03</x:v>
      </x:c>
      <x:c r="P163" s="54" t="n">
        <x:f>MIN(N163,ROUND(N163*O163,0))</x:f>
        <x:v>0</x:v>
      </x:c>
      <x:c r="Q163" s="54" t="n">
        <x:f>N163-P163</x:f>
        <x:v>0</x:v>
      </x:c>
      <x:c r="R163" s="54" t="n">
        <x:v>116</x:v>
      </x:c>
      <x:c r="S163" s="54" t="n">
        <x:f>MIN(F163,MAX(0,ROUND(D163+R163-V163,0)))</x:f>
        <x:v>1079</x:v>
      </x:c>
      <x:c r="T163" s="52" t="n">
        <x:v>0.9906333704804697</x:v>
      </x:c>
      <x:c r="U163" s="54" t="n">
        <x:f>MIN(F163,MAX(0,ROUND(S163*T163,0)))</x:f>
        <x:v>1069</x:v>
      </x:c>
      <x:c r="V163" s="54" t="n">
        <x:f>AB158</x:f>
        <x:v>0</x:v>
      </x:c>
      <x:c r="W163" s="54" t="n">
        <x:f>U163+V163</x:f>
        <x:v>1069</x:v>
      </x:c>
      <x:c r="X163" s="54" t="n">
        <x:f>MIN(E163,W163)</x:f>
        <x:v>1069</x:v>
      </x:c>
      <x:c r="Y163" s="54" t="n">
        <x:f>MAX(E163-W163,0)</x:f>
        <x:v>18</x:v>
      </x:c>
      <x:c r="Z163" s="54" t="n">
        <x:f>MAX(W163-X163,0)</x:f>
        <x:v>0</x:v>
      </x:c>
      <x:c r="AA163" s="54" t="n">
        <x:f>MIN(Z163,ROUND(Z163*O163,0))</x:f>
        <x:v>0</x:v>
      </x:c>
      <x:c r="AB163" s="54" t="n">
        <x:f>Z163-AA163</x:f>
        <x:v>0</x:v>
      </x:c>
      <x:c r="AC163" s="52" t="n">
        <x:f>IFERROR(ABS(E163-D163)/E163,0)</x:f>
        <x:v>0.1140754369825207</x:v>
      </x:c>
      <x:c r="AD163" s="52" t="n">
        <x:f>IFERROR(L163/E163,1)</x:f>
        <x:v>0.8730450781968722</x:v>
      </x:c>
      <x:c r="AE163" s="52" t="n">
        <x:f>IFERROR(X163/E163,1)</x:f>
        <x:v>0.983440662373505</x:v>
      </x:c>
      <x:c r="AF163" s="52" t="n">
        <x:f>IFERROR(I163/F163,0)</x:f>
        <x:v>0.7908333333333334</x:v>
      </x:c>
      <x:c r="AG163" s="52" t="n">
        <x:f>IFERROR(U163/F163,0)</x:f>
        <x:v>0.8908333333333334</x:v>
      </x:c>
    </x:row>
    <x:row r="164">
      <x:c r="A164" s="50" t="n">
        <x:v>46194</x:v>
      </x:c>
      <x:c r="B164" s="48" t="str">
        <x:v>Curd</x:v>
      </x:c>
      <x:c r="C164" s="48" t="n">
        <x:v>7</x:v>
      </x:c>
      <x:c r="D164" s="54" t="n">
        <x:v>586</x:v>
      </x:c>
      <x:c r="E164" s="54" t="n">
        <x:v>650</x:v>
      </x:c>
      <x:c r="F164" s="54" t="n">
        <x:v>700</x:v>
      </x:c>
      <x:c r="G164" s="54" t="n">
        <x:f>ROUND(D164*0.97,0)</x:f>
        <x:v>568</x:v>
      </x:c>
      <x:c r="H164" s="52" t="n">
        <x:v>0.9991744404539827</x:v>
      </x:c>
      <x:c r="I164" s="54" t="n">
        <x:f>MIN(F164,ROUND(G164*H164,0))</x:f>
        <x:v>568</x:v>
      </x:c>
      <x:c r="J164" s="54" t="n">
        <x:f>Q159</x:f>
        <x:v>70</x:v>
      </x:c>
      <x:c r="K164" s="54" t="n">
        <x:f>I164+J164</x:f>
        <x:v>638</x:v>
      </x:c>
      <x:c r="L164" s="54" t="n">
        <x:f>MIN(E164,K164)</x:f>
        <x:v>638</x:v>
      </x:c>
      <x:c r="M164" s="54" t="n">
        <x:f>MAX(E164-K164,0)</x:f>
        <x:v>12</x:v>
      </x:c>
      <x:c r="N164" s="54" t="n">
        <x:f>MAX(K164-L164,0)</x:f>
        <x:v>0</x:v>
      </x:c>
      <x:c r="O164" s="52" t="n">
        <x:v>0.018</x:v>
      </x:c>
      <x:c r="P164" s="54" t="n">
        <x:f>MIN(N164,ROUND(N164*O164,0))</x:f>
        <x:v>0</x:v>
      </x:c>
      <x:c r="Q164" s="54" t="n">
        <x:f>N164-P164</x:f>
        <x:v>0</x:v>
      </x:c>
      <x:c r="R164" s="54" t="n">
        <x:v>105</x:v>
      </x:c>
      <x:c r="S164" s="54" t="n">
        <x:f>MIN(F164,MAX(0,ROUND(D164+R164-V164,0)))</x:f>
        <x:v>522</x:v>
      </x:c>
      <x:c r="T164" s="52" t="n">
        <x:v>1.0156426657124793</x:v>
      </x:c>
      <x:c r="U164" s="54" t="n">
        <x:f>MIN(F164,MAX(0,ROUND(S164*T164,0)))</x:f>
        <x:v>530</x:v>
      </x:c>
      <x:c r="V164" s="54" t="n">
        <x:f>AB159</x:f>
        <x:v>169</x:v>
      </x:c>
      <x:c r="W164" s="54" t="n">
        <x:f>U164+V164</x:f>
        <x:v>699</x:v>
      </x:c>
      <x:c r="X164" s="54" t="n">
        <x:f>MIN(E164,W164)</x:f>
        <x:v>650</x:v>
      </x:c>
      <x:c r="Y164" s="54" t="n">
        <x:f>MAX(E164-W164,0)</x:f>
        <x:v>0</x:v>
      </x:c>
      <x:c r="Z164" s="54" t="n">
        <x:f>MAX(W164-X164,0)</x:f>
        <x:v>49</x:v>
      </x:c>
      <x:c r="AA164" s="54" t="n">
        <x:f>MIN(Z164,ROUND(Z164*O164,0))</x:f>
        <x:v>1</x:v>
      </x:c>
      <x:c r="AB164" s="54" t="n">
        <x:f>Z164-AA164</x:f>
        <x:v>48</x:v>
      </x:c>
      <x:c r="AC164" s="52" t="n">
        <x:f>IFERROR(ABS(E164-D164)/E164,0)</x:f>
        <x:v>0.09846153846153846</x:v>
      </x:c>
      <x:c r="AD164" s="52" t="n">
        <x:f>IFERROR(L164/E164,1)</x:f>
        <x:v>0.9815384615384616</x:v>
      </x:c>
      <x:c r="AE164" s="52" t="n">
        <x:f>IFERROR(X164/E164,1)</x:f>
        <x:v>1</x:v>
      </x:c>
      <x:c r="AF164" s="52" t="n">
        <x:f>IFERROR(I164/F164,0)</x:f>
        <x:v>0.8114285714285714</x:v>
      </x:c>
      <x:c r="AG164" s="52" t="n">
        <x:f>IFERROR(U164/F164,0)</x:f>
        <x:v>0.7571428571428571</x:v>
      </x:c>
    </x:row>
    <x:row r="165">
      <x:c r="A165" s="50" t="n">
        <x:v>46194</x:v>
      </x:c>
      <x:c r="B165" s="48" t="str">
        <x:v>Lassi</x:v>
      </x:c>
      <x:c r="C165" s="48" t="n">
        <x:v>7</x:v>
      </x:c>
      <x:c r="D165" s="54" t="n">
        <x:v>469</x:v>
      </x:c>
      <x:c r="E165" s="54" t="n">
        <x:v>493</x:v>
      </x:c>
      <x:c r="F165" s="54" t="n">
        <x:v>560</x:v>
      </x:c>
      <x:c r="G165" s="54" t="n">
        <x:f>ROUND(D165*0.97,0)</x:f>
        <x:v>455</x:v>
      </x:c>
      <x:c r="H165" s="52" t="n">
        <x:v>0.9819047075967711</x:v>
      </x:c>
      <x:c r="I165" s="54" t="n">
        <x:f>MIN(F165,ROUND(G165*H165,0))</x:f>
        <x:v>447</x:v>
      </x:c>
      <x:c r="J165" s="54" t="n">
        <x:f>Q160</x:f>
        <x:v>73</x:v>
      </x:c>
      <x:c r="K165" s="54" t="n">
        <x:f>I165+J165</x:f>
        <x:v>520</x:v>
      </x:c>
      <x:c r="L165" s="54" t="n">
        <x:f>MIN(E165,K165)</x:f>
        <x:v>493</x:v>
      </x:c>
      <x:c r="M165" s="54" t="n">
        <x:f>MAX(E165-K165,0)</x:f>
        <x:v>0</x:v>
      </x:c>
      <x:c r="N165" s="54" t="n">
        <x:f>MAX(K165-L165,0)</x:f>
        <x:v>27</x:v>
      </x:c>
      <x:c r="O165" s="52" t="n">
        <x:v>0.02</x:v>
      </x:c>
      <x:c r="P165" s="54" t="n">
        <x:f>MIN(N165,ROUND(N165*O165,0))</x:f>
        <x:v>1</x:v>
      </x:c>
      <x:c r="Q165" s="54" t="n">
        <x:f>N165-P165</x:f>
        <x:v>26</x:v>
      </x:c>
      <x:c r="R165" s="54" t="n">
        <x:v>84</x:v>
      </x:c>
      <x:c r="S165" s="54" t="n">
        <x:f>MIN(F165,MAX(0,ROUND(D165+R165-V165,0)))</x:f>
        <x:v>395</x:v>
      </x:c>
      <x:c r="T165" s="52" t="n">
        <x:v>1.0145551336460084</x:v>
      </x:c>
      <x:c r="U165" s="54" t="n">
        <x:f>MIN(F165,MAX(0,ROUND(S165*T165,0)))</x:f>
        <x:v>401</x:v>
      </x:c>
      <x:c r="V165" s="54" t="n">
        <x:f>AB160</x:f>
        <x:v>158</x:v>
      </x:c>
      <x:c r="W165" s="54" t="n">
        <x:f>U165+V165</x:f>
        <x:v>559</x:v>
      </x:c>
      <x:c r="X165" s="54" t="n">
        <x:f>MIN(E165,W165)</x:f>
        <x:v>493</x:v>
      </x:c>
      <x:c r="Y165" s="54" t="n">
        <x:f>MAX(E165-W165,0)</x:f>
        <x:v>0</x:v>
      </x:c>
      <x:c r="Z165" s="54" t="n">
        <x:f>MAX(W165-X165,0)</x:f>
        <x:v>66</x:v>
      </x:c>
      <x:c r="AA165" s="54" t="n">
        <x:f>MIN(Z165,ROUND(Z165*O165,0))</x:f>
        <x:v>1</x:v>
      </x:c>
      <x:c r="AB165" s="54" t="n">
        <x:f>Z165-AA165</x:f>
        <x:v>65</x:v>
      </x:c>
      <x:c r="AC165" s="52" t="n">
        <x:f>IFERROR(ABS(E165-D165)/E165,0)</x:f>
        <x:v>0.0486815415821501</x:v>
      </x:c>
      <x:c r="AD165" s="52" t="n">
        <x:f>IFERROR(L165/E165,1)</x:f>
        <x:v>1</x:v>
      </x:c>
      <x:c r="AE165" s="52" t="n">
        <x:f>IFERROR(X165/E165,1)</x:f>
        <x:v>1</x:v>
      </x:c>
      <x:c r="AF165" s="52" t="n">
        <x:f>IFERROR(I165/F165,0)</x:f>
        <x:v>0.7982142857142858</x:v>
      </x:c>
      <x:c r="AG165" s="52" t="n">
        <x:f>IFERROR(U165/F165,0)</x:f>
        <x:v>0.7160714285714286</x:v>
      </x:c>
    </x:row>
    <x:row r="166">
      <x:c r="A166" s="50" t="n">
        <x:v>46194</x:v>
      </x:c>
      <x:c r="B166" s="48" t="str">
        <x:v>Paneer</x:v>
      </x:c>
      <x:c r="C166" s="48" t="n">
        <x:v>5</x:v>
      </x:c>
      <x:c r="D166" s="54" t="n">
        <x:v>186</x:v>
      </x:c>
      <x:c r="E166" s="54" t="n">
        <x:v>181</x:v>
      </x:c>
      <x:c r="F166" s="54" t="n">
        <x:v>230</x:v>
      </x:c>
      <x:c r="G166" s="54" t="n">
        <x:f>ROUND(D166*0.97,0)</x:f>
        <x:v>180</x:v>
      </x:c>
      <x:c r="H166" s="52" t="n">
        <x:v>1.0032456638772467</x:v>
      </x:c>
      <x:c r="I166" s="54" t="n">
        <x:f>MIN(F166,ROUND(G166*H166,0))</x:f>
        <x:v>181</x:v>
      </x:c>
      <x:c r="J166" s="54" t="n">
        <x:f>Q161</x:f>
        <x:v>0</x:v>
      </x:c>
      <x:c r="K166" s="54" t="n">
        <x:f>I166+J166</x:f>
        <x:v>181</x:v>
      </x:c>
      <x:c r="L166" s="54" t="n">
        <x:f>MIN(E166,K166)</x:f>
        <x:v>181</x:v>
      </x:c>
      <x:c r="M166" s="54" t="n">
        <x:f>MAX(E166-K166,0)</x:f>
        <x:v>0</x:v>
      </x:c>
      <x:c r="N166" s="54" t="n">
        <x:f>MAX(K166-L166,0)</x:f>
        <x:v>0</x:v>
      </x:c>
      <x:c r="O166" s="52" t="n">
        <x:v>0.025</x:v>
      </x:c>
      <x:c r="P166" s="54" t="n">
        <x:f>MIN(N166,ROUND(N166*O166,0))</x:f>
        <x:v>0</x:v>
      </x:c>
      <x:c r="Q166" s="54" t="n">
        <x:f>N166-P166</x:f>
        <x:v>0</x:v>
      </x:c>
      <x:c r="R166" s="54" t="n">
        <x:v>37</x:v>
      </x:c>
      <x:c r="S166" s="54" t="n">
        <x:f>MIN(F166,MAX(0,ROUND(D166+R166-V166,0)))</x:f>
        <x:v>196</x:v>
      </x:c>
      <x:c r="T166" s="52" t="n">
        <x:v>0.9915019715890551</x:v>
      </x:c>
      <x:c r="U166" s="54" t="n">
        <x:f>MIN(F166,MAX(0,ROUND(S166*T166,0)))</x:f>
        <x:v>194</x:v>
      </x:c>
      <x:c r="V166" s="54" t="n">
        <x:f>AB161</x:f>
        <x:v>27</x:v>
      </x:c>
      <x:c r="W166" s="54" t="n">
        <x:f>U166+V166</x:f>
        <x:v>221</x:v>
      </x:c>
      <x:c r="X166" s="54" t="n">
        <x:f>MIN(E166,W166)</x:f>
        <x:v>181</x:v>
      </x:c>
      <x:c r="Y166" s="54" t="n">
        <x:f>MAX(E166-W166,0)</x:f>
        <x:v>0</x:v>
      </x:c>
      <x:c r="Z166" s="54" t="n">
        <x:f>MAX(W166-X166,0)</x:f>
        <x:v>40</x:v>
      </x:c>
      <x:c r="AA166" s="54" t="n">
        <x:f>MIN(Z166,ROUND(Z166*O166,0))</x:f>
        <x:v>1</x:v>
      </x:c>
      <x:c r="AB166" s="54" t="n">
        <x:f>Z166-AA166</x:f>
        <x:v>39</x:v>
      </x:c>
      <x:c r="AC166" s="52" t="n">
        <x:f>IFERROR(ABS(E166-D166)/E166,0)</x:f>
        <x:v>0.027624309392265192</x:v>
      </x:c>
      <x:c r="AD166" s="52" t="n">
        <x:f>IFERROR(L166/E166,1)</x:f>
        <x:v>1</x:v>
      </x:c>
      <x:c r="AE166" s="52" t="n">
        <x:f>IFERROR(X166/E166,1)</x:f>
        <x:v>1</x:v>
      </x:c>
      <x:c r="AF166" s="52" t="n">
        <x:f>IFERROR(I166/F166,0)</x:f>
        <x:v>0.7869565217391304</x:v>
      </x:c>
      <x:c r="AG166" s="52" t="n">
        <x:f>IFERROR(U166/F166,0)</x:f>
        <x:v>0.8434782608695652</x:v>
      </x:c>
    </x:row>
    <x:row r="167">
      <x:c r="A167" s="50" t="n">
        <x:v>46195</x:v>
      </x:c>
      <x:c r="B167" s="48" t="str">
        <x:v>Toned Milk</x:v>
      </x:c>
      <x:c r="C167" s="48" t="n">
        <x:v>2</x:v>
      </x:c>
      <x:c r="D167" s="54" t="n">
        <x:v>1651</x:v>
      </x:c>
      <x:c r="E167" s="54" t="n">
        <x:v>1625</x:v>
      </x:c>
      <x:c r="F167" s="54" t="n">
        <x:v>2250</x:v>
      </x:c>
      <x:c r="G167" s="54" t="n">
        <x:f>ROUND(D167*0.97,0)</x:f>
        <x:v>1601</x:v>
      </x:c>
      <x:c r="H167" s="52" t="n">
        <x:v>0.9922467869852678</x:v>
      </x:c>
      <x:c r="I167" s="54" t="n">
        <x:f>MIN(F167,ROUND(G167*H167,0))</x:f>
        <x:v>1589</x:v>
      </x:c>
      <x:c r="J167" s="54" t="n">
        <x:f>Q162</x:f>
        <x:v>584</x:v>
      </x:c>
      <x:c r="K167" s="54" t="n">
        <x:f>I167+J167</x:f>
        <x:v>2173</x:v>
      </x:c>
      <x:c r="L167" s="54" t="n">
        <x:f>MIN(E167,K167)</x:f>
        <x:v>1625</x:v>
      </x:c>
      <x:c r="M167" s="54" t="n">
        <x:f>MAX(E167-K167,0)</x:f>
        <x:v>0</x:v>
      </x:c>
      <x:c r="N167" s="54" t="n">
        <x:f>MAX(K167-L167,0)</x:f>
        <x:v>548</x:v>
      </x:c>
      <x:c r="O167" s="52" t="n">
        <x:v>0.025</x:v>
      </x:c>
      <x:c r="P167" s="54" t="n">
        <x:f>MIN(N167,ROUND(N167*O167,0))</x:f>
        <x:v>14</x:v>
      </x:c>
      <x:c r="Q167" s="54" t="n">
        <x:f>N167-P167</x:f>
        <x:v>534</x:v>
      </x:c>
      <x:c r="R167" s="54" t="n">
        <x:v>198</x:v>
      </x:c>
      <x:c r="S167" s="54" t="n">
        <x:f>MIN(F167,MAX(0,ROUND(D167+R167-V167,0)))</x:f>
        <x:v>1305</x:v>
      </x:c>
      <x:c r="T167" s="52" t="n">
        <x:v>1.0104819817368846</x:v>
      </x:c>
      <x:c r="U167" s="54" t="n">
        <x:f>MIN(F167,MAX(0,ROUND(S167*T167,0)))</x:f>
        <x:v>1319</x:v>
      </x:c>
      <x:c r="V167" s="54" t="n">
        <x:f>AB162</x:f>
        <x:v>544</x:v>
      </x:c>
      <x:c r="W167" s="54" t="n">
        <x:f>U167+V167</x:f>
        <x:v>1863</x:v>
      </x:c>
      <x:c r="X167" s="54" t="n">
        <x:f>MIN(E167,W167)</x:f>
        <x:v>1625</x:v>
      </x:c>
      <x:c r="Y167" s="54" t="n">
        <x:f>MAX(E167-W167,0)</x:f>
        <x:v>0</x:v>
      </x:c>
      <x:c r="Z167" s="54" t="n">
        <x:f>MAX(W167-X167,0)</x:f>
        <x:v>238</x:v>
      </x:c>
      <x:c r="AA167" s="54" t="n">
        <x:f>MIN(Z167,ROUND(Z167*O167,0))</x:f>
        <x:v>6</x:v>
      </x:c>
      <x:c r="AB167" s="54" t="n">
        <x:f>Z167-AA167</x:f>
        <x:v>232</x:v>
      </x:c>
      <x:c r="AC167" s="52" t="n">
        <x:f>IFERROR(ABS(E167-D167)/E167,0)</x:f>
        <x:v>0.016</x:v>
      </x:c>
      <x:c r="AD167" s="52" t="n">
        <x:f>IFERROR(L167/E167,1)</x:f>
        <x:v>1</x:v>
      </x:c>
      <x:c r="AE167" s="52" t="n">
        <x:f>IFERROR(X167/E167,1)</x:f>
        <x:v>1</x:v>
      </x:c>
      <x:c r="AF167" s="52" t="n">
        <x:f>IFERROR(I167/F167,0)</x:f>
        <x:v>0.7062222222222222</x:v>
      </x:c>
      <x:c r="AG167" s="52" t="n">
        <x:f>IFERROR(U167/F167,0)</x:f>
        <x:v>0.5862222222222222</x:v>
      </x:c>
    </x:row>
    <x:row r="168">
      <x:c r="A168" s="50" t="n">
        <x:v>46195</x:v>
      </x:c>
      <x:c r="B168" s="48" t="str">
        <x:v>Full Cream Milk</x:v>
      </x:c>
      <x:c r="C168" s="48" t="n">
        <x:v>2</x:v>
      </x:c>
      <x:c r="D168" s="54" t="n">
        <x:v>817</x:v>
      </x:c>
      <x:c r="E168" s="54" t="n">
        <x:v>813</x:v>
      </x:c>
      <x:c r="F168" s="54" t="n">
        <x:v>1200</x:v>
      </x:c>
      <x:c r="G168" s="54" t="n">
        <x:f>ROUND(D168*0.97,0)</x:f>
        <x:v>792</x:v>
      </x:c>
      <x:c r="H168" s="52" t="n">
        <x:v>1.0162960794521856</x:v>
      </x:c>
      <x:c r="I168" s="54" t="n">
        <x:f>MIN(F168,ROUND(G168*H168,0))</x:f>
        <x:v>805</x:v>
      </x:c>
      <x:c r="J168" s="54" t="n">
        <x:f>Q163</x:f>
        <x:v>0</x:v>
      </x:c>
      <x:c r="K168" s="54" t="n">
        <x:f>I168+J168</x:f>
        <x:v>805</x:v>
      </x:c>
      <x:c r="L168" s="54" t="n">
        <x:f>MIN(E168,K168)</x:f>
        <x:v>805</x:v>
      </x:c>
      <x:c r="M168" s="54" t="n">
        <x:f>MAX(E168-K168,0)</x:f>
        <x:v>8</x:v>
      </x:c>
      <x:c r="N168" s="54" t="n">
        <x:f>MAX(K168-L168,0)</x:f>
        <x:v>0</x:v>
      </x:c>
      <x:c r="O168" s="52" t="n">
        <x:v>0.03</x:v>
      </x:c>
      <x:c r="P168" s="54" t="n">
        <x:f>MIN(N168,ROUND(N168*O168,0))</x:f>
        <x:v>0</x:v>
      </x:c>
      <x:c r="Q168" s="54" t="n">
        <x:f>N168-P168</x:f>
        <x:v>0</x:v>
      </x:c>
      <x:c r="R168" s="54" t="n">
        <x:v>98</x:v>
      </x:c>
      <x:c r="S168" s="54" t="n">
        <x:f>MIN(F168,MAX(0,ROUND(D168+R168-V168,0)))</x:f>
        <x:v>915</x:v>
      </x:c>
      <x:c r="T168" s="52" t="n">
        <x:v>1.0099186331750223</x:v>
      </x:c>
      <x:c r="U168" s="54" t="n">
        <x:f>MIN(F168,MAX(0,ROUND(S168*T168,0)))</x:f>
        <x:v>924</x:v>
      </x:c>
      <x:c r="V168" s="54" t="n">
        <x:f>AB163</x:f>
        <x:v>0</x:v>
      </x:c>
      <x:c r="W168" s="54" t="n">
        <x:f>U168+V168</x:f>
        <x:v>924</x:v>
      </x:c>
      <x:c r="X168" s="54" t="n">
        <x:f>MIN(E168,W168)</x:f>
        <x:v>813</x:v>
      </x:c>
      <x:c r="Y168" s="54" t="n">
        <x:f>MAX(E168-W168,0)</x:f>
        <x:v>0</x:v>
      </x:c>
      <x:c r="Z168" s="54" t="n">
        <x:f>MAX(W168-X168,0)</x:f>
        <x:v>111</x:v>
      </x:c>
      <x:c r="AA168" s="54" t="n">
        <x:f>MIN(Z168,ROUND(Z168*O168,0))</x:f>
        <x:v>3</x:v>
      </x:c>
      <x:c r="AB168" s="54" t="n">
        <x:f>Z168-AA168</x:f>
        <x:v>108</x:v>
      </x:c>
      <x:c r="AC168" s="52" t="n">
        <x:f>IFERROR(ABS(E168-D168)/E168,0)</x:f>
        <x:v>0.004920049200492005</x:v>
      </x:c>
      <x:c r="AD168" s="52" t="n">
        <x:f>IFERROR(L168/E168,1)</x:f>
        <x:v>0.990159901599016</x:v>
      </x:c>
      <x:c r="AE168" s="52" t="n">
        <x:f>IFERROR(X168/E168,1)</x:f>
        <x:v>1</x:v>
      </x:c>
      <x:c r="AF168" s="52" t="n">
        <x:f>IFERROR(I168/F168,0)</x:f>
        <x:v>0.6708333333333333</x:v>
      </x:c>
      <x:c r="AG168" s="52" t="n">
        <x:f>IFERROR(U168/F168,0)</x:f>
        <x:v>0.77</x:v>
      </x:c>
    </x:row>
    <x:row r="169">
      <x:c r="A169" s="50" t="n">
        <x:v>46195</x:v>
      </x:c>
      <x:c r="B169" s="48" t="str">
        <x:v>Curd</x:v>
      </x:c>
      <x:c r="C169" s="48" t="n">
        <x:v>7</x:v>
      </x:c>
      <x:c r="D169" s="54" t="n">
        <x:v>470</x:v>
      </x:c>
      <x:c r="E169" s="54" t="n">
        <x:v>403</x:v>
      </x:c>
      <x:c r="F169" s="54" t="n">
        <x:v>700</x:v>
      </x:c>
      <x:c r="G169" s="54" t="n">
        <x:f>ROUND(D169*0.97,0)</x:f>
        <x:v>456</x:v>
      </x:c>
      <x:c r="H169" s="52" t="n">
        <x:v>0.993196977557291</x:v>
      </x:c>
      <x:c r="I169" s="54" t="n">
        <x:f>MIN(F169,ROUND(G169*H169,0))</x:f>
        <x:v>453</x:v>
      </x:c>
      <x:c r="J169" s="54" t="n">
        <x:f>Q164</x:f>
        <x:v>0</x:v>
      </x:c>
      <x:c r="K169" s="54" t="n">
        <x:f>I169+J169</x:f>
        <x:v>453</x:v>
      </x:c>
      <x:c r="L169" s="54" t="n">
        <x:f>MIN(E169,K169)</x:f>
        <x:v>403</x:v>
      </x:c>
      <x:c r="M169" s="54" t="n">
        <x:f>MAX(E169-K169,0)</x:f>
        <x:v>0</x:v>
      </x:c>
      <x:c r="N169" s="54" t="n">
        <x:f>MAX(K169-L169,0)</x:f>
        <x:v>50</x:v>
      </x:c>
      <x:c r="O169" s="52" t="n">
        <x:v>0.018</x:v>
      </x:c>
      <x:c r="P169" s="54" t="n">
        <x:f>MIN(N169,ROUND(N169*O169,0))</x:f>
        <x:v>1</x:v>
      </x:c>
      <x:c r="Q169" s="54" t="n">
        <x:f>N169-P169</x:f>
        <x:v>49</x:v>
      </x:c>
      <x:c r="R169" s="54" t="n">
        <x:v>85</x:v>
      </x:c>
      <x:c r="S169" s="54" t="n">
        <x:f>MIN(F169,MAX(0,ROUND(D169+R169-V169,0)))</x:f>
        <x:v>507</x:v>
      </x:c>
      <x:c r="T169" s="52" t="n">
        <x:v>1.004760650996581</x:v>
      </x:c>
      <x:c r="U169" s="54" t="n">
        <x:f>MIN(F169,MAX(0,ROUND(S169*T169,0)))</x:f>
        <x:v>509</x:v>
      </x:c>
      <x:c r="V169" s="54" t="n">
        <x:f>AB164</x:f>
        <x:v>48</x:v>
      </x:c>
      <x:c r="W169" s="54" t="n">
        <x:f>U169+V169</x:f>
        <x:v>557</x:v>
      </x:c>
      <x:c r="X169" s="54" t="n">
        <x:f>MIN(E169,W169)</x:f>
        <x:v>403</x:v>
      </x:c>
      <x:c r="Y169" s="54" t="n">
        <x:f>MAX(E169-W169,0)</x:f>
        <x:v>0</x:v>
      </x:c>
      <x:c r="Z169" s="54" t="n">
        <x:f>MAX(W169-X169,0)</x:f>
        <x:v>154</x:v>
      </x:c>
      <x:c r="AA169" s="54" t="n">
        <x:f>MIN(Z169,ROUND(Z169*O169,0))</x:f>
        <x:v>3</x:v>
      </x:c>
      <x:c r="AB169" s="54" t="n">
        <x:f>Z169-AA169</x:f>
        <x:v>151</x:v>
      </x:c>
      <x:c r="AC169" s="52" t="n">
        <x:f>IFERROR(ABS(E169-D169)/E169,0)</x:f>
        <x:v>0.1662531017369727</x:v>
      </x:c>
      <x:c r="AD169" s="52" t="n">
        <x:f>IFERROR(L169/E169,1)</x:f>
        <x:v>1</x:v>
      </x:c>
      <x:c r="AE169" s="52" t="n">
        <x:f>IFERROR(X169/E169,1)</x:f>
        <x:v>1</x:v>
      </x:c>
      <x:c r="AF169" s="52" t="n">
        <x:f>IFERROR(I169/F169,0)</x:f>
        <x:v>0.6471428571428571</x:v>
      </x:c>
      <x:c r="AG169" s="52" t="n">
        <x:f>IFERROR(U169/F169,0)</x:f>
        <x:v>0.7271428571428571</x:v>
      </x:c>
    </x:row>
    <x:row r="170">
      <x:c r="A170" s="50" t="n">
        <x:v>46195</x:v>
      </x:c>
      <x:c r="B170" s="48" t="str">
        <x:v>Lassi</x:v>
      </x:c>
      <x:c r="C170" s="48" t="n">
        <x:v>7</x:v>
      </x:c>
      <x:c r="D170" s="54" t="n">
        <x:v>364</x:v>
      </x:c>
      <x:c r="E170" s="54" t="n">
        <x:v>419</x:v>
      </x:c>
      <x:c r="F170" s="54" t="n">
        <x:v>560</x:v>
      </x:c>
      <x:c r="G170" s="54" t="n">
        <x:f>ROUND(D170*0.97,0)</x:f>
        <x:v>353</x:v>
      </x:c>
      <x:c r="H170" s="52" t="n">
        <x:v>1.013294321628116</x:v>
      </x:c>
      <x:c r="I170" s="54" t="n">
        <x:f>MIN(F170,ROUND(G170*H170,0))</x:f>
        <x:v>358</x:v>
      </x:c>
      <x:c r="J170" s="54" t="n">
        <x:f>Q165</x:f>
        <x:v>26</x:v>
      </x:c>
      <x:c r="K170" s="54" t="n">
        <x:f>I170+J170</x:f>
        <x:v>384</x:v>
      </x:c>
      <x:c r="L170" s="54" t="n">
        <x:f>MIN(E170,K170)</x:f>
        <x:v>384</x:v>
      </x:c>
      <x:c r="M170" s="54" t="n">
        <x:f>MAX(E170-K170,0)</x:f>
        <x:v>35</x:v>
      </x:c>
      <x:c r="N170" s="54" t="n">
        <x:f>MAX(K170-L170,0)</x:f>
        <x:v>0</x:v>
      </x:c>
      <x:c r="O170" s="52" t="n">
        <x:v>0.02</x:v>
      </x:c>
      <x:c r="P170" s="54" t="n">
        <x:f>MIN(N170,ROUND(N170*O170,0))</x:f>
        <x:v>0</x:v>
      </x:c>
      <x:c r="Q170" s="54" t="n">
        <x:f>N170-P170</x:f>
        <x:v>0</x:v>
      </x:c>
      <x:c r="R170" s="54" t="n">
        <x:v>66</x:v>
      </x:c>
      <x:c r="S170" s="54" t="n">
        <x:f>MIN(F170,MAX(0,ROUND(D170+R170-V170,0)))</x:f>
        <x:v>365</x:v>
      </x:c>
      <x:c r="T170" s="52" t="n">
        <x:v>0.9825500089587683</x:v>
      </x:c>
      <x:c r="U170" s="54" t="n">
        <x:f>MIN(F170,MAX(0,ROUND(S170*T170,0)))</x:f>
        <x:v>359</x:v>
      </x:c>
      <x:c r="V170" s="54" t="n">
        <x:f>AB165</x:f>
        <x:v>65</x:v>
      </x:c>
      <x:c r="W170" s="54" t="n">
        <x:f>U170+V170</x:f>
        <x:v>424</x:v>
      </x:c>
      <x:c r="X170" s="54" t="n">
        <x:f>MIN(E170,W170)</x:f>
        <x:v>419</x:v>
      </x:c>
      <x:c r="Y170" s="54" t="n">
        <x:f>MAX(E170-W170,0)</x:f>
        <x:v>0</x:v>
      </x:c>
      <x:c r="Z170" s="54" t="n">
        <x:f>MAX(W170-X170,0)</x:f>
        <x:v>5</x:v>
      </x:c>
      <x:c r="AA170" s="54" t="n">
        <x:f>MIN(Z170,ROUND(Z170*O170,0))</x:f>
        <x:v>0</x:v>
      </x:c>
      <x:c r="AB170" s="54" t="n">
        <x:f>Z170-AA170</x:f>
        <x:v>5</x:v>
      </x:c>
      <x:c r="AC170" s="52" t="n">
        <x:f>IFERROR(ABS(E170-D170)/E170,0)</x:f>
        <x:v>0.13126491646778043</x:v>
      </x:c>
      <x:c r="AD170" s="52" t="n">
        <x:f>IFERROR(L170/E170,1)</x:f>
        <x:v>0.9164677804295943</x:v>
      </x:c>
      <x:c r="AE170" s="52" t="n">
        <x:f>IFERROR(X170/E170,1)</x:f>
        <x:v>1</x:v>
      </x:c>
      <x:c r="AF170" s="52" t="n">
        <x:f>IFERROR(I170/F170,0)</x:f>
        <x:v>0.6392857142857142</x:v>
      </x:c>
      <x:c r="AG170" s="52" t="n">
        <x:f>IFERROR(U170/F170,0)</x:f>
        <x:v>0.6410714285714286</x:v>
      </x:c>
    </x:row>
    <x:row r="171">
      <x:c r="A171" s="50" t="n">
        <x:v>46195</x:v>
      </x:c>
      <x:c r="B171" s="48" t="str">
        <x:v>Paneer</x:v>
      </x:c>
      <x:c r="C171" s="48" t="n">
        <x:v>5</x:v>
      </x:c>
      <x:c r="D171" s="54" t="n">
        <x:v>149</x:v>
      </x:c>
      <x:c r="E171" s="54" t="n">
        <x:v>144</x:v>
      </x:c>
      <x:c r="F171" s="54" t="n">
        <x:v>230</x:v>
      </x:c>
      <x:c r="G171" s="54" t="n">
        <x:f>ROUND(D171*0.97,0)</x:f>
        <x:v>145</x:v>
      </x:c>
      <x:c r="H171" s="52" t="n">
        <x:v>1.0019151888339999</x:v>
      </x:c>
      <x:c r="I171" s="54" t="n">
        <x:f>MIN(F171,ROUND(G171*H171,0))</x:f>
        <x:v>145</x:v>
      </x:c>
      <x:c r="J171" s="54" t="n">
        <x:f>Q166</x:f>
        <x:v>0</x:v>
      </x:c>
      <x:c r="K171" s="54" t="n">
        <x:f>I171+J171</x:f>
        <x:v>145</x:v>
      </x:c>
      <x:c r="L171" s="54" t="n">
        <x:f>MIN(E171,K171)</x:f>
        <x:v>144</x:v>
      </x:c>
      <x:c r="M171" s="54" t="n">
        <x:f>MAX(E171-K171,0)</x:f>
        <x:v>0</x:v>
      </x:c>
      <x:c r="N171" s="54" t="n">
        <x:f>MAX(K171-L171,0)</x:f>
        <x:v>1</x:v>
      </x:c>
      <x:c r="O171" s="52" t="n">
        <x:v>0.025</x:v>
      </x:c>
      <x:c r="P171" s="54" t="n">
        <x:f>MIN(N171,ROUND(N171*O171,0))</x:f>
        <x:v>0</x:v>
      </x:c>
      <x:c r="Q171" s="54" t="n">
        <x:f>N171-P171</x:f>
        <x:v>1</x:v>
      </x:c>
      <x:c r="R171" s="54" t="n">
        <x:v>30</x:v>
      </x:c>
      <x:c r="S171" s="54" t="n">
        <x:f>MIN(F171,MAX(0,ROUND(D171+R171-V171,0)))</x:f>
        <x:v>140</x:v>
      </x:c>
      <x:c r="T171" s="52" t="n">
        <x:v>0.9921724783964871</x:v>
      </x:c>
      <x:c r="U171" s="54" t="n">
        <x:f>MIN(F171,MAX(0,ROUND(S171*T171,0)))</x:f>
        <x:v>139</x:v>
      </x:c>
      <x:c r="V171" s="54" t="n">
        <x:f>AB166</x:f>
        <x:v>39</x:v>
      </x:c>
      <x:c r="W171" s="54" t="n">
        <x:f>U171+V171</x:f>
        <x:v>178</x:v>
      </x:c>
      <x:c r="X171" s="54" t="n">
        <x:f>MIN(E171,W171)</x:f>
        <x:v>144</x:v>
      </x:c>
      <x:c r="Y171" s="54" t="n">
        <x:f>MAX(E171-W171,0)</x:f>
        <x:v>0</x:v>
      </x:c>
      <x:c r="Z171" s="54" t="n">
        <x:f>MAX(W171-X171,0)</x:f>
        <x:v>34</x:v>
      </x:c>
      <x:c r="AA171" s="54" t="n">
        <x:f>MIN(Z171,ROUND(Z171*O171,0))</x:f>
        <x:v>1</x:v>
      </x:c>
      <x:c r="AB171" s="54" t="n">
        <x:f>Z171-AA171</x:f>
        <x:v>33</x:v>
      </x:c>
      <x:c r="AC171" s="52" t="n">
        <x:f>IFERROR(ABS(E171-D171)/E171,0)</x:f>
        <x:v>0.034722222222222224</x:v>
      </x:c>
      <x:c r="AD171" s="52" t="n">
        <x:f>IFERROR(L171/E171,1)</x:f>
        <x:v>1</x:v>
      </x:c>
      <x:c r="AE171" s="52" t="n">
        <x:f>IFERROR(X171/E171,1)</x:f>
        <x:v>1</x:v>
      </x:c>
      <x:c r="AF171" s="52" t="n">
        <x:f>IFERROR(I171/F171,0)</x:f>
        <x:v>0.6304347826086957</x:v>
      </x:c>
      <x:c r="AG171" s="52" t="n">
        <x:f>IFERROR(U171/F171,0)</x:f>
        <x:v>0.6043478260869565</x:v>
      </x:c>
    </x:row>
    <x:row r="172">
      <x:c r="A172" s="50" t="n">
        <x:v>46196</x:v>
      </x:c>
      <x:c r="B172" s="48" t="str">
        <x:v>Toned Milk</x:v>
      </x:c>
      <x:c r="C172" s="48" t="n">
        <x:v>2</x:v>
      </x:c>
      <x:c r="D172" s="54" t="n">
        <x:v>1686</x:v>
      </x:c>
      <x:c r="E172" s="54" t="n">
        <x:v>1833</x:v>
      </x:c>
      <x:c r="F172" s="54" t="n">
        <x:v>2250</x:v>
      </x:c>
      <x:c r="G172" s="54" t="n">
        <x:f>ROUND(D172*0.97,0)</x:f>
        <x:v>1635</x:v>
      </x:c>
      <x:c r="H172" s="52" t="n">
        <x:v>0.9978309239555224</x:v>
      </x:c>
      <x:c r="I172" s="54" t="n">
        <x:f>MIN(F172,ROUND(G172*H172,0))</x:f>
        <x:v>1631</x:v>
      </x:c>
      <x:c r="J172" s="54" t="n">
        <x:f>Q167</x:f>
        <x:v>534</x:v>
      </x:c>
      <x:c r="K172" s="54" t="n">
        <x:f>I172+J172</x:f>
        <x:v>2165</x:v>
      </x:c>
      <x:c r="L172" s="54" t="n">
        <x:f>MIN(E172,K172)</x:f>
        <x:v>1833</x:v>
      </x:c>
      <x:c r="M172" s="54" t="n">
        <x:f>MAX(E172-K172,0)</x:f>
        <x:v>0</x:v>
      </x:c>
      <x:c r="N172" s="54" t="n">
        <x:f>MAX(K172-L172,0)</x:f>
        <x:v>332</x:v>
      </x:c>
      <x:c r="O172" s="52" t="n">
        <x:v>0.025</x:v>
      </x:c>
      <x:c r="P172" s="54" t="n">
        <x:f>MIN(N172,ROUND(N172*O172,0))</x:f>
        <x:v>8</x:v>
      </x:c>
      <x:c r="Q172" s="54" t="n">
        <x:f>N172-P172</x:f>
        <x:v>324</x:v>
      </x:c>
      <x:c r="R172" s="54" t="n">
        <x:v>202</x:v>
      </x:c>
      <x:c r="S172" s="54" t="n">
        <x:f>MIN(F172,MAX(0,ROUND(D172+R172-V172,0)))</x:f>
        <x:v>1656</x:v>
      </x:c>
      <x:c r="T172" s="52" t="n">
        <x:v>1.0064623747328383</x:v>
      </x:c>
      <x:c r="U172" s="54" t="n">
        <x:f>MIN(F172,MAX(0,ROUND(S172*T172,0)))</x:f>
        <x:v>1667</x:v>
      </x:c>
      <x:c r="V172" s="54" t="n">
        <x:f>AB167</x:f>
        <x:v>232</x:v>
      </x:c>
      <x:c r="W172" s="54" t="n">
        <x:f>U172+V172</x:f>
        <x:v>1899</x:v>
      </x:c>
      <x:c r="X172" s="54" t="n">
        <x:f>MIN(E172,W172)</x:f>
        <x:v>1833</x:v>
      </x:c>
      <x:c r="Y172" s="54" t="n">
        <x:f>MAX(E172-W172,0)</x:f>
        <x:v>0</x:v>
      </x:c>
      <x:c r="Z172" s="54" t="n">
        <x:f>MAX(W172-X172,0)</x:f>
        <x:v>66</x:v>
      </x:c>
      <x:c r="AA172" s="54" t="n">
        <x:f>MIN(Z172,ROUND(Z172*O172,0))</x:f>
        <x:v>2</x:v>
      </x:c>
      <x:c r="AB172" s="54" t="n">
        <x:f>Z172-AA172</x:f>
        <x:v>64</x:v>
      </x:c>
      <x:c r="AC172" s="52" t="n">
        <x:f>IFERROR(ABS(E172-D172)/E172,0)</x:f>
        <x:v>0.08019639934533551</x:v>
      </x:c>
      <x:c r="AD172" s="52" t="n">
        <x:f>IFERROR(L172/E172,1)</x:f>
        <x:v>1</x:v>
      </x:c>
      <x:c r="AE172" s="52" t="n">
        <x:f>IFERROR(X172/E172,1)</x:f>
        <x:v>1</x:v>
      </x:c>
      <x:c r="AF172" s="52" t="n">
        <x:f>IFERROR(I172/F172,0)</x:f>
        <x:v>0.7248888888888889</x:v>
      </x:c>
      <x:c r="AG172" s="52" t="n">
        <x:f>IFERROR(U172/F172,0)</x:f>
        <x:v>0.7408888888888889</x:v>
      </x:c>
    </x:row>
    <x:row r="173">
      <x:c r="A173" s="50" t="n">
        <x:v>46196</x:v>
      </x:c>
      <x:c r="B173" s="48" t="str">
        <x:v>Full Cream Milk</x:v>
      </x:c>
      <x:c r="C173" s="48" t="n">
        <x:v>2</x:v>
      </x:c>
      <x:c r="D173" s="54" t="n">
        <x:v>843</x:v>
      </x:c>
      <x:c r="E173" s="54" t="n">
        <x:v>727</x:v>
      </x:c>
      <x:c r="F173" s="54" t="n">
        <x:v>1200</x:v>
      </x:c>
      <x:c r="G173" s="54" t="n">
        <x:f>ROUND(D173*0.97,0)</x:f>
        <x:v>818</x:v>
      </x:c>
      <x:c r="H173" s="52" t="n">
        <x:v>0.9802315096592437</x:v>
      </x:c>
      <x:c r="I173" s="54" t="n">
        <x:f>MIN(F173,ROUND(G173*H173,0))</x:f>
        <x:v>802</x:v>
      </x:c>
      <x:c r="J173" s="54" t="n">
        <x:f>Q168</x:f>
        <x:v>0</x:v>
      </x:c>
      <x:c r="K173" s="54" t="n">
        <x:f>I173+J173</x:f>
        <x:v>802</x:v>
      </x:c>
      <x:c r="L173" s="54" t="n">
        <x:f>MIN(E173,K173)</x:f>
        <x:v>727</x:v>
      </x:c>
      <x:c r="M173" s="54" t="n">
        <x:f>MAX(E173-K173,0)</x:f>
        <x:v>0</x:v>
      </x:c>
      <x:c r="N173" s="54" t="n">
        <x:f>MAX(K173-L173,0)</x:f>
        <x:v>75</x:v>
      </x:c>
      <x:c r="O173" s="52" t="n">
        <x:v>0.03</x:v>
      </x:c>
      <x:c r="P173" s="54" t="n">
        <x:f>MIN(N173,ROUND(N173*O173,0))</x:f>
        <x:v>2</x:v>
      </x:c>
      <x:c r="Q173" s="54" t="n">
        <x:f>N173-P173</x:f>
        <x:v>73</x:v>
      </x:c>
      <x:c r="R173" s="54" t="n">
        <x:v>101</x:v>
      </x:c>
      <x:c r="S173" s="54" t="n">
        <x:f>MIN(F173,MAX(0,ROUND(D173+R173-V173,0)))</x:f>
        <x:v>836</x:v>
      </x:c>
      <x:c r="T173" s="52" t="n">
        <x:v>1.0099331741314315</x:v>
      </x:c>
      <x:c r="U173" s="54" t="n">
        <x:f>MIN(F173,MAX(0,ROUND(S173*T173,0)))</x:f>
        <x:v>844</x:v>
      </x:c>
      <x:c r="V173" s="54" t="n">
        <x:f>AB168</x:f>
        <x:v>108</x:v>
      </x:c>
      <x:c r="W173" s="54" t="n">
        <x:f>U173+V173</x:f>
        <x:v>952</x:v>
      </x:c>
      <x:c r="X173" s="54" t="n">
        <x:f>MIN(E173,W173)</x:f>
        <x:v>727</x:v>
      </x:c>
      <x:c r="Y173" s="54" t="n">
        <x:f>MAX(E173-W173,0)</x:f>
        <x:v>0</x:v>
      </x:c>
      <x:c r="Z173" s="54" t="n">
        <x:f>MAX(W173-X173,0)</x:f>
        <x:v>225</x:v>
      </x:c>
      <x:c r="AA173" s="54" t="n">
        <x:f>MIN(Z173,ROUND(Z173*O173,0))</x:f>
        <x:v>7</x:v>
      </x:c>
      <x:c r="AB173" s="54" t="n">
        <x:f>Z173-AA173</x:f>
        <x:v>218</x:v>
      </x:c>
      <x:c r="AC173" s="52" t="n">
        <x:f>IFERROR(ABS(E173-D173)/E173,0)</x:f>
        <x:v>0.15955983493810177</x:v>
      </x:c>
      <x:c r="AD173" s="52" t="n">
        <x:f>IFERROR(L173/E173,1)</x:f>
        <x:v>1</x:v>
      </x:c>
      <x:c r="AE173" s="52" t="n">
        <x:f>IFERROR(X173/E173,1)</x:f>
        <x:v>1</x:v>
      </x:c>
      <x:c r="AF173" s="52" t="n">
        <x:f>IFERROR(I173/F173,0)</x:f>
        <x:v>0.6683333333333333</x:v>
      </x:c>
      <x:c r="AG173" s="52" t="n">
        <x:f>IFERROR(U173/F173,0)</x:f>
        <x:v>0.7033333333333334</x:v>
      </x:c>
    </x:row>
    <x:row r="174">
      <x:c r="A174" s="50" t="n">
        <x:v>46196</x:v>
      </x:c>
      <x:c r="B174" s="48" t="str">
        <x:v>Curd</x:v>
      </x:c>
      <x:c r="C174" s="48" t="n">
        <x:v>7</x:v>
      </x:c>
      <x:c r="D174" s="54" t="n">
        <x:v>486</x:v>
      </x:c>
      <x:c r="E174" s="54" t="n">
        <x:v>412</x:v>
      </x:c>
      <x:c r="F174" s="54" t="n">
        <x:v>700</x:v>
      </x:c>
      <x:c r="G174" s="54" t="n">
        <x:f>ROUND(D174*0.97,0)</x:f>
        <x:v>471</x:v>
      </x:c>
      <x:c r="H174" s="52" t="n">
        <x:v>0.9884382314661123</x:v>
      </x:c>
      <x:c r="I174" s="54" t="n">
        <x:f>MIN(F174,ROUND(G174*H174,0))</x:f>
        <x:v>466</x:v>
      </x:c>
      <x:c r="J174" s="54" t="n">
        <x:f>Q169</x:f>
        <x:v>49</x:v>
      </x:c>
      <x:c r="K174" s="54" t="n">
        <x:f>I174+J174</x:f>
        <x:v>515</x:v>
      </x:c>
      <x:c r="L174" s="54" t="n">
        <x:f>MIN(E174,K174)</x:f>
        <x:v>412</x:v>
      </x:c>
      <x:c r="M174" s="54" t="n">
        <x:f>MAX(E174-K174,0)</x:f>
        <x:v>0</x:v>
      </x:c>
      <x:c r="N174" s="54" t="n">
        <x:f>MAX(K174-L174,0)</x:f>
        <x:v>103</x:v>
      </x:c>
      <x:c r="O174" s="52" t="n">
        <x:v>0.018</x:v>
      </x:c>
      <x:c r="P174" s="54" t="n">
        <x:f>MIN(N174,ROUND(N174*O174,0))</x:f>
        <x:v>2</x:v>
      </x:c>
      <x:c r="Q174" s="54" t="n">
        <x:f>N174-P174</x:f>
        <x:v>101</x:v>
      </x:c>
      <x:c r="R174" s="54" t="n">
        <x:v>87</x:v>
      </x:c>
      <x:c r="S174" s="54" t="n">
        <x:f>MIN(F174,MAX(0,ROUND(D174+R174-V174,0)))</x:f>
        <x:v>422</x:v>
      </x:c>
      <x:c r="T174" s="52" t="n">
        <x:v>1.0105351918284176</x:v>
      </x:c>
      <x:c r="U174" s="54" t="n">
        <x:f>MIN(F174,MAX(0,ROUND(S174*T174,0)))</x:f>
        <x:v>426</x:v>
      </x:c>
      <x:c r="V174" s="54" t="n">
        <x:f>AB169</x:f>
        <x:v>151</x:v>
      </x:c>
      <x:c r="W174" s="54" t="n">
        <x:f>U174+V174</x:f>
        <x:v>577</x:v>
      </x:c>
      <x:c r="X174" s="54" t="n">
        <x:f>MIN(E174,W174)</x:f>
        <x:v>412</x:v>
      </x:c>
      <x:c r="Y174" s="54" t="n">
        <x:f>MAX(E174-W174,0)</x:f>
        <x:v>0</x:v>
      </x:c>
      <x:c r="Z174" s="54" t="n">
        <x:f>MAX(W174-X174,0)</x:f>
        <x:v>165</x:v>
      </x:c>
      <x:c r="AA174" s="54" t="n">
        <x:f>MIN(Z174,ROUND(Z174*O174,0))</x:f>
        <x:v>3</x:v>
      </x:c>
      <x:c r="AB174" s="54" t="n">
        <x:f>Z174-AA174</x:f>
        <x:v>162</x:v>
      </x:c>
      <x:c r="AC174" s="52" t="n">
        <x:f>IFERROR(ABS(E174-D174)/E174,0)</x:f>
        <x:v>0.1796116504854369</x:v>
      </x:c>
      <x:c r="AD174" s="52" t="n">
        <x:f>IFERROR(L174/E174,1)</x:f>
        <x:v>1</x:v>
      </x:c>
      <x:c r="AE174" s="52" t="n">
        <x:f>IFERROR(X174/E174,1)</x:f>
        <x:v>1</x:v>
      </x:c>
      <x:c r="AF174" s="52" t="n">
        <x:f>IFERROR(I174/F174,0)</x:f>
        <x:v>0.6657142857142857</x:v>
      </x:c>
      <x:c r="AG174" s="52" t="n">
        <x:f>IFERROR(U174/F174,0)</x:f>
        <x:v>0.6085714285714285</x:v>
      </x:c>
    </x:row>
    <x:row r="175">
      <x:c r="A175" s="50" t="n">
        <x:v>46196</x:v>
      </x:c>
      <x:c r="B175" s="48" t="str">
        <x:v>Lassi</x:v>
      </x:c>
      <x:c r="C175" s="48" t="n">
        <x:v>7</x:v>
      </x:c>
      <x:c r="D175" s="54" t="n">
        <x:v>380</x:v>
      </x:c>
      <x:c r="E175" s="54" t="n">
        <x:v>337</x:v>
      </x:c>
      <x:c r="F175" s="54" t="n">
        <x:v>560</x:v>
      </x:c>
      <x:c r="G175" s="54" t="n">
        <x:f>ROUND(D175*0.97,0)</x:f>
        <x:v>369</x:v>
      </x:c>
      <x:c r="H175" s="52" t="n">
        <x:v>0.9824002446076391</x:v>
      </x:c>
      <x:c r="I175" s="54" t="n">
        <x:f>MIN(F175,ROUND(G175*H175,0))</x:f>
        <x:v>363</x:v>
      </x:c>
      <x:c r="J175" s="54" t="n">
        <x:f>Q170</x:f>
        <x:v>0</x:v>
      </x:c>
      <x:c r="K175" s="54" t="n">
        <x:f>I175+J175</x:f>
        <x:v>363</x:v>
      </x:c>
      <x:c r="L175" s="54" t="n">
        <x:f>MIN(E175,K175)</x:f>
        <x:v>337</x:v>
      </x:c>
      <x:c r="M175" s="54" t="n">
        <x:f>MAX(E175-K175,0)</x:f>
        <x:v>0</x:v>
      </x:c>
      <x:c r="N175" s="54" t="n">
        <x:f>MAX(K175-L175,0)</x:f>
        <x:v>26</x:v>
      </x:c>
      <x:c r="O175" s="52" t="n">
        <x:v>0.02</x:v>
      </x:c>
      <x:c r="P175" s="54" t="n">
        <x:f>MIN(N175,ROUND(N175*O175,0))</x:f>
        <x:v>1</x:v>
      </x:c>
      <x:c r="Q175" s="54" t="n">
        <x:f>N175-P175</x:f>
        <x:v>25</x:v>
      </x:c>
      <x:c r="R175" s="54" t="n">
        <x:v>68</x:v>
      </x:c>
      <x:c r="S175" s="54" t="n">
        <x:f>MIN(F175,MAX(0,ROUND(D175+R175-V175,0)))</x:f>
        <x:v>443</x:v>
      </x:c>
      <x:c r="T175" s="52" t="n">
        <x:v>1.0039579107057182</x:v>
      </x:c>
      <x:c r="U175" s="54" t="n">
        <x:f>MIN(F175,MAX(0,ROUND(S175*T175,0)))</x:f>
        <x:v>445</x:v>
      </x:c>
      <x:c r="V175" s="54" t="n">
        <x:f>AB170</x:f>
        <x:v>5</x:v>
      </x:c>
      <x:c r="W175" s="54" t="n">
        <x:f>U175+V175</x:f>
        <x:v>450</x:v>
      </x:c>
      <x:c r="X175" s="54" t="n">
        <x:f>MIN(E175,W175)</x:f>
        <x:v>337</x:v>
      </x:c>
      <x:c r="Y175" s="54" t="n">
        <x:f>MAX(E175-W175,0)</x:f>
        <x:v>0</x:v>
      </x:c>
      <x:c r="Z175" s="54" t="n">
        <x:f>MAX(W175-X175,0)</x:f>
        <x:v>113</x:v>
      </x:c>
      <x:c r="AA175" s="54" t="n">
        <x:f>MIN(Z175,ROUND(Z175*O175,0))</x:f>
        <x:v>2</x:v>
      </x:c>
      <x:c r="AB175" s="54" t="n">
        <x:f>Z175-AA175</x:f>
        <x:v>111</x:v>
      </x:c>
      <x:c r="AC175" s="52" t="n">
        <x:f>IFERROR(ABS(E175-D175)/E175,0)</x:f>
        <x:v>0.12759643916913946</x:v>
      </x:c>
      <x:c r="AD175" s="52" t="n">
        <x:f>IFERROR(L175/E175,1)</x:f>
        <x:v>1</x:v>
      </x:c>
      <x:c r="AE175" s="52" t="n">
        <x:f>IFERROR(X175/E175,1)</x:f>
        <x:v>1</x:v>
      </x:c>
      <x:c r="AF175" s="52" t="n">
        <x:f>IFERROR(I175/F175,0)</x:f>
        <x:v>0.6482142857142857</x:v>
      </x:c>
      <x:c r="AG175" s="52" t="n">
        <x:f>IFERROR(U175/F175,0)</x:f>
        <x:v>0.7946428571428571</x:v>
      </x:c>
    </x:row>
    <x:row r="176">
      <x:c r="A176" s="50" t="n">
        <x:v>46196</x:v>
      </x:c>
      <x:c r="B176" s="48" t="str">
        <x:v>Paneer</x:v>
      </x:c>
      <x:c r="C176" s="48" t="n">
        <x:v>5</x:v>
      </x:c>
      <x:c r="D176" s="54" t="n">
        <x:v>154</x:v>
      </x:c>
      <x:c r="E176" s="54" t="n">
        <x:v>157</x:v>
      </x:c>
      <x:c r="F176" s="54" t="n">
        <x:v>230</x:v>
      </x:c>
      <x:c r="G176" s="54" t="n">
        <x:f>ROUND(D176*0.97,0)</x:f>
        <x:v>149</x:v>
      </x:c>
      <x:c r="H176" s="52" t="n">
        <x:v>0.9926473520920348</x:v>
      </x:c>
      <x:c r="I176" s="54" t="n">
        <x:f>MIN(F176,ROUND(G176*H176,0))</x:f>
        <x:v>148</x:v>
      </x:c>
      <x:c r="J176" s="54" t="n">
        <x:f>Q171</x:f>
        <x:v>1</x:v>
      </x:c>
      <x:c r="K176" s="54" t="n">
        <x:f>I176+J176</x:f>
        <x:v>149</x:v>
      </x:c>
      <x:c r="L176" s="54" t="n">
        <x:f>MIN(E176,K176)</x:f>
        <x:v>149</x:v>
      </x:c>
      <x:c r="M176" s="54" t="n">
        <x:f>MAX(E176-K176,0)</x:f>
        <x:v>8</x:v>
      </x:c>
      <x:c r="N176" s="54" t="n">
        <x:f>MAX(K176-L176,0)</x:f>
        <x:v>0</x:v>
      </x:c>
      <x:c r="O176" s="52" t="n">
        <x:v>0.025</x:v>
      </x:c>
      <x:c r="P176" s="54" t="n">
        <x:f>MIN(N176,ROUND(N176*O176,0))</x:f>
        <x:v>0</x:v>
      </x:c>
      <x:c r="Q176" s="54" t="n">
        <x:f>N176-P176</x:f>
        <x:v>0</x:v>
      </x:c>
      <x:c r="R176" s="54" t="n">
        <x:v>31</x:v>
      </x:c>
      <x:c r="S176" s="54" t="n">
        <x:f>MIN(F176,MAX(0,ROUND(D176+R176-V176,0)))</x:f>
        <x:v>152</x:v>
      </x:c>
      <x:c r="T176" s="52" t="n">
        <x:v>1.0085680859535144</x:v>
      </x:c>
      <x:c r="U176" s="54" t="n">
        <x:f>MIN(F176,MAX(0,ROUND(S176*T176,0)))</x:f>
        <x:v>153</x:v>
      </x:c>
      <x:c r="V176" s="54" t="n">
        <x:f>AB171</x:f>
        <x:v>33</x:v>
      </x:c>
      <x:c r="W176" s="54" t="n">
        <x:f>U176+V176</x:f>
        <x:v>186</x:v>
      </x:c>
      <x:c r="X176" s="54" t="n">
        <x:f>MIN(E176,W176)</x:f>
        <x:v>157</x:v>
      </x:c>
      <x:c r="Y176" s="54" t="n">
        <x:f>MAX(E176-W176,0)</x:f>
        <x:v>0</x:v>
      </x:c>
      <x:c r="Z176" s="54" t="n">
        <x:f>MAX(W176-X176,0)</x:f>
        <x:v>29</x:v>
      </x:c>
      <x:c r="AA176" s="54" t="n">
        <x:f>MIN(Z176,ROUND(Z176*O176,0))</x:f>
        <x:v>1</x:v>
      </x:c>
      <x:c r="AB176" s="54" t="n">
        <x:f>Z176-AA176</x:f>
        <x:v>28</x:v>
      </x:c>
      <x:c r="AC176" s="52" t="n">
        <x:f>IFERROR(ABS(E176-D176)/E176,0)</x:f>
        <x:v>0.01910828025477707</x:v>
      </x:c>
      <x:c r="AD176" s="52" t="n">
        <x:f>IFERROR(L176/E176,1)</x:f>
        <x:v>0.9490445859872612</x:v>
      </x:c>
      <x:c r="AE176" s="52" t="n">
        <x:f>IFERROR(X176/E176,1)</x:f>
        <x:v>1</x:v>
      </x:c>
      <x:c r="AF176" s="52" t="n">
        <x:f>IFERROR(I176/F176,0)</x:f>
        <x:v>0.6434782608695652</x:v>
      </x:c>
      <x:c r="AG176" s="52" t="n">
        <x:f>IFERROR(U176/F176,0)</x:f>
        <x:v>0.6652173913043479</x:v>
      </x:c>
    </x:row>
    <x:row r="177">
      <x:c r="A177" s="50" t="n">
        <x:v>46197</x:v>
      </x:c>
      <x:c r="B177" s="48" t="str">
        <x:v>Toned Milk</x:v>
      </x:c>
      <x:c r="C177" s="48" t="n">
        <x:v>2</x:v>
      </x:c>
      <x:c r="D177" s="54" t="n">
        <x:v>1704</x:v>
      </x:c>
      <x:c r="E177" s="54" t="n">
        <x:v>1737</x:v>
      </x:c>
      <x:c r="F177" s="54" t="n">
        <x:v>2250</x:v>
      </x:c>
      <x:c r="G177" s="54" t="n">
        <x:f>ROUND(D177*0.97,0)</x:f>
        <x:v>1653</x:v>
      </x:c>
      <x:c r="H177" s="52" t="n">
        <x:v>1.007240593693912</x:v>
      </x:c>
      <x:c r="I177" s="54" t="n">
        <x:f>MIN(F177,ROUND(G177*H177,0))</x:f>
        <x:v>1665</x:v>
      </x:c>
      <x:c r="J177" s="54" t="n">
        <x:f>Q172</x:f>
        <x:v>324</x:v>
      </x:c>
      <x:c r="K177" s="54" t="n">
        <x:f>I177+J177</x:f>
        <x:v>1989</x:v>
      </x:c>
      <x:c r="L177" s="54" t="n">
        <x:f>MIN(E177,K177)</x:f>
        <x:v>1737</x:v>
      </x:c>
      <x:c r="M177" s="54" t="n">
        <x:f>MAX(E177-K177,0)</x:f>
        <x:v>0</x:v>
      </x:c>
      <x:c r="N177" s="54" t="n">
        <x:f>MAX(K177-L177,0)</x:f>
        <x:v>252</x:v>
      </x:c>
      <x:c r="O177" s="52" t="n">
        <x:v>0.025</x:v>
      </x:c>
      <x:c r="P177" s="54" t="n">
        <x:f>MIN(N177,ROUND(N177*O177,0))</x:f>
        <x:v>6</x:v>
      </x:c>
      <x:c r="Q177" s="54" t="n">
        <x:f>N177-P177</x:f>
        <x:v>246</x:v>
      </x:c>
      <x:c r="R177" s="54" t="n">
        <x:v>204</x:v>
      </x:c>
      <x:c r="S177" s="54" t="n">
        <x:f>MIN(F177,MAX(0,ROUND(D177+R177-V177,0)))</x:f>
        <x:v>1844</x:v>
      </x:c>
      <x:c r="T177" s="52" t="n">
        <x:v>0.9853924914839163</x:v>
      </x:c>
      <x:c r="U177" s="54" t="n">
        <x:f>MIN(F177,MAX(0,ROUND(S177*T177,0)))</x:f>
        <x:v>1817</x:v>
      </x:c>
      <x:c r="V177" s="54" t="n">
        <x:f>AB172</x:f>
        <x:v>64</x:v>
      </x:c>
      <x:c r="W177" s="54" t="n">
        <x:f>U177+V177</x:f>
        <x:v>1881</x:v>
      </x:c>
      <x:c r="X177" s="54" t="n">
        <x:f>MIN(E177,W177)</x:f>
        <x:v>1737</x:v>
      </x:c>
      <x:c r="Y177" s="54" t="n">
        <x:f>MAX(E177-W177,0)</x:f>
        <x:v>0</x:v>
      </x:c>
      <x:c r="Z177" s="54" t="n">
        <x:f>MAX(W177-X177,0)</x:f>
        <x:v>144</x:v>
      </x:c>
      <x:c r="AA177" s="54" t="n">
        <x:f>MIN(Z177,ROUND(Z177*O177,0))</x:f>
        <x:v>4</x:v>
      </x:c>
      <x:c r="AB177" s="54" t="n">
        <x:f>Z177-AA177</x:f>
        <x:v>140</x:v>
      </x:c>
      <x:c r="AC177" s="52" t="n">
        <x:f>IFERROR(ABS(E177-D177)/E177,0)</x:f>
        <x:v>0.018998272884283247</x:v>
      </x:c>
      <x:c r="AD177" s="52" t="n">
        <x:f>IFERROR(L177/E177,1)</x:f>
        <x:v>1</x:v>
      </x:c>
      <x:c r="AE177" s="52" t="n">
        <x:f>IFERROR(X177/E177,1)</x:f>
        <x:v>1</x:v>
      </x:c>
      <x:c r="AF177" s="52" t="n">
        <x:f>IFERROR(I177/F177,0)</x:f>
        <x:v>0.74</x:v>
      </x:c>
      <x:c r="AG177" s="52" t="n">
        <x:f>IFERROR(U177/F177,0)</x:f>
        <x:v>0.8075555555555556</x:v>
      </x:c>
    </x:row>
    <x:row r="178">
      <x:c r="A178" s="50" t="n">
        <x:v>46197</x:v>
      </x:c>
      <x:c r="B178" s="48" t="str">
        <x:v>Full Cream Milk</x:v>
      </x:c>
      <x:c r="C178" s="48" t="n">
        <x:v>2</x:v>
      </x:c>
      <x:c r="D178" s="54" t="n">
        <x:v>852</x:v>
      </x:c>
      <x:c r="E178" s="54" t="n">
        <x:v>968</x:v>
      </x:c>
      <x:c r="F178" s="54" t="n">
        <x:v>1200</x:v>
      </x:c>
      <x:c r="G178" s="54" t="n">
        <x:f>ROUND(D178*0.97,0)</x:f>
        <x:v>826</x:v>
      </x:c>
      <x:c r="H178" s="52" t="n">
        <x:v>1.0017146095017295</x:v>
      </x:c>
      <x:c r="I178" s="54" t="n">
        <x:f>MIN(F178,ROUND(G178*H178,0))</x:f>
        <x:v>827</x:v>
      </x:c>
      <x:c r="J178" s="54" t="n">
        <x:f>Q173</x:f>
        <x:v>73</x:v>
      </x:c>
      <x:c r="K178" s="54" t="n">
        <x:f>I178+J178</x:f>
        <x:v>900</x:v>
      </x:c>
      <x:c r="L178" s="54" t="n">
        <x:f>MIN(E178,K178)</x:f>
        <x:v>900</x:v>
      </x:c>
      <x:c r="M178" s="54" t="n">
        <x:f>MAX(E178-K178,0)</x:f>
        <x:v>68</x:v>
      </x:c>
      <x:c r="N178" s="54" t="n">
        <x:f>MAX(K178-L178,0)</x:f>
        <x:v>0</x:v>
      </x:c>
      <x:c r="O178" s="52" t="n">
        <x:v>0.03</x:v>
      </x:c>
      <x:c r="P178" s="54" t="n">
        <x:f>MIN(N178,ROUND(N178*O178,0))</x:f>
        <x:v>0</x:v>
      </x:c>
      <x:c r="Q178" s="54" t="n">
        <x:f>N178-P178</x:f>
        <x:v>0</x:v>
      </x:c>
      <x:c r="R178" s="54" t="n">
        <x:v>102</x:v>
      </x:c>
      <x:c r="S178" s="54" t="n">
        <x:f>MIN(F178,MAX(0,ROUND(D178+R178-V178,0)))</x:f>
        <x:v>736</x:v>
      </x:c>
      <x:c r="T178" s="52" t="n">
        <x:v>1.002350444190106</x:v>
      </x:c>
      <x:c r="U178" s="54" t="n">
        <x:f>MIN(F178,MAX(0,ROUND(S178*T178,0)))</x:f>
        <x:v>738</x:v>
      </x:c>
      <x:c r="V178" s="54" t="n">
        <x:f>AB173</x:f>
        <x:v>218</x:v>
      </x:c>
      <x:c r="W178" s="54" t="n">
        <x:f>U178+V178</x:f>
        <x:v>956</x:v>
      </x:c>
      <x:c r="X178" s="54" t="n">
        <x:f>MIN(E178,W178)</x:f>
        <x:v>956</x:v>
      </x:c>
      <x:c r="Y178" s="54" t="n">
        <x:f>MAX(E178-W178,0)</x:f>
        <x:v>12</x:v>
      </x:c>
      <x:c r="Z178" s="54" t="n">
        <x:f>MAX(W178-X178,0)</x:f>
        <x:v>0</x:v>
      </x:c>
      <x:c r="AA178" s="54" t="n">
        <x:f>MIN(Z178,ROUND(Z178*O178,0))</x:f>
        <x:v>0</x:v>
      </x:c>
      <x:c r="AB178" s="54" t="n">
        <x:f>Z178-AA178</x:f>
        <x:v>0</x:v>
      </x:c>
      <x:c r="AC178" s="52" t="n">
        <x:f>IFERROR(ABS(E178-D178)/E178,0)</x:f>
        <x:v>0.11983471074380166</x:v>
      </x:c>
      <x:c r="AD178" s="52" t="n">
        <x:f>IFERROR(L178/E178,1)</x:f>
        <x:v>0.9297520661157025</x:v>
      </x:c>
      <x:c r="AE178" s="52" t="n">
        <x:f>IFERROR(X178/E178,1)</x:f>
        <x:v>0.987603305785124</x:v>
      </x:c>
      <x:c r="AF178" s="52" t="n">
        <x:f>IFERROR(I178/F178,0)</x:f>
        <x:v>0.6891666666666667</x:v>
      </x:c>
      <x:c r="AG178" s="52" t="n">
        <x:f>IFERROR(U178/F178,0)</x:f>
        <x:v>0.615</x:v>
      </x:c>
    </x:row>
    <x:row r="179">
      <x:c r="A179" s="50" t="n">
        <x:v>46197</x:v>
      </x:c>
      <x:c r="B179" s="48" t="str">
        <x:v>Curd</x:v>
      </x:c>
      <x:c r="C179" s="48" t="n">
        <x:v>7</x:v>
      </x:c>
      <x:c r="D179" s="54" t="n">
        <x:v>496</x:v>
      </x:c>
      <x:c r="E179" s="54" t="n">
        <x:v>566</x:v>
      </x:c>
      <x:c r="F179" s="54" t="n">
        <x:v>700</x:v>
      </x:c>
      <x:c r="G179" s="54" t="n">
        <x:f>ROUND(D179*0.97,0)</x:f>
        <x:v>481</x:v>
      </x:c>
      <x:c r="H179" s="52" t="n">
        <x:v>1.0097625986298049</x:v>
      </x:c>
      <x:c r="I179" s="54" t="n">
        <x:f>MIN(F179,ROUND(G179*H179,0))</x:f>
        <x:v>486</x:v>
      </x:c>
      <x:c r="J179" s="54" t="n">
        <x:f>Q174</x:f>
        <x:v>101</x:v>
      </x:c>
      <x:c r="K179" s="54" t="n">
        <x:f>I179+J179</x:f>
        <x:v>587</x:v>
      </x:c>
      <x:c r="L179" s="54" t="n">
        <x:f>MIN(E179,K179)</x:f>
        <x:v>566</x:v>
      </x:c>
      <x:c r="M179" s="54" t="n">
        <x:f>MAX(E179-K179,0)</x:f>
        <x:v>0</x:v>
      </x:c>
      <x:c r="N179" s="54" t="n">
        <x:f>MAX(K179-L179,0)</x:f>
        <x:v>21</x:v>
      </x:c>
      <x:c r="O179" s="52" t="n">
        <x:v>0.018</x:v>
      </x:c>
      <x:c r="P179" s="54" t="n">
        <x:f>MIN(N179,ROUND(N179*O179,0))</x:f>
        <x:v>0</x:v>
      </x:c>
      <x:c r="Q179" s="54" t="n">
        <x:f>N179-P179</x:f>
        <x:v>21</x:v>
      </x:c>
      <x:c r="R179" s="54" t="n">
        <x:v>89</x:v>
      </x:c>
      <x:c r="S179" s="54" t="n">
        <x:f>MIN(F179,MAX(0,ROUND(D179+R179-V179,0)))</x:f>
        <x:v>423</x:v>
      </x:c>
      <x:c r="T179" s="52" t="n">
        <x:v>1.0199426259632016</x:v>
      </x:c>
      <x:c r="U179" s="54" t="n">
        <x:f>MIN(F179,MAX(0,ROUND(S179*T179,0)))</x:f>
        <x:v>431</x:v>
      </x:c>
      <x:c r="V179" s="54" t="n">
        <x:f>AB174</x:f>
        <x:v>162</x:v>
      </x:c>
      <x:c r="W179" s="54" t="n">
        <x:f>U179+V179</x:f>
        <x:v>593</x:v>
      </x:c>
      <x:c r="X179" s="54" t="n">
        <x:f>MIN(E179,W179)</x:f>
        <x:v>566</x:v>
      </x:c>
      <x:c r="Y179" s="54" t="n">
        <x:f>MAX(E179-W179,0)</x:f>
        <x:v>0</x:v>
      </x:c>
      <x:c r="Z179" s="54" t="n">
        <x:f>MAX(W179-X179,0)</x:f>
        <x:v>27</x:v>
      </x:c>
      <x:c r="AA179" s="54" t="n">
        <x:f>MIN(Z179,ROUND(Z179*O179,0))</x:f>
        <x:v>0</x:v>
      </x:c>
      <x:c r="AB179" s="54" t="n">
        <x:f>Z179-AA179</x:f>
        <x:v>27</x:v>
      </x:c>
      <x:c r="AC179" s="52" t="n">
        <x:f>IFERROR(ABS(E179-D179)/E179,0)</x:f>
        <x:v>0.12367491166077739</x:v>
      </x:c>
      <x:c r="AD179" s="52" t="n">
        <x:f>IFERROR(L179/E179,1)</x:f>
        <x:v>1</x:v>
      </x:c>
      <x:c r="AE179" s="52" t="n">
        <x:f>IFERROR(X179/E179,1)</x:f>
        <x:v>1</x:v>
      </x:c>
      <x:c r="AF179" s="52" t="n">
        <x:f>IFERROR(I179/F179,0)</x:f>
        <x:v>0.6942857142857143</x:v>
      </x:c>
      <x:c r="AG179" s="52" t="n">
        <x:f>IFERROR(U179/F179,0)</x:f>
        <x:v>0.6157142857142858</x:v>
      </x:c>
    </x:row>
    <x:row r="180">
      <x:c r="A180" s="50" t="n">
        <x:v>46197</x:v>
      </x:c>
      <x:c r="B180" s="48" t="str">
        <x:v>Lassi</x:v>
      </x:c>
      <x:c r="C180" s="48" t="n">
        <x:v>7</x:v>
      </x:c>
      <x:c r="D180" s="54" t="n">
        <x:v>397</x:v>
      </x:c>
      <x:c r="E180" s="54" t="n">
        <x:v>467</x:v>
      </x:c>
      <x:c r="F180" s="54" t="n">
        <x:v>560</x:v>
      </x:c>
      <x:c r="G180" s="54" t="n">
        <x:f>ROUND(D180*0.97,0)</x:f>
        <x:v>385</x:v>
      </x:c>
      <x:c r="H180" s="52" t="n">
        <x:v>0.9963461742047055</x:v>
      </x:c>
      <x:c r="I180" s="54" t="n">
        <x:f>MIN(F180,ROUND(G180*H180,0))</x:f>
        <x:v>384</x:v>
      </x:c>
      <x:c r="J180" s="54" t="n">
        <x:f>Q175</x:f>
        <x:v>25</x:v>
      </x:c>
      <x:c r="K180" s="54" t="n">
        <x:f>I180+J180</x:f>
        <x:v>409</x:v>
      </x:c>
      <x:c r="L180" s="54" t="n">
        <x:f>MIN(E180,K180)</x:f>
        <x:v>409</x:v>
      </x:c>
      <x:c r="M180" s="54" t="n">
        <x:f>MAX(E180-K180,0)</x:f>
        <x:v>58</x:v>
      </x:c>
      <x:c r="N180" s="54" t="n">
        <x:f>MAX(K180-L180,0)</x:f>
        <x:v>0</x:v>
      </x:c>
      <x:c r="O180" s="52" t="n">
        <x:v>0.02</x:v>
      </x:c>
      <x:c r="P180" s="54" t="n">
        <x:f>MIN(N180,ROUND(N180*O180,0))</x:f>
        <x:v>0</x:v>
      </x:c>
      <x:c r="Q180" s="54" t="n">
        <x:f>N180-P180</x:f>
        <x:v>0</x:v>
      </x:c>
      <x:c r="R180" s="54" t="n">
        <x:v>71</x:v>
      </x:c>
      <x:c r="S180" s="54" t="n">
        <x:f>MIN(F180,MAX(0,ROUND(D180+R180-V180,0)))</x:f>
        <x:v>357</x:v>
      </x:c>
      <x:c r="T180" s="52" t="n">
        <x:v>1.0006189083198425</x:v>
      </x:c>
      <x:c r="U180" s="54" t="n">
        <x:f>MIN(F180,MAX(0,ROUND(S180*T180,0)))</x:f>
        <x:v>357</x:v>
      </x:c>
      <x:c r="V180" s="54" t="n">
        <x:f>AB175</x:f>
        <x:v>111</x:v>
      </x:c>
      <x:c r="W180" s="54" t="n">
        <x:f>U180+V180</x:f>
        <x:v>468</x:v>
      </x:c>
      <x:c r="X180" s="54" t="n">
        <x:f>MIN(E180,W180)</x:f>
        <x:v>467</x:v>
      </x:c>
      <x:c r="Y180" s="54" t="n">
        <x:f>MAX(E180-W180,0)</x:f>
        <x:v>0</x:v>
      </x:c>
      <x:c r="Z180" s="54" t="n">
        <x:f>MAX(W180-X180,0)</x:f>
        <x:v>1</x:v>
      </x:c>
      <x:c r="AA180" s="54" t="n">
        <x:f>MIN(Z180,ROUND(Z180*O180,0))</x:f>
        <x:v>0</x:v>
      </x:c>
      <x:c r="AB180" s="54" t="n">
        <x:f>Z180-AA180</x:f>
        <x:v>1</x:v>
      </x:c>
      <x:c r="AC180" s="52" t="n">
        <x:f>IFERROR(ABS(E180-D180)/E180,0)</x:f>
        <x:v>0.14989293361884368</x:v>
      </x:c>
      <x:c r="AD180" s="52" t="n">
        <x:f>IFERROR(L180/E180,1)</x:f>
        <x:v>0.8758029978586723</x:v>
      </x:c>
      <x:c r="AE180" s="52" t="n">
        <x:f>IFERROR(X180/E180,1)</x:f>
        <x:v>1</x:v>
      </x:c>
      <x:c r="AF180" s="52" t="n">
        <x:f>IFERROR(I180/F180,0)</x:f>
        <x:v>0.6857142857142857</x:v>
      </x:c>
      <x:c r="AG180" s="52" t="n">
        <x:f>IFERROR(U180/F180,0)</x:f>
        <x:v>0.6375</x:v>
      </x:c>
    </x:row>
    <x:row r="181">
      <x:c r="A181" s="50" t="n">
        <x:v>46197</x:v>
      </x:c>
      <x:c r="B181" s="48" t="str">
        <x:v>Paneer</x:v>
      </x:c>
      <x:c r="C181" s="48" t="n">
        <x:v>5</x:v>
      </x:c>
      <x:c r="D181" s="54" t="n">
        <x:v>159</x:v>
      </x:c>
      <x:c r="E181" s="54" t="n">
        <x:v>159</x:v>
      </x:c>
      <x:c r="F181" s="54" t="n">
        <x:v>230</x:v>
      </x:c>
      <x:c r="G181" s="54" t="n">
        <x:f>ROUND(D181*0.97,0)</x:f>
        <x:v>154</x:v>
      </x:c>
      <x:c r="H181" s="52" t="n">
        <x:v>1.0006382942846197</x:v>
      </x:c>
      <x:c r="I181" s="54" t="n">
        <x:f>MIN(F181,ROUND(G181*H181,0))</x:f>
        <x:v>154</x:v>
      </x:c>
      <x:c r="J181" s="54" t="n">
        <x:f>Q176</x:f>
        <x:v>0</x:v>
      </x:c>
      <x:c r="K181" s="54" t="n">
        <x:f>I181+J181</x:f>
        <x:v>154</x:v>
      </x:c>
      <x:c r="L181" s="54" t="n">
        <x:f>MIN(E181,K181)</x:f>
        <x:v>154</x:v>
      </x:c>
      <x:c r="M181" s="54" t="n">
        <x:f>MAX(E181-K181,0)</x:f>
        <x:v>5</x:v>
      </x:c>
      <x:c r="N181" s="54" t="n">
        <x:f>MAX(K181-L181,0)</x:f>
        <x:v>0</x:v>
      </x:c>
      <x:c r="O181" s="52" t="n">
        <x:v>0.025</x:v>
      </x:c>
      <x:c r="P181" s="54" t="n">
        <x:f>MIN(N181,ROUND(N181*O181,0))</x:f>
        <x:v>0</x:v>
      </x:c>
      <x:c r="Q181" s="54" t="n">
        <x:f>N181-P181</x:f>
        <x:v>0</x:v>
      </x:c>
      <x:c r="R181" s="54" t="n">
        <x:v>32</x:v>
      </x:c>
      <x:c r="S181" s="54" t="n">
        <x:f>MIN(F181,MAX(0,ROUND(D181+R181-V181,0)))</x:f>
        <x:v>163</x:v>
      </x:c>
      <x:c r="T181" s="52" t="n">
        <x:v>1.0006113722775443</x:v>
      </x:c>
      <x:c r="U181" s="54" t="n">
        <x:f>MIN(F181,MAX(0,ROUND(S181*T181,0)))</x:f>
        <x:v>163</x:v>
      </x:c>
      <x:c r="V181" s="54" t="n">
        <x:f>AB176</x:f>
        <x:v>28</x:v>
      </x:c>
      <x:c r="W181" s="54" t="n">
        <x:f>U181+V181</x:f>
        <x:v>191</x:v>
      </x:c>
      <x:c r="X181" s="54" t="n">
        <x:f>MIN(E181,W181)</x:f>
        <x:v>159</x:v>
      </x:c>
      <x:c r="Y181" s="54" t="n">
        <x:f>MAX(E181-W181,0)</x:f>
        <x:v>0</x:v>
      </x:c>
      <x:c r="Z181" s="54" t="n">
        <x:f>MAX(W181-X181,0)</x:f>
        <x:v>32</x:v>
      </x:c>
      <x:c r="AA181" s="54" t="n">
        <x:f>MIN(Z181,ROUND(Z181*O181,0))</x:f>
        <x:v>1</x:v>
      </x:c>
      <x:c r="AB181" s="54" t="n">
        <x:f>Z181-AA181</x:f>
        <x:v>31</x:v>
      </x:c>
      <x:c r="AC181" s="52" t="n">
        <x:f>IFERROR(ABS(E181-D181)/E181,0)</x:f>
        <x:v>0</x:v>
      </x:c>
      <x:c r="AD181" s="52" t="n">
        <x:f>IFERROR(L181/E181,1)</x:f>
        <x:v>0.9685534591194969</x:v>
      </x:c>
      <x:c r="AE181" s="52" t="n">
        <x:f>IFERROR(X181/E181,1)</x:f>
        <x:v>1</x:v>
      </x:c>
      <x:c r="AF181" s="52" t="n">
        <x:f>IFERROR(I181/F181,0)</x:f>
        <x:v>0.6695652173913044</x:v>
      </x:c>
      <x:c r="AG181" s="52" t="n">
        <x:f>IFERROR(U181/F181,0)</x:f>
        <x:v>0.7086956521739131</x:v>
      </x:c>
    </x:row>
    <x:row r="182">
      <x:c r="A182" s="50" t="n">
        <x:v>46198</x:v>
      </x:c>
      <x:c r="B182" s="48" t="str">
        <x:v>Toned Milk</x:v>
      </x:c>
      <x:c r="C182" s="48" t="n">
        <x:v>2</x:v>
      </x:c>
      <x:c r="D182" s="54" t="n">
        <x:v>1721</x:v>
      </x:c>
      <x:c r="E182" s="54" t="n">
        <x:v>1977</x:v>
      </x:c>
      <x:c r="F182" s="54" t="n">
        <x:v>2250</x:v>
      </x:c>
      <x:c r="G182" s="54" t="n">
        <x:f>ROUND(D182*0.97,0)</x:f>
        <x:v>1669</x:v>
      </x:c>
      <x:c r="H182" s="52" t="n">
        <x:v>1.011026279131638</x:v>
      </x:c>
      <x:c r="I182" s="54" t="n">
        <x:f>MIN(F182,ROUND(G182*H182,0))</x:f>
        <x:v>1687</x:v>
      </x:c>
      <x:c r="J182" s="54" t="n">
        <x:f>Q177</x:f>
        <x:v>246</x:v>
      </x:c>
      <x:c r="K182" s="54" t="n">
        <x:f>I182+J182</x:f>
        <x:v>1933</x:v>
      </x:c>
      <x:c r="L182" s="54" t="n">
        <x:f>MIN(E182,K182)</x:f>
        <x:v>1933</x:v>
      </x:c>
      <x:c r="M182" s="54" t="n">
        <x:f>MAX(E182-K182,0)</x:f>
        <x:v>44</x:v>
      </x:c>
      <x:c r="N182" s="54" t="n">
        <x:f>MAX(K182-L182,0)</x:f>
        <x:v>0</x:v>
      </x:c>
      <x:c r="O182" s="52" t="n">
        <x:v>0.025</x:v>
      </x:c>
      <x:c r="P182" s="54" t="n">
        <x:f>MIN(N182,ROUND(N182*O182,0))</x:f>
        <x:v>0</x:v>
      </x:c>
      <x:c r="Q182" s="54" t="n">
        <x:f>N182-P182</x:f>
        <x:v>0</x:v>
      </x:c>
      <x:c r="R182" s="54" t="n">
        <x:v>207</x:v>
      </x:c>
      <x:c r="S182" s="54" t="n">
        <x:f>MIN(F182,MAX(0,ROUND(D182+R182-V182,0)))</x:f>
        <x:v>1788</x:v>
      </x:c>
      <x:c r="T182" s="52" t="n">
        <x:v>1.0034210299049526</x:v>
      </x:c>
      <x:c r="U182" s="54" t="n">
        <x:f>MIN(F182,MAX(0,ROUND(S182*T182,0)))</x:f>
        <x:v>1794</x:v>
      </x:c>
      <x:c r="V182" s="54" t="n">
        <x:f>AB177</x:f>
        <x:v>140</x:v>
      </x:c>
      <x:c r="W182" s="54" t="n">
        <x:f>U182+V182</x:f>
        <x:v>1934</x:v>
      </x:c>
      <x:c r="X182" s="54" t="n">
        <x:f>MIN(E182,W182)</x:f>
        <x:v>1934</x:v>
      </x:c>
      <x:c r="Y182" s="54" t="n">
        <x:f>MAX(E182-W182,0)</x:f>
        <x:v>43</x:v>
      </x:c>
      <x:c r="Z182" s="54" t="n">
        <x:f>MAX(W182-X182,0)</x:f>
        <x:v>0</x:v>
      </x:c>
      <x:c r="AA182" s="54" t="n">
        <x:f>MIN(Z182,ROUND(Z182*O182,0))</x:f>
        <x:v>0</x:v>
      </x:c>
      <x:c r="AB182" s="54" t="n">
        <x:f>Z182-AA182</x:f>
        <x:v>0</x:v>
      </x:c>
      <x:c r="AC182" s="52" t="n">
        <x:f>IFERROR(ABS(E182-D182)/E182,0)</x:f>
        <x:v>0.1294891249367729</x:v>
      </x:c>
      <x:c r="AD182" s="52" t="n">
        <x:f>IFERROR(L182/E182,1)</x:f>
        <x:v>0.9777440566514921</x:v>
      </x:c>
      <x:c r="AE182" s="52" t="n">
        <x:f>IFERROR(X182/E182,1)</x:f>
        <x:v>0.9782498735457764</x:v>
      </x:c>
      <x:c r="AF182" s="52" t="n">
        <x:f>IFERROR(I182/F182,0)</x:f>
        <x:v>0.7497777777777778</x:v>
      </x:c>
      <x:c r="AG182" s="52" t="n">
        <x:f>IFERROR(U182/F182,0)</x:f>
        <x:v>0.7973333333333333</x:v>
      </x:c>
    </x:row>
    <x:row r="183">
      <x:c r="A183" s="50" t="n">
        <x:v>46198</x:v>
      </x:c>
      <x:c r="B183" s="48" t="str">
        <x:v>Full Cream Milk</x:v>
      </x:c>
      <x:c r="C183" s="48" t="n">
        <x:v>2</x:v>
      </x:c>
      <x:c r="D183" s="54" t="n">
        <x:v>861</x:v>
      </x:c>
      <x:c r="E183" s="54" t="n">
        <x:v>983</x:v>
      </x:c>
      <x:c r="F183" s="54" t="n">
        <x:v>1200</x:v>
      </x:c>
      <x:c r="G183" s="54" t="n">
        <x:f>ROUND(D183*0.97,0)</x:f>
        <x:v>835</x:v>
      </x:c>
      <x:c r="H183" s="52" t="n">
        <x:v>0.9823233606355319</x:v>
      </x:c>
      <x:c r="I183" s="54" t="n">
        <x:f>MIN(F183,ROUND(G183*H183,0))</x:f>
        <x:v>820</x:v>
      </x:c>
      <x:c r="J183" s="54" t="n">
        <x:f>Q178</x:f>
        <x:v>0</x:v>
      </x:c>
      <x:c r="K183" s="54" t="n">
        <x:f>I183+J183</x:f>
        <x:v>820</x:v>
      </x:c>
      <x:c r="L183" s="54" t="n">
        <x:f>MIN(E183,K183)</x:f>
        <x:v>820</x:v>
      </x:c>
      <x:c r="M183" s="54" t="n">
        <x:f>MAX(E183-K183,0)</x:f>
        <x:v>163</x:v>
      </x:c>
      <x:c r="N183" s="54" t="n">
        <x:f>MAX(K183-L183,0)</x:f>
        <x:v>0</x:v>
      </x:c>
      <x:c r="O183" s="52" t="n">
        <x:v>0.03</x:v>
      </x:c>
      <x:c r="P183" s="54" t="n">
        <x:f>MIN(N183,ROUND(N183*O183,0))</x:f>
        <x:v>0</x:v>
      </x:c>
      <x:c r="Q183" s="54" t="n">
        <x:f>N183-P183</x:f>
        <x:v>0</x:v>
      </x:c>
      <x:c r="R183" s="54" t="n">
        <x:v>103</x:v>
      </x:c>
      <x:c r="S183" s="54" t="n">
        <x:f>MIN(F183,MAX(0,ROUND(D183+R183-V183,0)))</x:f>
        <x:v>964</x:v>
      </x:c>
      <x:c r="T183" s="52" t="n">
        <x:v>1.0192209267483974</x:v>
      </x:c>
      <x:c r="U183" s="54" t="n">
        <x:f>MIN(F183,MAX(0,ROUND(S183*T183,0)))</x:f>
        <x:v>983</x:v>
      </x:c>
      <x:c r="V183" s="54" t="n">
        <x:f>AB178</x:f>
        <x:v>0</x:v>
      </x:c>
      <x:c r="W183" s="54" t="n">
        <x:f>U183+V183</x:f>
        <x:v>983</x:v>
      </x:c>
      <x:c r="X183" s="54" t="n">
        <x:f>MIN(E183,W183)</x:f>
        <x:v>983</x:v>
      </x:c>
      <x:c r="Y183" s="54" t="n">
        <x:f>MAX(E183-W183,0)</x:f>
        <x:v>0</x:v>
      </x:c>
      <x:c r="Z183" s="54" t="n">
        <x:f>MAX(W183-X183,0)</x:f>
        <x:v>0</x:v>
      </x:c>
      <x:c r="AA183" s="54" t="n">
        <x:f>MIN(Z183,ROUND(Z183*O183,0))</x:f>
        <x:v>0</x:v>
      </x:c>
      <x:c r="AB183" s="54" t="n">
        <x:f>Z183-AA183</x:f>
        <x:v>0</x:v>
      </x:c>
      <x:c r="AC183" s="52" t="n">
        <x:f>IFERROR(ABS(E183-D183)/E183,0)</x:f>
        <x:v>0.12410986775178026</x:v>
      </x:c>
      <x:c r="AD183" s="52" t="n">
        <x:f>IFERROR(L183/E183,1)</x:f>
        <x:v>0.8341810783316378</x:v>
      </x:c>
      <x:c r="AE183" s="52" t="n">
        <x:f>IFERROR(X183/E183,1)</x:f>
        <x:v>1</x:v>
      </x:c>
      <x:c r="AF183" s="52" t="n">
        <x:f>IFERROR(I183/F183,0)</x:f>
        <x:v>0.6833333333333333</x:v>
      </x:c>
      <x:c r="AG183" s="52" t="n">
        <x:f>IFERROR(U183/F183,0)</x:f>
        <x:v>0.8191666666666667</x:v>
      </x:c>
    </x:row>
    <x:row r="184">
      <x:c r="A184" s="50" t="n">
        <x:v>46198</x:v>
      </x:c>
      <x:c r="B184" s="48" t="str">
        <x:v>Curd</x:v>
      </x:c>
      <x:c r="C184" s="48" t="n">
        <x:v>7</x:v>
      </x:c>
      <x:c r="D184" s="54" t="n">
        <x:v>506</x:v>
      </x:c>
      <x:c r="E184" s="54" t="n">
        <x:v>469</x:v>
      </x:c>
      <x:c r="F184" s="54" t="n">
        <x:v>700</x:v>
      </x:c>
      <x:c r="G184" s="54" t="n">
        <x:f>ROUND(D184*0.97,0)</x:f>
        <x:v>491</x:v>
      </x:c>
      <x:c r="H184" s="52" t="n">
        <x:v>1.0119490335333905</x:v>
      </x:c>
      <x:c r="I184" s="54" t="n">
        <x:f>MIN(F184,ROUND(G184*H184,0))</x:f>
        <x:v>497</x:v>
      </x:c>
      <x:c r="J184" s="54" t="n">
        <x:f>Q179</x:f>
        <x:v>21</x:v>
      </x:c>
      <x:c r="K184" s="54" t="n">
        <x:f>I184+J184</x:f>
        <x:v>518</x:v>
      </x:c>
      <x:c r="L184" s="54" t="n">
        <x:f>MIN(E184,K184)</x:f>
        <x:v>469</x:v>
      </x:c>
      <x:c r="M184" s="54" t="n">
        <x:f>MAX(E184-K184,0)</x:f>
        <x:v>0</x:v>
      </x:c>
      <x:c r="N184" s="54" t="n">
        <x:f>MAX(K184-L184,0)</x:f>
        <x:v>49</x:v>
      </x:c>
      <x:c r="O184" s="52" t="n">
        <x:v>0.018</x:v>
      </x:c>
      <x:c r="P184" s="54" t="n">
        <x:f>MIN(N184,ROUND(N184*O184,0))</x:f>
        <x:v>1</x:v>
      </x:c>
      <x:c r="Q184" s="54" t="n">
        <x:f>N184-P184</x:f>
        <x:v>48</x:v>
      </x:c>
      <x:c r="R184" s="54" t="n">
        <x:v>91</x:v>
      </x:c>
      <x:c r="S184" s="54" t="n">
        <x:f>MIN(F184,MAX(0,ROUND(D184+R184-V184,0)))</x:f>
        <x:v>570</x:v>
      </x:c>
      <x:c r="T184" s="52" t="n">
        <x:v>1.0038674182656961</x:v>
      </x:c>
      <x:c r="U184" s="54" t="n">
        <x:f>MIN(F184,MAX(0,ROUND(S184*T184,0)))</x:f>
        <x:v>572</x:v>
      </x:c>
      <x:c r="V184" s="54" t="n">
        <x:f>AB179</x:f>
        <x:v>27</x:v>
      </x:c>
      <x:c r="W184" s="54" t="n">
        <x:f>U184+V184</x:f>
        <x:v>599</x:v>
      </x:c>
      <x:c r="X184" s="54" t="n">
        <x:f>MIN(E184,W184)</x:f>
        <x:v>469</x:v>
      </x:c>
      <x:c r="Y184" s="54" t="n">
        <x:f>MAX(E184-W184,0)</x:f>
        <x:v>0</x:v>
      </x:c>
      <x:c r="Z184" s="54" t="n">
        <x:f>MAX(W184-X184,0)</x:f>
        <x:v>130</x:v>
      </x:c>
      <x:c r="AA184" s="54" t="n">
        <x:f>MIN(Z184,ROUND(Z184*O184,0))</x:f>
        <x:v>2</x:v>
      </x:c>
      <x:c r="AB184" s="54" t="n">
        <x:f>Z184-AA184</x:f>
        <x:v>128</x:v>
      </x:c>
      <x:c r="AC184" s="52" t="n">
        <x:f>IFERROR(ABS(E184-D184)/E184,0)</x:f>
        <x:v>0.07889125799573561</x:v>
      </x:c>
      <x:c r="AD184" s="52" t="n">
        <x:f>IFERROR(L184/E184,1)</x:f>
        <x:v>1</x:v>
      </x:c>
      <x:c r="AE184" s="52" t="n">
        <x:f>IFERROR(X184/E184,1)</x:f>
        <x:v>1</x:v>
      </x:c>
      <x:c r="AF184" s="52" t="n">
        <x:f>IFERROR(I184/F184,0)</x:f>
        <x:v>0.71</x:v>
      </x:c>
      <x:c r="AG184" s="52" t="n">
        <x:f>IFERROR(U184/F184,0)</x:f>
        <x:v>0.8171428571428572</x:v>
      </x:c>
    </x:row>
    <x:row r="185">
      <x:c r="A185" s="50" t="n">
        <x:v>46198</x:v>
      </x:c>
      <x:c r="B185" s="48" t="str">
        <x:v>Lassi</x:v>
      </x:c>
      <x:c r="C185" s="48" t="n">
        <x:v>7</x:v>
      </x:c>
      <x:c r="D185" s="54" t="n">
        <x:v>405</x:v>
      </x:c>
      <x:c r="E185" s="54" t="n">
        <x:v>393</x:v>
      </x:c>
      <x:c r="F185" s="54" t="n">
        <x:v>560</x:v>
      </x:c>
      <x:c r="G185" s="54" t="n">
        <x:f>ROUND(D185*0.97,0)</x:f>
        <x:v>393</x:v>
      </x:c>
      <x:c r="H185" s="52" t="n">
        <x:v>0.9937398426655235</x:v>
      </x:c>
      <x:c r="I185" s="54" t="n">
        <x:f>MIN(F185,ROUND(G185*H185,0))</x:f>
        <x:v>391</x:v>
      </x:c>
      <x:c r="J185" s="54" t="n">
        <x:f>Q180</x:f>
        <x:v>0</x:v>
      </x:c>
      <x:c r="K185" s="54" t="n">
        <x:f>I185+J185</x:f>
        <x:v>391</x:v>
      </x:c>
      <x:c r="L185" s="54" t="n">
        <x:f>MIN(E185,K185)</x:f>
        <x:v>391</x:v>
      </x:c>
      <x:c r="M185" s="54" t="n">
        <x:f>MAX(E185-K185,0)</x:f>
        <x:v>2</x:v>
      </x:c>
      <x:c r="N185" s="54" t="n">
        <x:f>MAX(K185-L185,0)</x:f>
        <x:v>0</x:v>
      </x:c>
      <x:c r="O185" s="52" t="n">
        <x:v>0.02</x:v>
      </x:c>
      <x:c r="P185" s="54" t="n">
        <x:f>MIN(N185,ROUND(N185*O185,0))</x:f>
        <x:v>0</x:v>
      </x:c>
      <x:c r="Q185" s="54" t="n">
        <x:f>N185-P185</x:f>
        <x:v>0</x:v>
      </x:c>
      <x:c r="R185" s="54" t="n">
        <x:v>73</x:v>
      </x:c>
      <x:c r="S185" s="54" t="n">
        <x:f>MIN(F185,MAX(0,ROUND(D185+R185-V185,0)))</x:f>
        <x:v>477</x:v>
      </x:c>
      <x:c r="T185" s="52" t="n">
        <x:v>1.0047808558145916</x:v>
      </x:c>
      <x:c r="U185" s="54" t="n">
        <x:f>MIN(F185,MAX(0,ROUND(S185*T185,0)))</x:f>
        <x:v>479</x:v>
      </x:c>
      <x:c r="V185" s="54" t="n">
        <x:f>AB180</x:f>
        <x:v>1</x:v>
      </x:c>
      <x:c r="W185" s="54" t="n">
        <x:f>U185+V185</x:f>
        <x:v>480</x:v>
      </x:c>
      <x:c r="X185" s="54" t="n">
        <x:f>MIN(E185,W185)</x:f>
        <x:v>393</x:v>
      </x:c>
      <x:c r="Y185" s="54" t="n">
        <x:f>MAX(E185-W185,0)</x:f>
        <x:v>0</x:v>
      </x:c>
      <x:c r="Z185" s="54" t="n">
        <x:f>MAX(W185-X185,0)</x:f>
        <x:v>87</x:v>
      </x:c>
      <x:c r="AA185" s="54" t="n">
        <x:f>MIN(Z185,ROUND(Z185*O185,0))</x:f>
        <x:v>2</x:v>
      </x:c>
      <x:c r="AB185" s="54" t="n">
        <x:f>Z185-AA185</x:f>
        <x:v>85</x:v>
      </x:c>
      <x:c r="AC185" s="52" t="n">
        <x:f>IFERROR(ABS(E185-D185)/E185,0)</x:f>
        <x:v>0.030534351145038167</x:v>
      </x:c>
      <x:c r="AD185" s="52" t="n">
        <x:f>IFERROR(L185/E185,1)</x:f>
        <x:v>0.9949109414758269</x:v>
      </x:c>
      <x:c r="AE185" s="52" t="n">
        <x:f>IFERROR(X185/E185,1)</x:f>
        <x:v>1</x:v>
      </x:c>
      <x:c r="AF185" s="52" t="n">
        <x:f>IFERROR(I185/F185,0)</x:f>
        <x:v>0.6982142857142857</x:v>
      </x:c>
      <x:c r="AG185" s="52" t="n">
        <x:f>IFERROR(U185/F185,0)</x:f>
        <x:v>0.8553571428571428</x:v>
      </x:c>
    </x:row>
    <x:row r="186">
      <x:c r="A186" s="50" t="n">
        <x:v>46198</x:v>
      </x:c>
      <x:c r="B186" s="48" t="str">
        <x:v>Paneer</x:v>
      </x:c>
      <x:c r="C186" s="48" t="n">
        <x:v>5</x:v>
      </x:c>
      <x:c r="D186" s="54" t="n">
        <x:v>162</x:v>
      </x:c>
      <x:c r="E186" s="54" t="n">
        <x:v>177</x:v>
      </x:c>
      <x:c r="F186" s="54" t="n">
        <x:v>230</x:v>
      </x:c>
      <x:c r="G186" s="54" t="n">
        <x:f>ROUND(D186*0.97,0)</x:f>
        <x:v>157</x:v>
      </x:c>
      <x:c r="H186" s="52" t="n">
        <x:v>1.0164266065630303</x:v>
      </x:c>
      <x:c r="I186" s="54" t="n">
        <x:f>MIN(F186,ROUND(G186*H186,0))</x:f>
        <x:v>160</x:v>
      </x:c>
      <x:c r="J186" s="54" t="n">
        <x:f>Q181</x:f>
        <x:v>0</x:v>
      </x:c>
      <x:c r="K186" s="54" t="n">
        <x:f>I186+J186</x:f>
        <x:v>160</x:v>
      </x:c>
      <x:c r="L186" s="54" t="n">
        <x:f>MIN(E186,K186)</x:f>
        <x:v>160</x:v>
      </x:c>
      <x:c r="M186" s="54" t="n">
        <x:f>MAX(E186-K186,0)</x:f>
        <x:v>17</x:v>
      </x:c>
      <x:c r="N186" s="54" t="n">
        <x:f>MAX(K186-L186,0)</x:f>
        <x:v>0</x:v>
      </x:c>
      <x:c r="O186" s="52" t="n">
        <x:v>0.025</x:v>
      </x:c>
      <x:c r="P186" s="54" t="n">
        <x:f>MIN(N186,ROUND(N186*O186,0))</x:f>
        <x:v>0</x:v>
      </x:c>
      <x:c r="Q186" s="54" t="n">
        <x:f>N186-P186</x:f>
        <x:v>0</x:v>
      </x:c>
      <x:c r="R186" s="54" t="n">
        <x:v>32</x:v>
      </x:c>
      <x:c r="S186" s="54" t="n">
        <x:f>MIN(F186,MAX(0,ROUND(D186+R186-V186,0)))</x:f>
        <x:v>163</x:v>
      </x:c>
      <x:c r="T186" s="52" t="n">
        <x:v>0.9925641839229558</x:v>
      </x:c>
      <x:c r="U186" s="54" t="n">
        <x:f>MIN(F186,MAX(0,ROUND(S186*T186,0)))</x:f>
        <x:v>162</x:v>
      </x:c>
      <x:c r="V186" s="54" t="n">
        <x:f>AB181</x:f>
        <x:v>31</x:v>
      </x:c>
      <x:c r="W186" s="54" t="n">
        <x:f>U186+V186</x:f>
        <x:v>193</x:v>
      </x:c>
      <x:c r="X186" s="54" t="n">
        <x:f>MIN(E186,W186)</x:f>
        <x:v>177</x:v>
      </x:c>
      <x:c r="Y186" s="54" t="n">
        <x:f>MAX(E186-W186,0)</x:f>
        <x:v>0</x:v>
      </x:c>
      <x:c r="Z186" s="54" t="n">
        <x:f>MAX(W186-X186,0)</x:f>
        <x:v>16</x:v>
      </x:c>
      <x:c r="AA186" s="54" t="n">
        <x:f>MIN(Z186,ROUND(Z186*O186,0))</x:f>
        <x:v>0</x:v>
      </x:c>
      <x:c r="AB186" s="54" t="n">
        <x:f>Z186-AA186</x:f>
        <x:v>16</x:v>
      </x:c>
      <x:c r="AC186" s="52" t="n">
        <x:f>IFERROR(ABS(E186-D186)/E186,0)</x:f>
        <x:v>0.0847457627118644</x:v>
      </x:c>
      <x:c r="AD186" s="52" t="n">
        <x:f>IFERROR(L186/E186,1)</x:f>
        <x:v>0.903954802259887</x:v>
      </x:c>
      <x:c r="AE186" s="52" t="n">
        <x:f>IFERROR(X186/E186,1)</x:f>
        <x:v>1</x:v>
      </x:c>
      <x:c r="AF186" s="52" t="n">
        <x:f>IFERROR(I186/F186,0)</x:f>
        <x:v>0.6956521739130435</x:v>
      </x:c>
      <x:c r="AG186" s="52" t="n">
        <x:f>IFERROR(U186/F186,0)</x:f>
        <x:v>0.7043478260869566</x:v>
      </x:c>
    </x:row>
    <x:row r="187">
      <x:c r="A187" s="50" t="n">
        <x:v>46199</x:v>
      </x:c>
      <x:c r="B187" s="48" t="str">
        <x:v>Toned Milk</x:v>
      </x:c>
      <x:c r="C187" s="48" t="n">
        <x:v>2</x:v>
      </x:c>
      <x:c r="D187" s="54" t="n">
        <x:v>1791</x:v>
      </x:c>
      <x:c r="E187" s="54" t="n">
        <x:v>2109</x:v>
      </x:c>
      <x:c r="F187" s="54" t="n">
        <x:v>2250</x:v>
      </x:c>
      <x:c r="G187" s="54" t="n">
        <x:f>ROUND(D187*0.97,0)</x:f>
        <x:v>1737</x:v>
      </x:c>
      <x:c r="H187" s="52" t="n">
        <x:v>0.9865614414807784</x:v>
      </x:c>
      <x:c r="I187" s="54" t="n">
        <x:f>MIN(F187,ROUND(G187*H187,0))</x:f>
        <x:v>1714</x:v>
      </x:c>
      <x:c r="J187" s="54" t="n">
        <x:f>Q182</x:f>
        <x:v>0</x:v>
      </x:c>
      <x:c r="K187" s="54" t="n">
        <x:f>I187+J187</x:f>
        <x:v>1714</x:v>
      </x:c>
      <x:c r="L187" s="54" t="n">
        <x:f>MIN(E187,K187)</x:f>
        <x:v>1714</x:v>
      </x:c>
      <x:c r="M187" s="54" t="n">
        <x:f>MAX(E187-K187,0)</x:f>
        <x:v>395</x:v>
      </x:c>
      <x:c r="N187" s="54" t="n">
        <x:f>MAX(K187-L187,0)</x:f>
        <x:v>0</x:v>
      </x:c>
      <x:c r="O187" s="52" t="n">
        <x:v>0.025</x:v>
      </x:c>
      <x:c r="P187" s="54" t="n">
        <x:f>MIN(N187,ROUND(N187*O187,0))</x:f>
        <x:v>0</x:v>
      </x:c>
      <x:c r="Q187" s="54" t="n">
        <x:f>N187-P187</x:f>
        <x:v>0</x:v>
      </x:c>
      <x:c r="R187" s="54" t="n">
        <x:v>215</x:v>
      </x:c>
      <x:c r="S187" s="54" t="n">
        <x:f>MIN(F187,MAX(0,ROUND(D187+R187-V187,0)))</x:f>
        <x:v>2006</x:v>
      </x:c>
      <x:c r="T187" s="52" t="n">
        <x:v>0.9862035350398101</x:v>
      </x:c>
      <x:c r="U187" s="54" t="n">
        <x:f>MIN(F187,MAX(0,ROUND(S187*T187,0)))</x:f>
        <x:v>1978</x:v>
      </x:c>
      <x:c r="V187" s="54" t="n">
        <x:f>AB182</x:f>
        <x:v>0</x:v>
      </x:c>
      <x:c r="W187" s="54" t="n">
        <x:f>U187+V187</x:f>
        <x:v>1978</x:v>
      </x:c>
      <x:c r="X187" s="54" t="n">
        <x:f>MIN(E187,W187)</x:f>
        <x:v>1978</x:v>
      </x:c>
      <x:c r="Y187" s="54" t="n">
        <x:f>MAX(E187-W187,0)</x:f>
        <x:v>131</x:v>
      </x:c>
      <x:c r="Z187" s="54" t="n">
        <x:f>MAX(W187-X187,0)</x:f>
        <x:v>0</x:v>
      </x:c>
      <x:c r="AA187" s="54" t="n">
        <x:f>MIN(Z187,ROUND(Z187*O187,0))</x:f>
        <x:v>0</x:v>
      </x:c>
      <x:c r="AB187" s="54" t="n">
        <x:f>Z187-AA187</x:f>
        <x:v>0</x:v>
      </x:c>
      <x:c r="AC187" s="52" t="n">
        <x:f>IFERROR(ABS(E187-D187)/E187,0)</x:f>
        <x:v>0.1507823613086771</x:v>
      </x:c>
      <x:c r="AD187" s="52" t="n">
        <x:f>IFERROR(L187/E187,1)</x:f>
        <x:v>0.8127074442863916</x:v>
      </x:c>
      <x:c r="AE187" s="52" t="n">
        <x:f>IFERROR(X187/E187,1)</x:f>
        <x:v>0.9378852536747273</x:v>
      </x:c>
      <x:c r="AF187" s="52" t="n">
        <x:f>IFERROR(I187/F187,0)</x:f>
        <x:v>0.7617777777777778</x:v>
      </x:c>
      <x:c r="AG187" s="52" t="n">
        <x:f>IFERROR(U187/F187,0)</x:f>
        <x:v>0.8791111111111111</x:v>
      </x:c>
    </x:row>
    <x:row r="188">
      <x:c r="A188" s="50" t="n">
        <x:v>46199</x:v>
      </x:c>
      <x:c r="B188" s="48" t="str">
        <x:v>Full Cream Milk</x:v>
      </x:c>
      <x:c r="C188" s="48" t="n">
        <x:v>2</x:v>
      </x:c>
      <x:c r="D188" s="54" t="n">
        <x:v>895</x:v>
      </x:c>
      <x:c r="E188" s="54" t="n">
        <x:v>762</x:v>
      </x:c>
      <x:c r="F188" s="54" t="n">
        <x:v>1200</x:v>
      </x:c>
      <x:c r="G188" s="54" t="n">
        <x:f>ROUND(D188*0.97,0)</x:f>
        <x:v>868</x:v>
      </x:c>
      <x:c r="H188" s="52" t="n">
        <x:v>0.9889927726421808</x:v>
      </x:c>
      <x:c r="I188" s="54" t="n">
        <x:f>MIN(F188,ROUND(G188*H188,0))</x:f>
        <x:v>858</x:v>
      </x:c>
      <x:c r="J188" s="54" t="n">
        <x:f>Q183</x:f>
        <x:v>0</x:v>
      </x:c>
      <x:c r="K188" s="54" t="n">
        <x:f>I188+J188</x:f>
        <x:v>858</x:v>
      </x:c>
      <x:c r="L188" s="54" t="n">
        <x:f>MIN(E188,K188)</x:f>
        <x:v>762</x:v>
      </x:c>
      <x:c r="M188" s="54" t="n">
        <x:f>MAX(E188-K188,0)</x:f>
        <x:v>0</x:v>
      </x:c>
      <x:c r="N188" s="54" t="n">
        <x:f>MAX(K188-L188,0)</x:f>
        <x:v>96</x:v>
      </x:c>
      <x:c r="O188" s="52" t="n">
        <x:v>0.03</x:v>
      </x:c>
      <x:c r="P188" s="54" t="n">
        <x:f>MIN(N188,ROUND(N188*O188,0))</x:f>
        <x:v>3</x:v>
      </x:c>
      <x:c r="Q188" s="54" t="n">
        <x:f>N188-P188</x:f>
        <x:v>93</x:v>
      </x:c>
      <x:c r="R188" s="54" t="n">
        <x:v>107</x:v>
      </x:c>
      <x:c r="S188" s="54" t="n">
        <x:f>MIN(F188,MAX(0,ROUND(D188+R188-V188,0)))</x:f>
        <x:v>1002</x:v>
      </x:c>
      <x:c r="T188" s="52" t="n">
        <x:v>0.9901109583038114</x:v>
      </x:c>
      <x:c r="U188" s="54" t="n">
        <x:f>MIN(F188,MAX(0,ROUND(S188*T188,0)))</x:f>
        <x:v>992</x:v>
      </x:c>
      <x:c r="V188" s="54" t="n">
        <x:f>AB183</x:f>
        <x:v>0</x:v>
      </x:c>
      <x:c r="W188" s="54" t="n">
        <x:f>U188+V188</x:f>
        <x:v>992</x:v>
      </x:c>
      <x:c r="X188" s="54" t="n">
        <x:f>MIN(E188,W188)</x:f>
        <x:v>762</x:v>
      </x:c>
      <x:c r="Y188" s="54" t="n">
        <x:f>MAX(E188-W188,0)</x:f>
        <x:v>0</x:v>
      </x:c>
      <x:c r="Z188" s="54" t="n">
        <x:f>MAX(W188-X188,0)</x:f>
        <x:v>230</x:v>
      </x:c>
      <x:c r="AA188" s="54" t="n">
        <x:f>MIN(Z188,ROUND(Z188*O188,0))</x:f>
        <x:v>7</x:v>
      </x:c>
      <x:c r="AB188" s="54" t="n">
        <x:f>Z188-AA188</x:f>
        <x:v>223</x:v>
      </x:c>
      <x:c r="AC188" s="52" t="n">
        <x:f>IFERROR(ABS(E188-D188)/E188,0)</x:f>
        <x:v>0.17454068241469817</x:v>
      </x:c>
      <x:c r="AD188" s="52" t="n">
        <x:f>IFERROR(L188/E188,1)</x:f>
        <x:v>1</x:v>
      </x:c>
      <x:c r="AE188" s="52" t="n">
        <x:f>IFERROR(X188/E188,1)</x:f>
        <x:v>1</x:v>
      </x:c>
      <x:c r="AF188" s="52" t="n">
        <x:f>IFERROR(I188/F188,0)</x:f>
        <x:v>0.715</x:v>
      </x:c>
      <x:c r="AG188" s="52" t="n">
        <x:f>IFERROR(U188/F188,0)</x:f>
        <x:v>0.8266666666666667</x:v>
      </x:c>
    </x:row>
    <x:row r="189">
      <x:c r="A189" s="50" t="n">
        <x:v>46199</x:v>
      </x:c>
      <x:c r="B189" s="48" t="str">
        <x:v>Curd</x:v>
      </x:c>
      <x:c r="C189" s="48" t="n">
        <x:v>7</x:v>
      </x:c>
      <x:c r="D189" s="54" t="n">
        <x:v>527</x:v>
      </x:c>
      <x:c r="E189" s="54" t="n">
        <x:v>621</x:v>
      </x:c>
      <x:c r="F189" s="54" t="n">
        <x:v>700</x:v>
      </x:c>
      <x:c r="G189" s="54" t="n">
        <x:f>ROUND(D189*0.97,0)</x:f>
        <x:v>511</x:v>
      </x:c>
      <x:c r="H189" s="52" t="n">
        <x:v>0.9977913268606458</x:v>
      </x:c>
      <x:c r="I189" s="54" t="n">
        <x:f>MIN(F189,ROUND(G189*H189,0))</x:f>
        <x:v>510</x:v>
      </x:c>
      <x:c r="J189" s="54" t="n">
        <x:f>Q184</x:f>
        <x:v>48</x:v>
      </x:c>
      <x:c r="K189" s="54" t="n">
        <x:f>I189+J189</x:f>
        <x:v>558</x:v>
      </x:c>
      <x:c r="L189" s="54" t="n">
        <x:f>MIN(E189,K189)</x:f>
        <x:v>558</x:v>
      </x:c>
      <x:c r="M189" s="54" t="n">
        <x:f>MAX(E189-K189,0)</x:f>
        <x:v>63</x:v>
      </x:c>
      <x:c r="N189" s="54" t="n">
        <x:f>MAX(K189-L189,0)</x:f>
        <x:v>0</x:v>
      </x:c>
      <x:c r="O189" s="52" t="n">
        <x:v>0.018</x:v>
      </x:c>
      <x:c r="P189" s="54" t="n">
        <x:f>MIN(N189,ROUND(N189*O189,0))</x:f>
        <x:v>0</x:v>
      </x:c>
      <x:c r="Q189" s="54" t="n">
        <x:f>N189-P189</x:f>
        <x:v>0</x:v>
      </x:c>
      <x:c r="R189" s="54" t="n">
        <x:v>95</x:v>
      </x:c>
      <x:c r="S189" s="54" t="n">
        <x:f>MIN(F189,MAX(0,ROUND(D189+R189-V189,0)))</x:f>
        <x:v>494</x:v>
      </x:c>
      <x:c r="T189" s="52" t="n">
        <x:v>0.9849370592532984</x:v>
      </x:c>
      <x:c r="U189" s="54" t="n">
        <x:f>MIN(F189,MAX(0,ROUND(S189*T189,0)))</x:f>
        <x:v>487</x:v>
      </x:c>
      <x:c r="V189" s="54" t="n">
        <x:f>AB184</x:f>
        <x:v>128</x:v>
      </x:c>
      <x:c r="W189" s="54" t="n">
        <x:f>U189+V189</x:f>
        <x:v>615</x:v>
      </x:c>
      <x:c r="X189" s="54" t="n">
        <x:f>MIN(E189,W189)</x:f>
        <x:v>615</x:v>
      </x:c>
      <x:c r="Y189" s="54" t="n">
        <x:f>MAX(E189-W189,0)</x:f>
        <x:v>6</x:v>
      </x:c>
      <x:c r="Z189" s="54" t="n">
        <x:f>MAX(W189-X189,0)</x:f>
        <x:v>0</x:v>
      </x:c>
      <x:c r="AA189" s="54" t="n">
        <x:f>MIN(Z189,ROUND(Z189*O189,0))</x:f>
        <x:v>0</x:v>
      </x:c>
      <x:c r="AB189" s="54" t="n">
        <x:f>Z189-AA189</x:f>
        <x:v>0</x:v>
      </x:c>
      <x:c r="AC189" s="52" t="n">
        <x:f>IFERROR(ABS(E189-D189)/E189,0)</x:f>
        <x:v>0.15136876006441224</x:v>
      </x:c>
      <x:c r="AD189" s="52" t="n">
        <x:f>IFERROR(L189/E189,1)</x:f>
        <x:v>0.8985507246376812</x:v>
      </x:c>
      <x:c r="AE189" s="52" t="n">
        <x:f>IFERROR(X189/E189,1)</x:f>
        <x:v>0.9903381642512077</x:v>
      </x:c>
      <x:c r="AF189" s="52" t="n">
        <x:f>IFERROR(I189/F189,0)</x:f>
        <x:v>0.7285714285714285</x:v>
      </x:c>
      <x:c r="AG189" s="52" t="n">
        <x:f>IFERROR(U189/F189,0)</x:f>
        <x:v>0.6957142857142857</x:v>
      </x:c>
    </x:row>
    <x:row r="190">
      <x:c r="A190" s="50" t="n">
        <x:v>46199</x:v>
      </x:c>
      <x:c r="B190" s="48" t="str">
        <x:v>Lassi</x:v>
      </x:c>
      <x:c r="C190" s="48" t="n">
        <x:v>7</x:v>
      </x:c>
      <x:c r="D190" s="54" t="n">
        <x:v>421</x:v>
      </x:c>
      <x:c r="E190" s="54" t="n">
        <x:v>448</x:v>
      </x:c>
      <x:c r="F190" s="54" t="n">
        <x:v>560</x:v>
      </x:c>
      <x:c r="G190" s="54" t="n">
        <x:f>ROUND(D190*0.97,0)</x:f>
        <x:v>408</x:v>
      </x:c>
      <x:c r="H190" s="52" t="n">
        <x:v>0.9817119439645896</x:v>
      </x:c>
      <x:c r="I190" s="54" t="n">
        <x:f>MIN(F190,ROUND(G190*H190,0))</x:f>
        <x:v>401</x:v>
      </x:c>
      <x:c r="J190" s="54" t="n">
        <x:f>Q185</x:f>
        <x:v>0</x:v>
      </x:c>
      <x:c r="K190" s="54" t="n">
        <x:f>I190+J190</x:f>
        <x:v>401</x:v>
      </x:c>
      <x:c r="L190" s="54" t="n">
        <x:f>MIN(E190,K190)</x:f>
        <x:v>401</x:v>
      </x:c>
      <x:c r="M190" s="54" t="n">
        <x:f>MAX(E190-K190,0)</x:f>
        <x:v>47</x:v>
      </x:c>
      <x:c r="N190" s="54" t="n">
        <x:f>MAX(K190-L190,0)</x:f>
        <x:v>0</x:v>
      </x:c>
      <x:c r="O190" s="52" t="n">
        <x:v>0.02</x:v>
      </x:c>
      <x:c r="P190" s="54" t="n">
        <x:f>MIN(N190,ROUND(N190*O190,0))</x:f>
        <x:v>0</x:v>
      </x:c>
      <x:c r="Q190" s="54" t="n">
        <x:f>N190-P190</x:f>
        <x:v>0</x:v>
      </x:c>
      <x:c r="R190" s="54" t="n">
        <x:v>76</x:v>
      </x:c>
      <x:c r="S190" s="54" t="n">
        <x:f>MIN(F190,MAX(0,ROUND(D190+R190-V190,0)))</x:f>
        <x:v>412</x:v>
      </x:c>
      <x:c r="T190" s="52" t="n">
        <x:v>0.9948906412682094</x:v>
      </x:c>
      <x:c r="U190" s="54" t="n">
        <x:f>MIN(F190,MAX(0,ROUND(S190*T190,0)))</x:f>
        <x:v>410</x:v>
      </x:c>
      <x:c r="V190" s="54" t="n">
        <x:f>AB185</x:f>
        <x:v>85</x:v>
      </x:c>
      <x:c r="W190" s="54" t="n">
        <x:f>U190+V190</x:f>
        <x:v>495</x:v>
      </x:c>
      <x:c r="X190" s="54" t="n">
        <x:f>MIN(E190,W190)</x:f>
        <x:v>448</x:v>
      </x:c>
      <x:c r="Y190" s="54" t="n">
        <x:f>MAX(E190-W190,0)</x:f>
        <x:v>0</x:v>
      </x:c>
      <x:c r="Z190" s="54" t="n">
        <x:f>MAX(W190-X190,0)</x:f>
        <x:v>47</x:v>
      </x:c>
      <x:c r="AA190" s="54" t="n">
        <x:f>MIN(Z190,ROUND(Z190*O190,0))</x:f>
        <x:v>1</x:v>
      </x:c>
      <x:c r="AB190" s="54" t="n">
        <x:f>Z190-AA190</x:f>
        <x:v>46</x:v>
      </x:c>
      <x:c r="AC190" s="52" t="n">
        <x:f>IFERROR(ABS(E190-D190)/E190,0)</x:f>
        <x:v>0.060267857142857144</x:v>
      </x:c>
      <x:c r="AD190" s="52" t="n">
        <x:f>IFERROR(L190/E190,1)</x:f>
        <x:v>0.8950892857142857</x:v>
      </x:c>
      <x:c r="AE190" s="52" t="n">
        <x:f>IFERROR(X190/E190,1)</x:f>
        <x:v>1</x:v>
      </x:c>
      <x:c r="AF190" s="52" t="n">
        <x:f>IFERROR(I190/F190,0)</x:f>
        <x:v>0.7160714285714286</x:v>
      </x:c>
      <x:c r="AG190" s="52" t="n">
        <x:f>IFERROR(U190/F190,0)</x:f>
        <x:v>0.7321428571428571</x:v>
      </x:c>
    </x:row>
    <x:row r="191">
      <x:c r="A191" s="50" t="n">
        <x:v>46199</x:v>
      </x:c>
      <x:c r="B191" s="48" t="str">
        <x:v>Paneer</x:v>
      </x:c>
      <x:c r="C191" s="48" t="n">
        <x:v>5</x:v>
      </x:c>
      <x:c r="D191" s="54" t="n">
        <x:v>169</x:v>
      </x:c>
      <x:c r="E191" s="54" t="n">
        <x:v>163</x:v>
      </x:c>
      <x:c r="F191" s="54" t="n">
        <x:v>230</x:v>
      </x:c>
      <x:c r="G191" s="54" t="n">
        <x:f>ROUND(D191*0.97,0)</x:f>
        <x:v>164</x:v>
      </x:c>
      <x:c r="H191" s="52" t="n">
        <x:v>1.0060189069363326</x:v>
      </x:c>
      <x:c r="I191" s="54" t="n">
        <x:f>MIN(F191,ROUND(G191*H191,0))</x:f>
        <x:v>165</x:v>
      </x:c>
      <x:c r="J191" s="54" t="n">
        <x:f>Q186</x:f>
        <x:v>0</x:v>
      </x:c>
      <x:c r="K191" s="54" t="n">
        <x:f>I191+J191</x:f>
        <x:v>165</x:v>
      </x:c>
      <x:c r="L191" s="54" t="n">
        <x:f>MIN(E191,K191)</x:f>
        <x:v>163</x:v>
      </x:c>
      <x:c r="M191" s="54" t="n">
        <x:f>MAX(E191-K191,0)</x:f>
        <x:v>0</x:v>
      </x:c>
      <x:c r="N191" s="54" t="n">
        <x:f>MAX(K191-L191,0)</x:f>
        <x:v>2</x:v>
      </x:c>
      <x:c r="O191" s="52" t="n">
        <x:v>0.025</x:v>
      </x:c>
      <x:c r="P191" s="54" t="n">
        <x:f>MIN(N191,ROUND(N191*O191,0))</x:f>
        <x:v>0</x:v>
      </x:c>
      <x:c r="Q191" s="54" t="n">
        <x:f>N191-P191</x:f>
        <x:v>2</x:v>
      </x:c>
      <x:c r="R191" s="54" t="n">
        <x:v>34</x:v>
      </x:c>
      <x:c r="S191" s="54" t="n">
        <x:f>MIN(F191,MAX(0,ROUND(D191+R191-V191,0)))</x:f>
        <x:v>187</x:v>
      </x:c>
      <x:c r="T191" s="52" t="n">
        <x:v>0.9961715418541314</x:v>
      </x:c>
      <x:c r="U191" s="54" t="n">
        <x:f>MIN(F191,MAX(0,ROUND(S191*T191,0)))</x:f>
        <x:v>186</x:v>
      </x:c>
      <x:c r="V191" s="54" t="n">
        <x:f>AB186</x:f>
        <x:v>16</x:v>
      </x:c>
      <x:c r="W191" s="54" t="n">
        <x:f>U191+V191</x:f>
        <x:v>202</x:v>
      </x:c>
      <x:c r="X191" s="54" t="n">
        <x:f>MIN(E191,W191)</x:f>
        <x:v>163</x:v>
      </x:c>
      <x:c r="Y191" s="54" t="n">
        <x:f>MAX(E191-W191,0)</x:f>
        <x:v>0</x:v>
      </x:c>
      <x:c r="Z191" s="54" t="n">
        <x:f>MAX(W191-X191,0)</x:f>
        <x:v>39</x:v>
      </x:c>
      <x:c r="AA191" s="54" t="n">
        <x:f>MIN(Z191,ROUND(Z191*O191,0))</x:f>
        <x:v>1</x:v>
      </x:c>
      <x:c r="AB191" s="54" t="n">
        <x:f>Z191-AA191</x:f>
        <x:v>38</x:v>
      </x:c>
      <x:c r="AC191" s="52" t="n">
        <x:f>IFERROR(ABS(E191-D191)/E191,0)</x:f>
        <x:v>0.03680981595092025</x:v>
      </x:c>
      <x:c r="AD191" s="52" t="n">
        <x:f>IFERROR(L191/E191,1)</x:f>
        <x:v>1</x:v>
      </x:c>
      <x:c r="AE191" s="52" t="n">
        <x:f>IFERROR(X191/E191,1)</x:f>
        <x:v>1</x:v>
      </x:c>
      <x:c r="AF191" s="52" t="n">
        <x:f>IFERROR(I191/F191,0)</x:f>
        <x:v>0.717391304347826</x:v>
      </x:c>
      <x:c r="AG191" s="52" t="n">
        <x:f>IFERROR(U191/F191,0)</x:f>
        <x:v>0.808695652173913</x:v>
      </x:c>
    </x:row>
    <x:row r="192">
      <x:c r="A192" s="50" t="n">
        <x:v>46200</x:v>
      </x:c>
      <x:c r="B192" s="48" t="str">
        <x:v>Toned Milk</x:v>
      </x:c>
      <x:c r="C192" s="48" t="n">
        <x:v>2</x:v>
      </x:c>
      <x:c r="D192" s="54" t="n">
        <x:v>1964</x:v>
      </x:c>
      <x:c r="E192" s="54" t="n">
        <x:v>1686</x:v>
      </x:c>
      <x:c r="F192" s="54" t="n">
        <x:v>2250</x:v>
      </x:c>
      <x:c r="G192" s="54" t="n">
        <x:f>ROUND(D192*0.97,0)</x:f>
        <x:v>1905</x:v>
      </x:c>
      <x:c r="H192" s="52" t="n">
        <x:v>1.0178886205000195</x:v>
      </x:c>
      <x:c r="I192" s="54" t="n">
        <x:f>MIN(F192,ROUND(G192*H192,0))</x:f>
        <x:v>1939</x:v>
      </x:c>
      <x:c r="J192" s="54" t="n">
        <x:f>Q187</x:f>
        <x:v>0</x:v>
      </x:c>
      <x:c r="K192" s="54" t="n">
        <x:f>I192+J192</x:f>
        <x:v>1939</x:v>
      </x:c>
      <x:c r="L192" s="54" t="n">
        <x:f>MIN(E192,K192)</x:f>
        <x:v>1686</x:v>
      </x:c>
      <x:c r="M192" s="54" t="n">
        <x:f>MAX(E192-K192,0)</x:f>
        <x:v>0</x:v>
      </x:c>
      <x:c r="N192" s="54" t="n">
        <x:f>MAX(K192-L192,0)</x:f>
        <x:v>253</x:v>
      </x:c>
      <x:c r="O192" s="52" t="n">
        <x:v>0.025</x:v>
      </x:c>
      <x:c r="P192" s="54" t="n">
        <x:f>MIN(N192,ROUND(N192*O192,0))</x:f>
        <x:v>6</x:v>
      </x:c>
      <x:c r="Q192" s="54" t="n">
        <x:f>N192-P192</x:f>
        <x:v>247</x:v>
      </x:c>
      <x:c r="R192" s="54" t="n">
        <x:v>236</x:v>
      </x:c>
      <x:c r="S192" s="54" t="n">
        <x:f>MIN(F192,MAX(0,ROUND(D192+R192-V192,0)))</x:f>
        <x:v>2200</x:v>
      </x:c>
      <x:c r="T192" s="52" t="n">
        <x:v>1.0019748950273795</x:v>
      </x:c>
      <x:c r="U192" s="54" t="n">
        <x:f>MIN(F192,MAX(0,ROUND(S192*T192,0)))</x:f>
        <x:v>2204</x:v>
      </x:c>
      <x:c r="V192" s="54" t="n">
        <x:f>AB187</x:f>
        <x:v>0</x:v>
      </x:c>
      <x:c r="W192" s="54" t="n">
        <x:f>U192+V192</x:f>
        <x:v>2204</x:v>
      </x:c>
      <x:c r="X192" s="54" t="n">
        <x:f>MIN(E192,W192)</x:f>
        <x:v>1686</x:v>
      </x:c>
      <x:c r="Y192" s="54" t="n">
        <x:f>MAX(E192-W192,0)</x:f>
        <x:v>0</x:v>
      </x:c>
      <x:c r="Z192" s="54" t="n">
        <x:f>MAX(W192-X192,0)</x:f>
        <x:v>518</x:v>
      </x:c>
      <x:c r="AA192" s="54" t="n">
        <x:f>MIN(Z192,ROUND(Z192*O192,0))</x:f>
        <x:v>13</x:v>
      </x:c>
      <x:c r="AB192" s="54" t="n">
        <x:f>Z192-AA192</x:f>
        <x:v>505</x:v>
      </x:c>
      <x:c r="AC192" s="52" t="n">
        <x:f>IFERROR(ABS(E192-D192)/E192,0)</x:f>
        <x:v>0.16488730723606168</x:v>
      </x:c>
      <x:c r="AD192" s="52" t="n">
        <x:f>IFERROR(L192/E192,1)</x:f>
        <x:v>1</x:v>
      </x:c>
      <x:c r="AE192" s="52" t="n">
        <x:f>IFERROR(X192/E192,1)</x:f>
        <x:v>1</x:v>
      </x:c>
      <x:c r="AF192" s="52" t="n">
        <x:f>IFERROR(I192/F192,0)</x:f>
        <x:v>0.8617777777777778</x:v>
      </x:c>
      <x:c r="AG192" s="52" t="n">
        <x:f>IFERROR(U192/F192,0)</x:f>
        <x:v>0.9795555555555555</x:v>
      </x:c>
    </x:row>
    <x:row r="193">
      <x:c r="A193" s="50" t="n">
        <x:v>46200</x:v>
      </x:c>
      <x:c r="B193" s="48" t="str">
        <x:v>Full Cream Milk</x:v>
      </x:c>
      <x:c r="C193" s="48" t="n">
        <x:v>2</x:v>
      </x:c>
      <x:c r="D193" s="54" t="n">
        <x:v>982</x:v>
      </x:c>
      <x:c r="E193" s="54" t="n">
        <x:v>1109</x:v>
      </x:c>
      <x:c r="F193" s="54" t="n">
        <x:v>1200</x:v>
      </x:c>
      <x:c r="G193" s="54" t="n">
        <x:f>ROUND(D193*0.97,0)</x:f>
        <x:v>953</x:v>
      </x:c>
      <x:c r="H193" s="52" t="n">
        <x:v>1.0133299966383122</x:v>
      </x:c>
      <x:c r="I193" s="54" t="n">
        <x:f>MIN(F193,ROUND(G193*H193,0))</x:f>
        <x:v>966</x:v>
      </x:c>
      <x:c r="J193" s="54" t="n">
        <x:f>Q188</x:f>
        <x:v>93</x:v>
      </x:c>
      <x:c r="K193" s="54" t="n">
        <x:f>I193+J193</x:f>
        <x:v>1059</x:v>
      </x:c>
      <x:c r="L193" s="54" t="n">
        <x:f>MIN(E193,K193)</x:f>
        <x:v>1059</x:v>
      </x:c>
      <x:c r="M193" s="54" t="n">
        <x:f>MAX(E193-K193,0)</x:f>
        <x:v>50</x:v>
      </x:c>
      <x:c r="N193" s="54" t="n">
        <x:f>MAX(K193-L193,0)</x:f>
        <x:v>0</x:v>
      </x:c>
      <x:c r="O193" s="52" t="n">
        <x:v>0.03</x:v>
      </x:c>
      <x:c r="P193" s="54" t="n">
        <x:f>MIN(N193,ROUND(N193*O193,0))</x:f>
        <x:v>0</x:v>
      </x:c>
      <x:c r="Q193" s="54" t="n">
        <x:f>N193-P193</x:f>
        <x:v>0</x:v>
      </x:c>
      <x:c r="R193" s="54" t="n">
        <x:v>118</x:v>
      </x:c>
      <x:c r="S193" s="54" t="n">
        <x:f>MIN(F193,MAX(0,ROUND(D193+R193-V193,0)))</x:f>
        <x:v>877</x:v>
      </x:c>
      <x:c r="T193" s="52" t="n">
        <x:v>0.9975878407012982</x:v>
      </x:c>
      <x:c r="U193" s="54" t="n">
        <x:f>MIN(F193,MAX(0,ROUND(S193*T193,0)))</x:f>
        <x:v>875</x:v>
      </x:c>
      <x:c r="V193" s="54" t="n">
        <x:f>AB188</x:f>
        <x:v>223</x:v>
      </x:c>
      <x:c r="W193" s="54" t="n">
        <x:f>U193+V193</x:f>
        <x:v>1098</x:v>
      </x:c>
      <x:c r="X193" s="54" t="n">
        <x:f>MIN(E193,W193)</x:f>
        <x:v>1098</x:v>
      </x:c>
      <x:c r="Y193" s="54" t="n">
        <x:f>MAX(E193-W193,0)</x:f>
        <x:v>11</x:v>
      </x:c>
      <x:c r="Z193" s="54" t="n">
        <x:f>MAX(W193-X193,0)</x:f>
        <x:v>0</x:v>
      </x:c>
      <x:c r="AA193" s="54" t="n">
        <x:f>MIN(Z193,ROUND(Z193*O193,0))</x:f>
        <x:v>0</x:v>
      </x:c>
      <x:c r="AB193" s="54" t="n">
        <x:f>Z193-AA193</x:f>
        <x:v>0</x:v>
      </x:c>
      <x:c r="AC193" s="52" t="n">
        <x:f>IFERROR(ABS(E193-D193)/E193,0)</x:f>
        <x:v>0.1145175834084761</x:v>
      </x:c>
      <x:c r="AD193" s="52" t="n">
        <x:f>IFERROR(L193/E193,1)</x:f>
        <x:v>0.9549143372407575</x:v>
      </x:c>
      <x:c r="AE193" s="52" t="n">
        <x:f>IFERROR(X193/E193,1)</x:f>
        <x:v>0.9900811541929666</x:v>
      </x:c>
      <x:c r="AF193" s="52" t="n">
        <x:f>IFERROR(I193/F193,0)</x:f>
        <x:v>0.805</x:v>
      </x:c>
      <x:c r="AG193" s="52" t="n">
        <x:f>IFERROR(U193/F193,0)</x:f>
        <x:v>0.7291666666666666</x:v>
      </x:c>
    </x:row>
    <x:row r="194">
      <x:c r="A194" s="50" t="n">
        <x:v>46200</x:v>
      </x:c>
      <x:c r="B194" s="48" t="str">
        <x:v>Curd</x:v>
      </x:c>
      <x:c r="C194" s="48" t="n">
        <x:v>7</x:v>
      </x:c>
      <x:c r="D194" s="54" t="n">
        <x:v>578</x:v>
      </x:c>
      <x:c r="E194" s="54" t="n">
        <x:v>558</x:v>
      </x:c>
      <x:c r="F194" s="54" t="n">
        <x:v>700</x:v>
      </x:c>
      <x:c r="G194" s="54" t="n">
        <x:f>ROUND(D194*0.97,0)</x:f>
        <x:v>561</x:v>
      </x:c>
      <x:c r="H194" s="52" t="n">
        <x:v>1.010006443669936</x:v>
      </x:c>
      <x:c r="I194" s="54" t="n">
        <x:f>MIN(F194,ROUND(G194*H194,0))</x:f>
        <x:v>567</x:v>
      </x:c>
      <x:c r="J194" s="54" t="n">
        <x:f>Q189</x:f>
        <x:v>0</x:v>
      </x:c>
      <x:c r="K194" s="54" t="n">
        <x:f>I194+J194</x:f>
        <x:v>567</x:v>
      </x:c>
      <x:c r="L194" s="54" t="n">
        <x:f>MIN(E194,K194)</x:f>
        <x:v>558</x:v>
      </x:c>
      <x:c r="M194" s="54" t="n">
        <x:f>MAX(E194-K194,0)</x:f>
        <x:v>0</x:v>
      </x:c>
      <x:c r="N194" s="54" t="n">
        <x:f>MAX(K194-L194,0)</x:f>
        <x:v>9</x:v>
      </x:c>
      <x:c r="O194" s="52" t="n">
        <x:v>0.018</x:v>
      </x:c>
      <x:c r="P194" s="54" t="n">
        <x:f>MIN(N194,ROUND(N194*O194,0))</x:f>
        <x:v>0</x:v>
      </x:c>
      <x:c r="Q194" s="54" t="n">
        <x:f>N194-P194</x:f>
        <x:v>9</x:v>
      </x:c>
      <x:c r="R194" s="54" t="n">
        <x:v>104</x:v>
      </x:c>
      <x:c r="S194" s="54" t="n">
        <x:f>MIN(F194,MAX(0,ROUND(D194+R194-V194,0)))</x:f>
        <x:v>682</x:v>
      </x:c>
      <x:c r="T194" s="52" t="n">
        <x:v>1.004259118594779</x:v>
      </x:c>
      <x:c r="U194" s="54" t="n">
        <x:f>MIN(F194,MAX(0,ROUND(S194*T194,0)))</x:f>
        <x:v>685</x:v>
      </x:c>
      <x:c r="V194" s="54" t="n">
        <x:f>AB189</x:f>
        <x:v>0</x:v>
      </x:c>
      <x:c r="W194" s="54" t="n">
        <x:f>U194+V194</x:f>
        <x:v>685</x:v>
      </x:c>
      <x:c r="X194" s="54" t="n">
        <x:f>MIN(E194,W194)</x:f>
        <x:v>558</x:v>
      </x:c>
      <x:c r="Y194" s="54" t="n">
        <x:f>MAX(E194-W194,0)</x:f>
        <x:v>0</x:v>
      </x:c>
      <x:c r="Z194" s="54" t="n">
        <x:f>MAX(W194-X194,0)</x:f>
        <x:v>127</x:v>
      </x:c>
      <x:c r="AA194" s="54" t="n">
        <x:f>MIN(Z194,ROUND(Z194*O194,0))</x:f>
        <x:v>2</x:v>
      </x:c>
      <x:c r="AB194" s="54" t="n">
        <x:f>Z194-AA194</x:f>
        <x:v>125</x:v>
      </x:c>
      <x:c r="AC194" s="52" t="n">
        <x:f>IFERROR(ABS(E194-D194)/E194,0)</x:f>
        <x:v>0.035842293906810034</x:v>
      </x:c>
      <x:c r="AD194" s="52" t="n">
        <x:f>IFERROR(L194/E194,1)</x:f>
        <x:v>1</x:v>
      </x:c>
      <x:c r="AE194" s="52" t="n">
        <x:f>IFERROR(X194/E194,1)</x:f>
        <x:v>1</x:v>
      </x:c>
      <x:c r="AF194" s="52" t="n">
        <x:f>IFERROR(I194/F194,0)</x:f>
        <x:v>0.81</x:v>
      </x:c>
      <x:c r="AG194" s="52" t="n">
        <x:f>IFERROR(U194/F194,0)</x:f>
        <x:v>0.9785714285714285</x:v>
      </x:c>
    </x:row>
    <x:row r="195">
      <x:c r="A195" s="50" t="n">
        <x:v>46200</x:v>
      </x:c>
      <x:c r="B195" s="48" t="str">
        <x:v>Lassi</x:v>
      </x:c>
      <x:c r="C195" s="48" t="n">
        <x:v>7</x:v>
      </x:c>
      <x:c r="D195" s="54" t="n">
        <x:v>458</x:v>
      </x:c>
      <x:c r="E195" s="54" t="n">
        <x:v>396</x:v>
      </x:c>
      <x:c r="F195" s="54" t="n">
        <x:v>560</x:v>
      </x:c>
      <x:c r="G195" s="54" t="n">
        <x:f>ROUND(D195*0.97,0)</x:f>
        <x:v>444</x:v>
      </x:c>
      <x:c r="H195" s="52" t="n">
        <x:v>1.0132272747996671</x:v>
      </x:c>
      <x:c r="I195" s="54" t="n">
        <x:f>MIN(F195,ROUND(G195*H195,0))</x:f>
        <x:v>450</x:v>
      </x:c>
      <x:c r="J195" s="54" t="n">
        <x:f>Q190</x:f>
        <x:v>0</x:v>
      </x:c>
      <x:c r="K195" s="54" t="n">
        <x:f>I195+J195</x:f>
        <x:v>450</x:v>
      </x:c>
      <x:c r="L195" s="54" t="n">
        <x:f>MIN(E195,K195)</x:f>
        <x:v>396</x:v>
      </x:c>
      <x:c r="M195" s="54" t="n">
        <x:f>MAX(E195-K195,0)</x:f>
        <x:v>0</x:v>
      </x:c>
      <x:c r="N195" s="54" t="n">
        <x:f>MAX(K195-L195,0)</x:f>
        <x:v>54</x:v>
      </x:c>
      <x:c r="O195" s="52" t="n">
        <x:v>0.02</x:v>
      </x:c>
      <x:c r="P195" s="54" t="n">
        <x:f>MIN(N195,ROUND(N195*O195,0))</x:f>
        <x:v>1</x:v>
      </x:c>
      <x:c r="Q195" s="54" t="n">
        <x:f>N195-P195</x:f>
        <x:v>53</x:v>
      </x:c>
      <x:c r="R195" s="54" t="n">
        <x:v>82</x:v>
      </x:c>
      <x:c r="S195" s="54" t="n">
        <x:f>MIN(F195,MAX(0,ROUND(D195+R195-V195,0)))</x:f>
        <x:v>494</x:v>
      </x:c>
      <x:c r="T195" s="52" t="n">
        <x:v>0.998488700818305</x:v>
      </x:c>
      <x:c r="U195" s="54" t="n">
        <x:f>MIN(F195,MAX(0,ROUND(S195*T195,0)))</x:f>
        <x:v>493</x:v>
      </x:c>
      <x:c r="V195" s="54" t="n">
        <x:f>AB190</x:f>
        <x:v>46</x:v>
      </x:c>
      <x:c r="W195" s="54" t="n">
        <x:f>U195+V195</x:f>
        <x:v>539</x:v>
      </x:c>
      <x:c r="X195" s="54" t="n">
        <x:f>MIN(E195,W195)</x:f>
        <x:v>396</x:v>
      </x:c>
      <x:c r="Y195" s="54" t="n">
        <x:f>MAX(E195-W195,0)</x:f>
        <x:v>0</x:v>
      </x:c>
      <x:c r="Z195" s="54" t="n">
        <x:f>MAX(W195-X195,0)</x:f>
        <x:v>143</x:v>
      </x:c>
      <x:c r="AA195" s="54" t="n">
        <x:f>MIN(Z195,ROUND(Z195*O195,0))</x:f>
        <x:v>3</x:v>
      </x:c>
      <x:c r="AB195" s="54" t="n">
        <x:f>Z195-AA195</x:f>
        <x:v>140</x:v>
      </x:c>
      <x:c r="AC195" s="52" t="n">
        <x:f>IFERROR(ABS(E195-D195)/E195,0)</x:f>
        <x:v>0.15656565656565657</x:v>
      </x:c>
      <x:c r="AD195" s="52" t="n">
        <x:f>IFERROR(L195/E195,1)</x:f>
        <x:v>1</x:v>
      </x:c>
      <x:c r="AE195" s="52" t="n">
        <x:f>IFERROR(X195/E195,1)</x:f>
        <x:v>1</x:v>
      </x:c>
      <x:c r="AF195" s="52" t="n">
        <x:f>IFERROR(I195/F195,0)</x:f>
        <x:v>0.8035714285714286</x:v>
      </x:c>
      <x:c r="AG195" s="52" t="n">
        <x:f>IFERROR(U195/F195,0)</x:f>
        <x:v>0.8803571428571428</x:v>
      </x:c>
    </x:row>
    <x:row r="196">
      <x:c r="A196" s="50" t="n">
        <x:v>46200</x:v>
      </x:c>
      <x:c r="B196" s="48" t="str">
        <x:v>Paneer</x:v>
      </x:c>
      <x:c r="C196" s="48" t="n">
        <x:v>5</x:v>
      </x:c>
      <x:c r="D196" s="54" t="n">
        <x:v>182</x:v>
      </x:c>
      <x:c r="E196" s="54" t="n">
        <x:v>154</x:v>
      </x:c>
      <x:c r="F196" s="54" t="n">
        <x:v>230</x:v>
      </x:c>
      <x:c r="G196" s="54" t="n">
        <x:f>ROUND(D196*0.97,0)</x:f>
        <x:v>177</x:v>
      </x:c>
      <x:c r="H196" s="52" t="n">
        <x:v>1.0047941308918653</x:v>
      </x:c>
      <x:c r="I196" s="54" t="n">
        <x:f>MIN(F196,ROUND(G196*H196,0))</x:f>
        <x:v>178</x:v>
      </x:c>
      <x:c r="J196" s="54" t="n">
        <x:f>Q191</x:f>
        <x:v>2</x:v>
      </x:c>
      <x:c r="K196" s="54" t="n">
        <x:f>I196+J196</x:f>
        <x:v>180</x:v>
      </x:c>
      <x:c r="L196" s="54" t="n">
        <x:f>MIN(E196,K196)</x:f>
        <x:v>154</x:v>
      </x:c>
      <x:c r="M196" s="54" t="n">
        <x:f>MAX(E196-K196,0)</x:f>
        <x:v>0</x:v>
      </x:c>
      <x:c r="N196" s="54" t="n">
        <x:f>MAX(K196-L196,0)</x:f>
        <x:v>26</x:v>
      </x:c>
      <x:c r="O196" s="52" t="n">
        <x:v>0.025</x:v>
      </x:c>
      <x:c r="P196" s="54" t="n">
        <x:f>MIN(N196,ROUND(N196*O196,0))</x:f>
        <x:v>1</x:v>
      </x:c>
      <x:c r="Q196" s="54" t="n">
        <x:f>N196-P196</x:f>
        <x:v>25</x:v>
      </x:c>
      <x:c r="R196" s="54" t="n">
        <x:v>36</x:v>
      </x:c>
      <x:c r="S196" s="54" t="n">
        <x:f>MIN(F196,MAX(0,ROUND(D196+R196-V196,0)))</x:f>
        <x:v>180</x:v>
      </x:c>
      <x:c r="T196" s="52" t="n">
        <x:v>0.9983301895989836</x:v>
      </x:c>
      <x:c r="U196" s="54" t="n">
        <x:f>MIN(F196,MAX(0,ROUND(S196*T196,0)))</x:f>
        <x:v>180</x:v>
      </x:c>
      <x:c r="V196" s="54" t="n">
        <x:f>AB191</x:f>
        <x:v>38</x:v>
      </x:c>
      <x:c r="W196" s="54" t="n">
        <x:f>U196+V196</x:f>
        <x:v>218</x:v>
      </x:c>
      <x:c r="X196" s="54" t="n">
        <x:f>MIN(E196,W196)</x:f>
        <x:v>154</x:v>
      </x:c>
      <x:c r="Y196" s="54" t="n">
        <x:f>MAX(E196-W196,0)</x:f>
        <x:v>0</x:v>
      </x:c>
      <x:c r="Z196" s="54" t="n">
        <x:f>MAX(W196-X196,0)</x:f>
        <x:v>64</x:v>
      </x:c>
      <x:c r="AA196" s="54" t="n">
        <x:f>MIN(Z196,ROUND(Z196*O196,0))</x:f>
        <x:v>2</x:v>
      </x:c>
      <x:c r="AB196" s="54" t="n">
        <x:f>Z196-AA196</x:f>
        <x:v>62</x:v>
      </x:c>
      <x:c r="AC196" s="52" t="n">
        <x:f>IFERROR(ABS(E196-D196)/E196,0)</x:f>
        <x:v>0.18181818181818182</x:v>
      </x:c>
      <x:c r="AD196" s="52" t="n">
        <x:f>IFERROR(L196/E196,1)</x:f>
        <x:v>1</x:v>
      </x:c>
      <x:c r="AE196" s="52" t="n">
        <x:f>IFERROR(X196/E196,1)</x:f>
        <x:v>1</x:v>
      </x:c>
      <x:c r="AF196" s="52" t="n">
        <x:f>IFERROR(I196/F196,0)</x:f>
        <x:v>0.7739130434782608</x:v>
      </x:c>
      <x:c r="AG196" s="52" t="n">
        <x:f>IFERROR(U196/F196,0)</x:f>
        <x:v>0.782608695652174</x:v>
      </x:c>
    </x:row>
    <x:row r="197">
      <x:c r="A197" s="50" t="n">
        <x:v>46201</x:v>
      </x:c>
      <x:c r="B197" s="48" t="str">
        <x:v>Toned Milk</x:v>
      </x:c>
      <x:c r="C197" s="48" t="n">
        <x:v>2</x:v>
      </x:c>
      <x:c r="D197" s="54" t="n">
        <x:v>1930</x:v>
      </x:c>
      <x:c r="E197" s="54" t="n">
        <x:v>2048</x:v>
      </x:c>
      <x:c r="F197" s="54" t="n">
        <x:v>2250</x:v>
      </x:c>
      <x:c r="G197" s="54" t="n">
        <x:f>ROUND(D197*0.97,0)</x:f>
        <x:v>1872</x:v>
      </x:c>
      <x:c r="H197" s="52" t="n">
        <x:v>0.9909643707236987</x:v>
      </x:c>
      <x:c r="I197" s="54" t="n">
        <x:f>MIN(F197,ROUND(G197*H197,0))</x:f>
        <x:v>1855</x:v>
      </x:c>
      <x:c r="J197" s="54" t="n">
        <x:f>Q192</x:f>
        <x:v>247</x:v>
      </x:c>
      <x:c r="K197" s="54" t="n">
        <x:f>I197+J197</x:f>
        <x:v>2102</x:v>
      </x:c>
      <x:c r="L197" s="54" t="n">
        <x:f>MIN(E197,K197)</x:f>
        <x:v>2048</x:v>
      </x:c>
      <x:c r="M197" s="54" t="n">
        <x:f>MAX(E197-K197,0)</x:f>
        <x:v>0</x:v>
      </x:c>
      <x:c r="N197" s="54" t="n">
        <x:f>MAX(K197-L197,0)</x:f>
        <x:v>54</x:v>
      </x:c>
      <x:c r="O197" s="52" t="n">
        <x:v>0.025</x:v>
      </x:c>
      <x:c r="P197" s="54" t="n">
        <x:f>MIN(N197,ROUND(N197*O197,0))</x:f>
        <x:v>1</x:v>
      </x:c>
      <x:c r="Q197" s="54" t="n">
        <x:f>N197-P197</x:f>
        <x:v>53</x:v>
      </x:c>
      <x:c r="R197" s="54" t="n">
        <x:v>232</x:v>
      </x:c>
      <x:c r="S197" s="54" t="n">
        <x:f>MIN(F197,MAX(0,ROUND(D197+R197-V197,0)))</x:f>
        <x:v>1657</x:v>
      </x:c>
      <x:c r="T197" s="52" t="n">
        <x:v>0.9974344189194145</x:v>
      </x:c>
      <x:c r="U197" s="54" t="n">
        <x:f>MIN(F197,MAX(0,ROUND(S197*T197,0)))</x:f>
        <x:v>1653</x:v>
      </x:c>
      <x:c r="V197" s="54" t="n">
        <x:f>AB192</x:f>
        <x:v>505</x:v>
      </x:c>
      <x:c r="W197" s="54" t="n">
        <x:f>U197+V197</x:f>
        <x:v>2158</x:v>
      </x:c>
      <x:c r="X197" s="54" t="n">
        <x:f>MIN(E197,W197)</x:f>
        <x:v>2048</x:v>
      </x:c>
      <x:c r="Y197" s="54" t="n">
        <x:f>MAX(E197-W197,0)</x:f>
        <x:v>0</x:v>
      </x:c>
      <x:c r="Z197" s="54" t="n">
        <x:f>MAX(W197-X197,0)</x:f>
        <x:v>110</x:v>
      </x:c>
      <x:c r="AA197" s="54" t="n">
        <x:f>MIN(Z197,ROUND(Z197*O197,0))</x:f>
        <x:v>3</x:v>
      </x:c>
      <x:c r="AB197" s="54" t="n">
        <x:f>Z197-AA197</x:f>
        <x:v>107</x:v>
      </x:c>
      <x:c r="AC197" s="52" t="n">
        <x:f>IFERROR(ABS(E197-D197)/E197,0)</x:f>
        <x:v>0.0576171875</x:v>
      </x:c>
      <x:c r="AD197" s="52" t="n">
        <x:f>IFERROR(L197/E197,1)</x:f>
        <x:v>1</x:v>
      </x:c>
      <x:c r="AE197" s="52" t="n">
        <x:f>IFERROR(X197/E197,1)</x:f>
        <x:v>1</x:v>
      </x:c>
      <x:c r="AF197" s="52" t="n">
        <x:f>IFERROR(I197/F197,0)</x:f>
        <x:v>0.8244444444444444</x:v>
      </x:c>
      <x:c r="AG197" s="52" t="n">
        <x:f>IFERROR(U197/F197,0)</x:f>
        <x:v>0.7346666666666667</x:v>
      </x:c>
    </x:row>
    <x:row r="198">
      <x:c r="A198" s="50" t="n">
        <x:v>46201</x:v>
      </x:c>
      <x:c r="B198" s="48" t="str">
        <x:v>Full Cream Milk</x:v>
      </x:c>
      <x:c r="C198" s="48" t="n">
        <x:v>2</x:v>
      </x:c>
      <x:c r="D198" s="54" t="n">
        <x:v>965</x:v>
      </x:c>
      <x:c r="E198" s="54" t="n">
        <x:v>940</x:v>
      </x:c>
      <x:c r="F198" s="54" t="n">
        <x:v>1200</x:v>
      </x:c>
      <x:c r="G198" s="54" t="n">
        <x:f>ROUND(D198*0.97,0)</x:f>
        <x:v>936</x:v>
      </x:c>
      <x:c r="H198" s="52" t="n">
        <x:v>1.0027830686283483</x:v>
      </x:c>
      <x:c r="I198" s="54" t="n">
        <x:f>MIN(F198,ROUND(G198*H198,0))</x:f>
        <x:v>939</x:v>
      </x:c>
      <x:c r="J198" s="54" t="n">
        <x:f>Q193</x:f>
        <x:v>0</x:v>
      </x:c>
      <x:c r="K198" s="54" t="n">
        <x:f>I198+J198</x:f>
        <x:v>939</x:v>
      </x:c>
      <x:c r="L198" s="54" t="n">
        <x:f>MIN(E198,K198)</x:f>
        <x:v>939</x:v>
      </x:c>
      <x:c r="M198" s="54" t="n">
        <x:f>MAX(E198-K198,0)</x:f>
        <x:v>1</x:v>
      </x:c>
      <x:c r="N198" s="54" t="n">
        <x:f>MAX(K198-L198,0)</x:f>
        <x:v>0</x:v>
      </x:c>
      <x:c r="O198" s="52" t="n">
        <x:v>0.03</x:v>
      </x:c>
      <x:c r="P198" s="54" t="n">
        <x:f>MIN(N198,ROUND(N198*O198,0))</x:f>
        <x:v>0</x:v>
      </x:c>
      <x:c r="Q198" s="54" t="n">
        <x:f>N198-P198</x:f>
        <x:v>0</x:v>
      </x:c>
      <x:c r="R198" s="54" t="n">
        <x:v>116</x:v>
      </x:c>
      <x:c r="S198" s="54" t="n">
        <x:f>MIN(F198,MAX(0,ROUND(D198+R198-V198,0)))</x:f>
        <x:v>1081</x:v>
      </x:c>
      <x:c r="T198" s="52" t="n">
        <x:v>1.0037950047197557</x:v>
      </x:c>
      <x:c r="U198" s="54" t="n">
        <x:f>MIN(F198,MAX(0,ROUND(S198*T198,0)))</x:f>
        <x:v>1085</x:v>
      </x:c>
      <x:c r="V198" s="54" t="n">
        <x:f>AB193</x:f>
        <x:v>0</x:v>
      </x:c>
      <x:c r="W198" s="54" t="n">
        <x:f>U198+V198</x:f>
        <x:v>1085</x:v>
      </x:c>
      <x:c r="X198" s="54" t="n">
        <x:f>MIN(E198,W198)</x:f>
        <x:v>940</x:v>
      </x:c>
      <x:c r="Y198" s="54" t="n">
        <x:f>MAX(E198-W198,0)</x:f>
        <x:v>0</x:v>
      </x:c>
      <x:c r="Z198" s="54" t="n">
        <x:f>MAX(W198-X198,0)</x:f>
        <x:v>145</x:v>
      </x:c>
      <x:c r="AA198" s="54" t="n">
        <x:f>MIN(Z198,ROUND(Z198*O198,0))</x:f>
        <x:v>4</x:v>
      </x:c>
      <x:c r="AB198" s="54" t="n">
        <x:f>Z198-AA198</x:f>
        <x:v>141</x:v>
      </x:c>
      <x:c r="AC198" s="52" t="n">
        <x:f>IFERROR(ABS(E198-D198)/E198,0)</x:f>
        <x:v>0.026595744680851064</x:v>
      </x:c>
      <x:c r="AD198" s="52" t="n">
        <x:f>IFERROR(L198/E198,1)</x:f>
        <x:v>0.9989361702127659</x:v>
      </x:c>
      <x:c r="AE198" s="52" t="n">
        <x:f>IFERROR(X198/E198,1)</x:f>
        <x:v>1</x:v>
      </x:c>
      <x:c r="AF198" s="52" t="n">
        <x:f>IFERROR(I198/F198,0)</x:f>
        <x:v>0.7825</x:v>
      </x:c>
      <x:c r="AG198" s="52" t="n">
        <x:f>IFERROR(U198/F198,0)</x:f>
        <x:v>0.9041666666666667</x:v>
      </x:c>
    </x:row>
    <x:row r="199">
      <x:c r="A199" s="50" t="n">
        <x:v>46201</x:v>
      </x:c>
      <x:c r="B199" s="48" t="str">
        <x:v>Curd</x:v>
      </x:c>
      <x:c r="C199" s="48" t="n">
        <x:v>7</x:v>
      </x:c>
      <x:c r="D199" s="54" t="n">
        <x:v>588</x:v>
      </x:c>
      <x:c r="E199" s="54" t="n">
        <x:v>626</x:v>
      </x:c>
      <x:c r="F199" s="54" t="n">
        <x:v>700</x:v>
      </x:c>
      <x:c r="G199" s="54" t="n">
        <x:f>ROUND(D199*0.97,0)</x:f>
        <x:v>570</x:v>
      </x:c>
      <x:c r="H199" s="52" t="n">
        <x:v>0.9951768280026806</x:v>
      </x:c>
      <x:c r="I199" s="54" t="n">
        <x:f>MIN(F199,ROUND(G199*H199,0))</x:f>
        <x:v>567</x:v>
      </x:c>
      <x:c r="J199" s="54" t="n">
        <x:f>Q194</x:f>
        <x:v>9</x:v>
      </x:c>
      <x:c r="K199" s="54" t="n">
        <x:f>I199+J199</x:f>
        <x:v>576</x:v>
      </x:c>
      <x:c r="L199" s="54" t="n">
        <x:f>MIN(E199,K199)</x:f>
        <x:v>576</x:v>
      </x:c>
      <x:c r="M199" s="54" t="n">
        <x:f>MAX(E199-K199,0)</x:f>
        <x:v>50</x:v>
      </x:c>
      <x:c r="N199" s="54" t="n">
        <x:f>MAX(K199-L199,0)</x:f>
        <x:v>0</x:v>
      </x:c>
      <x:c r="O199" s="52" t="n">
        <x:v>0.018</x:v>
      </x:c>
      <x:c r="P199" s="54" t="n">
        <x:f>MIN(N199,ROUND(N199*O199,0))</x:f>
        <x:v>0</x:v>
      </x:c>
      <x:c r="Q199" s="54" t="n">
        <x:f>N199-P199</x:f>
        <x:v>0</x:v>
      </x:c>
      <x:c r="R199" s="54" t="n">
        <x:v>106</x:v>
      </x:c>
      <x:c r="S199" s="54" t="n">
        <x:f>MIN(F199,MAX(0,ROUND(D199+R199-V199,0)))</x:f>
        <x:v>569</x:v>
      </x:c>
      <x:c r="T199" s="52" t="n">
        <x:v>0.9957343850831222</x:v>
      </x:c>
      <x:c r="U199" s="54" t="n">
        <x:f>MIN(F199,MAX(0,ROUND(S199*T199,0)))</x:f>
        <x:v>567</x:v>
      </x:c>
      <x:c r="V199" s="54" t="n">
        <x:f>AB194</x:f>
        <x:v>125</x:v>
      </x:c>
      <x:c r="W199" s="54" t="n">
        <x:f>U199+V199</x:f>
        <x:v>692</x:v>
      </x:c>
      <x:c r="X199" s="54" t="n">
        <x:f>MIN(E199,W199)</x:f>
        <x:v>626</x:v>
      </x:c>
      <x:c r="Y199" s="54" t="n">
        <x:f>MAX(E199-W199,0)</x:f>
        <x:v>0</x:v>
      </x:c>
      <x:c r="Z199" s="54" t="n">
        <x:f>MAX(W199-X199,0)</x:f>
        <x:v>66</x:v>
      </x:c>
      <x:c r="AA199" s="54" t="n">
        <x:f>MIN(Z199,ROUND(Z199*O199,0))</x:f>
        <x:v>1</x:v>
      </x:c>
      <x:c r="AB199" s="54" t="n">
        <x:f>Z199-AA199</x:f>
        <x:v>65</x:v>
      </x:c>
      <x:c r="AC199" s="52" t="n">
        <x:f>IFERROR(ABS(E199-D199)/E199,0)</x:f>
        <x:v>0.06070287539936102</x:v>
      </x:c>
      <x:c r="AD199" s="52" t="n">
        <x:f>IFERROR(L199/E199,1)</x:f>
        <x:v>0.9201277955271565</x:v>
      </x:c>
      <x:c r="AE199" s="52" t="n">
        <x:f>IFERROR(X199/E199,1)</x:f>
        <x:v>1</x:v>
      </x:c>
      <x:c r="AF199" s="52" t="n">
        <x:f>IFERROR(I199/F199,0)</x:f>
        <x:v>0.81</x:v>
      </x:c>
      <x:c r="AG199" s="52" t="n">
        <x:f>IFERROR(U199/F199,0)</x:f>
        <x:v>0.81</x:v>
      </x:c>
    </x:row>
    <x:row r="200">
      <x:c r="A200" s="50" t="n">
        <x:v>46201</x:v>
      </x:c>
      <x:c r="B200" s="48" t="str">
        <x:v>Lassi</x:v>
      </x:c>
      <x:c r="C200" s="48" t="n">
        <x:v>7</x:v>
      </x:c>
      <x:c r="D200" s="54" t="n">
        <x:v>470</x:v>
      </x:c>
      <x:c r="E200" s="54" t="n">
        <x:v>457</x:v>
      </x:c>
      <x:c r="F200" s="54" t="n">
        <x:v>560</x:v>
      </x:c>
      <x:c r="G200" s="54" t="n">
        <x:f>ROUND(D200*0.97,0)</x:f>
        <x:v>456</x:v>
      </x:c>
      <x:c r="H200" s="52" t="n">
        <x:v>0.983014825260046</x:v>
      </x:c>
      <x:c r="I200" s="54" t="n">
        <x:f>MIN(F200,ROUND(G200*H200,0))</x:f>
        <x:v>448</x:v>
      </x:c>
      <x:c r="J200" s="54" t="n">
        <x:f>Q195</x:f>
        <x:v>53</x:v>
      </x:c>
      <x:c r="K200" s="54" t="n">
        <x:f>I200+J200</x:f>
        <x:v>501</x:v>
      </x:c>
      <x:c r="L200" s="54" t="n">
        <x:f>MIN(E200,K200)</x:f>
        <x:v>457</x:v>
      </x:c>
      <x:c r="M200" s="54" t="n">
        <x:f>MAX(E200-K200,0)</x:f>
        <x:v>0</x:v>
      </x:c>
      <x:c r="N200" s="54" t="n">
        <x:f>MAX(K200-L200,0)</x:f>
        <x:v>44</x:v>
      </x:c>
      <x:c r="O200" s="52" t="n">
        <x:v>0.02</x:v>
      </x:c>
      <x:c r="P200" s="54" t="n">
        <x:f>MIN(N200,ROUND(N200*O200,0))</x:f>
        <x:v>1</x:v>
      </x:c>
      <x:c r="Q200" s="54" t="n">
        <x:f>N200-P200</x:f>
        <x:v>43</x:v>
      </x:c>
      <x:c r="R200" s="54" t="n">
        <x:v>85</x:v>
      </x:c>
      <x:c r="S200" s="54" t="n">
        <x:f>MIN(F200,MAX(0,ROUND(D200+R200-V200,0)))</x:f>
        <x:v>415</x:v>
      </x:c>
      <x:c r="T200" s="52" t="n">
        <x:v>1.0042899117935804</x:v>
      </x:c>
      <x:c r="U200" s="54" t="n">
        <x:f>MIN(F200,MAX(0,ROUND(S200*T200,0)))</x:f>
        <x:v>417</x:v>
      </x:c>
      <x:c r="V200" s="54" t="n">
        <x:f>AB195</x:f>
        <x:v>140</x:v>
      </x:c>
      <x:c r="W200" s="54" t="n">
        <x:f>U200+V200</x:f>
        <x:v>557</x:v>
      </x:c>
      <x:c r="X200" s="54" t="n">
        <x:f>MIN(E200,W200)</x:f>
        <x:v>457</x:v>
      </x:c>
      <x:c r="Y200" s="54" t="n">
        <x:f>MAX(E200-W200,0)</x:f>
        <x:v>0</x:v>
      </x:c>
      <x:c r="Z200" s="54" t="n">
        <x:f>MAX(W200-X200,0)</x:f>
        <x:v>100</x:v>
      </x:c>
      <x:c r="AA200" s="54" t="n">
        <x:f>MIN(Z200,ROUND(Z200*O200,0))</x:f>
        <x:v>2</x:v>
      </x:c>
      <x:c r="AB200" s="54" t="n">
        <x:f>Z200-AA200</x:f>
        <x:v>98</x:v>
      </x:c>
      <x:c r="AC200" s="52" t="n">
        <x:f>IFERROR(ABS(E200-D200)/E200,0)</x:f>
        <x:v>0.028446389496717725</x:v>
      </x:c>
      <x:c r="AD200" s="52" t="n">
        <x:f>IFERROR(L200/E200,1)</x:f>
        <x:v>1</x:v>
      </x:c>
      <x:c r="AE200" s="52" t="n">
        <x:f>IFERROR(X200/E200,1)</x:f>
        <x:v>1</x:v>
      </x:c>
      <x:c r="AF200" s="52" t="n">
        <x:f>IFERROR(I200/F200,0)</x:f>
        <x:v>0.8</x:v>
      </x:c>
      <x:c r="AG200" s="52" t="n">
        <x:f>IFERROR(U200/F200,0)</x:f>
        <x:v>0.7446428571428572</x:v>
      </x:c>
    </x:row>
    <x:row r="201">
      <x:c r="A201" s="50" t="n">
        <x:v>46201</x:v>
      </x:c>
      <x:c r="B201" s="48" t="str">
        <x:v>Paneer</x:v>
      </x:c>
      <x:c r="C201" s="48" t="n">
        <x:v>5</x:v>
      </x:c>
      <x:c r="D201" s="54" t="n">
        <x:v>187</x:v>
      </x:c>
      <x:c r="E201" s="54" t="n">
        <x:v>211</x:v>
      </x:c>
      <x:c r="F201" s="54" t="n">
        <x:v>230</x:v>
      </x:c>
      <x:c r="G201" s="54" t="n">
        <x:f>ROUND(D201*0.97,0)</x:f>
        <x:v>181</x:v>
      </x:c>
      <x:c r="H201" s="52" t="n">
        <x:v>0.9862901951056258</x:v>
      </x:c>
      <x:c r="I201" s="54" t="n">
        <x:f>MIN(F201,ROUND(G201*H201,0))</x:f>
        <x:v>179</x:v>
      </x:c>
      <x:c r="J201" s="54" t="n">
        <x:f>Q196</x:f>
        <x:v>25</x:v>
      </x:c>
      <x:c r="K201" s="54" t="n">
        <x:f>I201+J201</x:f>
        <x:v>204</x:v>
      </x:c>
      <x:c r="L201" s="54" t="n">
        <x:f>MIN(E201,K201)</x:f>
        <x:v>204</x:v>
      </x:c>
      <x:c r="M201" s="54" t="n">
        <x:f>MAX(E201-K201,0)</x:f>
        <x:v>7</x:v>
      </x:c>
      <x:c r="N201" s="54" t="n">
        <x:f>MAX(K201-L201,0)</x:f>
        <x:v>0</x:v>
      </x:c>
      <x:c r="O201" s="52" t="n">
        <x:v>0.025</x:v>
      </x:c>
      <x:c r="P201" s="54" t="n">
        <x:f>MIN(N201,ROUND(N201*O201,0))</x:f>
        <x:v>0</x:v>
      </x:c>
      <x:c r="Q201" s="54" t="n">
        <x:f>N201-P201</x:f>
        <x:v>0</x:v>
      </x:c>
      <x:c r="R201" s="54" t="n">
        <x:v>37</x:v>
      </x:c>
      <x:c r="S201" s="54" t="n">
        <x:f>MIN(F201,MAX(0,ROUND(D201+R201-V201,0)))</x:f>
        <x:v>162</x:v>
      </x:c>
      <x:c r="T201" s="52" t="n">
        <x:v>0.9842589330803563</x:v>
      </x:c>
      <x:c r="U201" s="54" t="n">
        <x:f>MIN(F201,MAX(0,ROUND(S201*T201,0)))</x:f>
        <x:v>159</x:v>
      </x:c>
      <x:c r="V201" s="54" t="n">
        <x:f>AB196</x:f>
        <x:v>62</x:v>
      </x:c>
      <x:c r="W201" s="54" t="n">
        <x:f>U201+V201</x:f>
        <x:v>221</x:v>
      </x:c>
      <x:c r="X201" s="54" t="n">
        <x:f>MIN(E201,W201)</x:f>
        <x:v>211</x:v>
      </x:c>
      <x:c r="Y201" s="54" t="n">
        <x:f>MAX(E201-W201,0)</x:f>
        <x:v>0</x:v>
      </x:c>
      <x:c r="Z201" s="54" t="n">
        <x:f>MAX(W201-X201,0)</x:f>
        <x:v>10</x:v>
      </x:c>
      <x:c r="AA201" s="54" t="n">
        <x:f>MIN(Z201,ROUND(Z201*O201,0))</x:f>
        <x:v>0</x:v>
      </x:c>
      <x:c r="AB201" s="54" t="n">
        <x:f>Z201-AA201</x:f>
        <x:v>10</x:v>
      </x:c>
      <x:c r="AC201" s="52" t="n">
        <x:f>IFERROR(ABS(E201-D201)/E201,0)</x:f>
        <x:v>0.11374407582938388</x:v>
      </x:c>
      <x:c r="AD201" s="52" t="n">
        <x:f>IFERROR(L201/E201,1)</x:f>
        <x:v>0.966824644549763</x:v>
      </x:c>
      <x:c r="AE201" s="52" t="n">
        <x:f>IFERROR(X201/E201,1)</x:f>
        <x:v>1</x:v>
      </x:c>
      <x:c r="AF201" s="52" t="n">
        <x:f>IFERROR(I201/F201,0)</x:f>
        <x:v>0.7782608695652173</x:v>
      </x:c>
      <x:c r="AG201" s="52" t="n">
        <x:f>IFERROR(U201/F201,0)</x:f>
        <x:v>0.691304347826087</x:v>
      </x:c>
    </x:row>
    <x:row r="202">
      <x:c r="A202" s="50" t="n">
        <x:v>46202</x:v>
      </x:c>
      <x:c r="B202" s="48" t="str">
        <x:v>Toned Milk</x:v>
      </x:c>
      <x:c r="C202" s="48" t="n">
        <x:v>2</x:v>
      </x:c>
      <x:c r="D202" s="54" t="n">
        <x:v>1655</x:v>
      </x:c>
      <x:c r="E202" s="54" t="n">
        <x:v>1431</x:v>
      </x:c>
      <x:c r="F202" s="54" t="n">
        <x:v>2250</x:v>
      </x:c>
      <x:c r="G202" s="54" t="n">
        <x:f>ROUND(D202*0.97,0)</x:f>
        <x:v>1605</x:v>
      </x:c>
      <x:c r="H202" s="52" t="n">
        <x:v>0.986029269507428</x:v>
      </x:c>
      <x:c r="I202" s="54" t="n">
        <x:f>MIN(F202,ROUND(G202*H202,0))</x:f>
        <x:v>1583</x:v>
      </x:c>
      <x:c r="J202" s="54" t="n">
        <x:f>Q197</x:f>
        <x:v>53</x:v>
      </x:c>
      <x:c r="K202" s="54" t="n">
        <x:f>I202+J202</x:f>
        <x:v>1636</x:v>
      </x:c>
      <x:c r="L202" s="54" t="n">
        <x:f>MIN(E202,K202)</x:f>
        <x:v>1431</x:v>
      </x:c>
      <x:c r="M202" s="54" t="n">
        <x:f>MAX(E202-K202,0)</x:f>
        <x:v>0</x:v>
      </x:c>
      <x:c r="N202" s="54" t="n">
        <x:f>MAX(K202-L202,0)</x:f>
        <x:v>205</x:v>
      </x:c>
      <x:c r="O202" s="52" t="n">
        <x:v>0.025</x:v>
      </x:c>
      <x:c r="P202" s="54" t="n">
        <x:f>MIN(N202,ROUND(N202*O202,0))</x:f>
        <x:v>5</x:v>
      </x:c>
      <x:c r="Q202" s="54" t="n">
        <x:f>N202-P202</x:f>
        <x:v>200</x:v>
      </x:c>
      <x:c r="R202" s="54" t="n">
        <x:v>199</x:v>
      </x:c>
      <x:c r="S202" s="54" t="n">
        <x:f>MIN(F202,MAX(0,ROUND(D202+R202-V202,0)))</x:f>
        <x:v>1747</x:v>
      </x:c>
      <x:c r="T202" s="52" t="n">
        <x:v>0.9827825681164886</x:v>
      </x:c>
      <x:c r="U202" s="54" t="n">
        <x:f>MIN(F202,MAX(0,ROUND(S202*T202,0)))</x:f>
        <x:v>1717</x:v>
      </x:c>
      <x:c r="V202" s="54" t="n">
        <x:f>AB197</x:f>
        <x:v>107</x:v>
      </x:c>
      <x:c r="W202" s="54" t="n">
        <x:f>U202+V202</x:f>
        <x:v>1824</x:v>
      </x:c>
      <x:c r="X202" s="54" t="n">
        <x:f>MIN(E202,W202)</x:f>
        <x:v>1431</x:v>
      </x:c>
      <x:c r="Y202" s="54" t="n">
        <x:f>MAX(E202-W202,0)</x:f>
        <x:v>0</x:v>
      </x:c>
      <x:c r="Z202" s="54" t="n">
        <x:f>MAX(W202-X202,0)</x:f>
        <x:v>393</x:v>
      </x:c>
      <x:c r="AA202" s="54" t="n">
        <x:f>MIN(Z202,ROUND(Z202*O202,0))</x:f>
        <x:v>10</x:v>
      </x:c>
      <x:c r="AB202" s="54" t="n">
        <x:f>Z202-AA202</x:f>
        <x:v>383</x:v>
      </x:c>
      <x:c r="AC202" s="52" t="n">
        <x:f>IFERROR(ABS(E202-D202)/E202,0)</x:f>
        <x:v>0.15653389238294899</x:v>
      </x:c>
      <x:c r="AD202" s="52" t="n">
        <x:f>IFERROR(L202/E202,1)</x:f>
        <x:v>1</x:v>
      </x:c>
      <x:c r="AE202" s="52" t="n">
        <x:f>IFERROR(X202/E202,1)</x:f>
        <x:v>1</x:v>
      </x:c>
      <x:c r="AF202" s="52" t="n">
        <x:f>IFERROR(I202/F202,0)</x:f>
        <x:v>0.7035555555555556</x:v>
      </x:c>
      <x:c r="AG202" s="52" t="n">
        <x:f>IFERROR(U202/F202,0)</x:f>
        <x:v>0.7631111111111111</x:v>
      </x:c>
    </x:row>
    <x:row r="203">
      <x:c r="A203" s="50" t="n">
        <x:v>46202</x:v>
      </x:c>
      <x:c r="B203" s="48" t="str">
        <x:v>Full Cream Milk</x:v>
      </x:c>
      <x:c r="C203" s="48" t="n">
        <x:v>2</x:v>
      </x:c>
      <x:c r="D203" s="54" t="n">
        <x:v>819</x:v>
      </x:c>
      <x:c r="E203" s="54" t="n">
        <x:v>751</x:v>
      </x:c>
      <x:c r="F203" s="54" t="n">
        <x:v>1200</x:v>
      </x:c>
      <x:c r="G203" s="54" t="n">
        <x:f>ROUND(D203*0.97,0)</x:f>
        <x:v>794</x:v>
      </x:c>
      <x:c r="H203" s="52" t="n">
        <x:v>0.9821504084704098</x:v>
      </x:c>
      <x:c r="I203" s="54" t="n">
        <x:f>MIN(F203,ROUND(G203*H203,0))</x:f>
        <x:v>780</x:v>
      </x:c>
      <x:c r="J203" s="54" t="n">
        <x:f>Q198</x:f>
        <x:v>0</x:v>
      </x:c>
      <x:c r="K203" s="54" t="n">
        <x:f>I203+J203</x:f>
        <x:v>780</x:v>
      </x:c>
      <x:c r="L203" s="54" t="n">
        <x:f>MIN(E203,K203)</x:f>
        <x:v>751</x:v>
      </x:c>
      <x:c r="M203" s="54" t="n">
        <x:f>MAX(E203-K203,0)</x:f>
        <x:v>0</x:v>
      </x:c>
      <x:c r="N203" s="54" t="n">
        <x:f>MAX(K203-L203,0)</x:f>
        <x:v>29</x:v>
      </x:c>
      <x:c r="O203" s="52" t="n">
        <x:v>0.03</x:v>
      </x:c>
      <x:c r="P203" s="54" t="n">
        <x:f>MIN(N203,ROUND(N203*O203,0))</x:f>
        <x:v>1</x:v>
      </x:c>
      <x:c r="Q203" s="54" t="n">
        <x:f>N203-P203</x:f>
        <x:v>28</x:v>
      </x:c>
      <x:c r="R203" s="54" t="n">
        <x:v>98</x:v>
      </x:c>
      <x:c r="S203" s="54" t="n">
        <x:f>MIN(F203,MAX(0,ROUND(D203+R203-V203,0)))</x:f>
        <x:v>776</x:v>
      </x:c>
      <x:c r="T203" s="52" t="n">
        <x:v>0.9914818904365289</x:v>
      </x:c>
      <x:c r="U203" s="54" t="n">
        <x:f>MIN(F203,MAX(0,ROUND(S203*T203,0)))</x:f>
        <x:v>769</x:v>
      </x:c>
      <x:c r="V203" s="54" t="n">
        <x:f>AB198</x:f>
        <x:v>141</x:v>
      </x:c>
      <x:c r="W203" s="54" t="n">
        <x:f>U203+V203</x:f>
        <x:v>910</x:v>
      </x:c>
      <x:c r="X203" s="54" t="n">
        <x:f>MIN(E203,W203)</x:f>
        <x:v>751</x:v>
      </x:c>
      <x:c r="Y203" s="54" t="n">
        <x:f>MAX(E203-W203,0)</x:f>
        <x:v>0</x:v>
      </x:c>
      <x:c r="Z203" s="54" t="n">
        <x:f>MAX(W203-X203,0)</x:f>
        <x:v>159</x:v>
      </x:c>
      <x:c r="AA203" s="54" t="n">
        <x:f>MIN(Z203,ROUND(Z203*O203,0))</x:f>
        <x:v>5</x:v>
      </x:c>
      <x:c r="AB203" s="54" t="n">
        <x:f>Z203-AA203</x:f>
        <x:v>154</x:v>
      </x:c>
      <x:c r="AC203" s="52" t="n">
        <x:f>IFERROR(ABS(E203-D203)/E203,0)</x:f>
        <x:v>0.09054593874833555</x:v>
      </x:c>
      <x:c r="AD203" s="52" t="n">
        <x:f>IFERROR(L203/E203,1)</x:f>
        <x:v>1</x:v>
      </x:c>
      <x:c r="AE203" s="52" t="n">
        <x:f>IFERROR(X203/E203,1)</x:f>
        <x:v>1</x:v>
      </x:c>
      <x:c r="AF203" s="52" t="n">
        <x:f>IFERROR(I203/F203,0)</x:f>
        <x:v>0.65</x:v>
      </x:c>
      <x:c r="AG203" s="52" t="n">
        <x:f>IFERROR(U203/F203,0)</x:f>
        <x:v>0.6408333333333334</x:v>
      </x:c>
    </x:row>
    <x:row r="204">
      <x:c r="A204" s="50" t="n">
        <x:v>46202</x:v>
      </x:c>
      <x:c r="B204" s="48" t="str">
        <x:v>Curd</x:v>
      </x:c>
      <x:c r="C204" s="48" t="n">
        <x:v>7</x:v>
      </x:c>
      <x:c r="D204" s="54" t="n">
        <x:v>472</x:v>
      </x:c>
      <x:c r="E204" s="54" t="n">
        <x:v>530</x:v>
      </x:c>
      <x:c r="F204" s="54" t="n">
        <x:v>700</x:v>
      </x:c>
      <x:c r="G204" s="54" t="n">
        <x:f>ROUND(D204*0.97,0)</x:f>
        <x:v>458</x:v>
      </x:c>
      <x:c r="H204" s="52" t="n">
        <x:v>1.000650490275642</x:v>
      </x:c>
      <x:c r="I204" s="54" t="n">
        <x:f>MIN(F204,ROUND(G204*H204,0))</x:f>
        <x:v>458</x:v>
      </x:c>
      <x:c r="J204" s="54" t="n">
        <x:f>Q199</x:f>
        <x:v>0</x:v>
      </x:c>
      <x:c r="K204" s="54" t="n">
        <x:f>I204+J204</x:f>
        <x:v>458</x:v>
      </x:c>
      <x:c r="L204" s="54" t="n">
        <x:f>MIN(E204,K204)</x:f>
        <x:v>458</x:v>
      </x:c>
      <x:c r="M204" s="54" t="n">
        <x:f>MAX(E204-K204,0)</x:f>
        <x:v>72</x:v>
      </x:c>
      <x:c r="N204" s="54" t="n">
        <x:f>MAX(K204-L204,0)</x:f>
        <x:v>0</x:v>
      </x:c>
      <x:c r="O204" s="52" t="n">
        <x:v>0.018</x:v>
      </x:c>
      <x:c r="P204" s="54" t="n">
        <x:f>MIN(N204,ROUND(N204*O204,0))</x:f>
        <x:v>0</x:v>
      </x:c>
      <x:c r="Q204" s="54" t="n">
        <x:f>N204-P204</x:f>
        <x:v>0</x:v>
      </x:c>
      <x:c r="R204" s="54" t="n">
        <x:v>85</x:v>
      </x:c>
      <x:c r="S204" s="54" t="n">
        <x:f>MIN(F204,MAX(0,ROUND(D204+R204-V204,0)))</x:f>
        <x:v>492</x:v>
      </x:c>
      <x:c r="T204" s="52" t="n">
        <x:v>1.0092733722928782</x:v>
      </x:c>
      <x:c r="U204" s="54" t="n">
        <x:f>MIN(F204,MAX(0,ROUND(S204*T204,0)))</x:f>
        <x:v>497</x:v>
      </x:c>
      <x:c r="V204" s="54" t="n">
        <x:f>AB199</x:f>
        <x:v>65</x:v>
      </x:c>
      <x:c r="W204" s="54" t="n">
        <x:f>U204+V204</x:f>
        <x:v>562</x:v>
      </x:c>
      <x:c r="X204" s="54" t="n">
        <x:f>MIN(E204,W204)</x:f>
        <x:v>530</x:v>
      </x:c>
      <x:c r="Y204" s="54" t="n">
        <x:f>MAX(E204-W204,0)</x:f>
        <x:v>0</x:v>
      </x:c>
      <x:c r="Z204" s="54" t="n">
        <x:f>MAX(W204-X204,0)</x:f>
        <x:v>32</x:v>
      </x:c>
      <x:c r="AA204" s="54" t="n">
        <x:f>MIN(Z204,ROUND(Z204*O204,0))</x:f>
        <x:v>1</x:v>
      </x:c>
      <x:c r="AB204" s="54" t="n">
        <x:f>Z204-AA204</x:f>
        <x:v>31</x:v>
      </x:c>
      <x:c r="AC204" s="52" t="n">
        <x:f>IFERROR(ABS(E204-D204)/E204,0)</x:f>
        <x:v>0.10943396226415095</x:v>
      </x:c>
      <x:c r="AD204" s="52" t="n">
        <x:f>IFERROR(L204/E204,1)</x:f>
        <x:v>0.8641509433962264</x:v>
      </x:c>
      <x:c r="AE204" s="52" t="n">
        <x:f>IFERROR(X204/E204,1)</x:f>
        <x:v>1</x:v>
      </x:c>
      <x:c r="AF204" s="52" t="n">
        <x:f>IFERROR(I204/F204,0)</x:f>
        <x:v>0.6542857142857142</x:v>
      </x:c>
      <x:c r="AG204" s="52" t="n">
        <x:f>IFERROR(U204/F204,0)</x:f>
        <x:v>0.71</x:v>
      </x:c>
    </x:row>
    <x:row r="205">
      <x:c r="A205" s="50" t="n">
        <x:v>46202</x:v>
      </x:c>
      <x:c r="B205" s="48" t="str">
        <x:v>Lassi</x:v>
      </x:c>
      <x:c r="C205" s="48" t="n">
        <x:v>7</x:v>
      </x:c>
      <x:c r="D205" s="54" t="n">
        <x:v>365</x:v>
      </x:c>
      <x:c r="E205" s="54" t="n">
        <x:v>315</x:v>
      </x:c>
      <x:c r="F205" s="54" t="n">
        <x:v>560</x:v>
      </x:c>
      <x:c r="G205" s="54" t="n">
        <x:f>ROUND(D205*0.97,0)</x:f>
        <x:v>354</x:v>
      </x:c>
      <x:c r="H205" s="52" t="n">
        <x:v>1.010966235967375</x:v>
      </x:c>
      <x:c r="I205" s="54" t="n">
        <x:f>MIN(F205,ROUND(G205*H205,0))</x:f>
        <x:v>358</x:v>
      </x:c>
      <x:c r="J205" s="54" t="n">
        <x:f>Q200</x:f>
        <x:v>43</x:v>
      </x:c>
      <x:c r="K205" s="54" t="n">
        <x:f>I205+J205</x:f>
        <x:v>401</x:v>
      </x:c>
      <x:c r="L205" s="54" t="n">
        <x:f>MIN(E205,K205)</x:f>
        <x:v>315</x:v>
      </x:c>
      <x:c r="M205" s="54" t="n">
        <x:f>MAX(E205-K205,0)</x:f>
        <x:v>0</x:v>
      </x:c>
      <x:c r="N205" s="54" t="n">
        <x:f>MAX(K205-L205,0)</x:f>
        <x:v>86</x:v>
      </x:c>
      <x:c r="O205" s="52" t="n">
        <x:v>0.02</x:v>
      </x:c>
      <x:c r="P205" s="54" t="n">
        <x:f>MIN(N205,ROUND(N205*O205,0))</x:f>
        <x:v>2</x:v>
      </x:c>
      <x:c r="Q205" s="54" t="n">
        <x:f>N205-P205</x:f>
        <x:v>84</x:v>
      </x:c>
      <x:c r="R205" s="54" t="n">
        <x:v>66</x:v>
      </x:c>
      <x:c r="S205" s="54" t="n">
        <x:f>MIN(F205,MAX(0,ROUND(D205+R205-V205,0)))</x:f>
        <x:v>333</x:v>
      </x:c>
      <x:c r="T205" s="52" t="n">
        <x:v>1.00444347027795</x:v>
      </x:c>
      <x:c r="U205" s="54" t="n">
        <x:f>MIN(F205,MAX(0,ROUND(S205*T205,0)))</x:f>
        <x:v>334</x:v>
      </x:c>
      <x:c r="V205" s="54" t="n">
        <x:f>AB200</x:f>
        <x:v>98</x:v>
      </x:c>
      <x:c r="W205" s="54" t="n">
        <x:f>U205+V205</x:f>
        <x:v>432</x:v>
      </x:c>
      <x:c r="X205" s="54" t="n">
        <x:f>MIN(E205,W205)</x:f>
        <x:v>315</x:v>
      </x:c>
      <x:c r="Y205" s="54" t="n">
        <x:f>MAX(E205-W205,0)</x:f>
        <x:v>0</x:v>
      </x:c>
      <x:c r="Z205" s="54" t="n">
        <x:f>MAX(W205-X205,0)</x:f>
        <x:v>117</x:v>
      </x:c>
      <x:c r="AA205" s="54" t="n">
        <x:f>MIN(Z205,ROUND(Z205*O205,0))</x:f>
        <x:v>2</x:v>
      </x:c>
      <x:c r="AB205" s="54" t="n">
        <x:f>Z205-AA205</x:f>
        <x:v>115</x:v>
      </x:c>
      <x:c r="AC205" s="52" t="n">
        <x:f>IFERROR(ABS(E205-D205)/E205,0)</x:f>
        <x:v>0.15873015873015872</x:v>
      </x:c>
      <x:c r="AD205" s="52" t="n">
        <x:f>IFERROR(L205/E205,1)</x:f>
        <x:v>1</x:v>
      </x:c>
      <x:c r="AE205" s="52" t="n">
        <x:f>IFERROR(X205/E205,1)</x:f>
        <x:v>1</x:v>
      </x:c>
      <x:c r="AF205" s="52" t="n">
        <x:f>IFERROR(I205/F205,0)</x:f>
        <x:v>0.6392857142857142</x:v>
      </x:c>
      <x:c r="AG205" s="52" t="n">
        <x:f>IFERROR(U205/F205,0)</x:f>
        <x:v>0.5964285714285714</x:v>
      </x:c>
    </x:row>
    <x:row r="206">
      <x:c r="A206" s="50" t="n">
        <x:v>46202</x:v>
      </x:c>
      <x:c r="B206" s="48" t="str">
        <x:v>Paneer</x:v>
      </x:c>
      <x:c r="C206" s="48" t="n">
        <x:v>5</x:v>
      </x:c>
      <x:c r="D206" s="54" t="n">
        <x:v>149</x:v>
      </x:c>
      <x:c r="E206" s="54" t="n">
        <x:v>171</x:v>
      </x:c>
      <x:c r="F206" s="54" t="n">
        <x:v>230</x:v>
      </x:c>
      <x:c r="G206" s="54" t="n">
        <x:f>ROUND(D206*0.97,0)</x:f>
        <x:v>145</x:v>
      </x:c>
      <x:c r="H206" s="52" t="n">
        <x:v>0.9860566879818753</x:v>
      </x:c>
      <x:c r="I206" s="54" t="n">
        <x:f>MIN(F206,ROUND(G206*H206,0))</x:f>
        <x:v>143</x:v>
      </x:c>
      <x:c r="J206" s="54" t="n">
        <x:f>Q201</x:f>
        <x:v>0</x:v>
      </x:c>
      <x:c r="K206" s="54" t="n">
        <x:f>I206+J206</x:f>
        <x:v>143</x:v>
      </x:c>
      <x:c r="L206" s="54" t="n">
        <x:f>MIN(E206,K206)</x:f>
        <x:v>143</x:v>
      </x:c>
      <x:c r="M206" s="54" t="n">
        <x:f>MAX(E206-K206,0)</x:f>
        <x:v>28</x:v>
      </x:c>
      <x:c r="N206" s="54" t="n">
        <x:f>MAX(K206-L206,0)</x:f>
        <x:v>0</x:v>
      </x:c>
      <x:c r="O206" s="52" t="n">
        <x:v>0.025</x:v>
      </x:c>
      <x:c r="P206" s="54" t="n">
        <x:f>MIN(N206,ROUND(N206*O206,0))</x:f>
        <x:v>0</x:v>
      </x:c>
      <x:c r="Q206" s="54" t="n">
        <x:f>N206-P206</x:f>
        <x:v>0</x:v>
      </x:c>
      <x:c r="R206" s="54" t="n">
        <x:v>30</x:v>
      </x:c>
      <x:c r="S206" s="54" t="n">
        <x:f>MIN(F206,MAX(0,ROUND(D206+R206-V206,0)))</x:f>
        <x:v>169</x:v>
      </x:c>
      <x:c r="T206" s="52" t="n">
        <x:v>0.9918336329325577</x:v>
      </x:c>
      <x:c r="U206" s="54" t="n">
        <x:f>MIN(F206,MAX(0,ROUND(S206*T206,0)))</x:f>
        <x:v>168</x:v>
      </x:c>
      <x:c r="V206" s="54" t="n">
        <x:f>AB201</x:f>
        <x:v>10</x:v>
      </x:c>
      <x:c r="W206" s="54" t="n">
        <x:f>U206+V206</x:f>
        <x:v>178</x:v>
      </x:c>
      <x:c r="X206" s="54" t="n">
        <x:f>MIN(E206,W206)</x:f>
        <x:v>171</x:v>
      </x:c>
      <x:c r="Y206" s="54" t="n">
        <x:f>MAX(E206-W206,0)</x:f>
        <x:v>0</x:v>
      </x:c>
      <x:c r="Z206" s="54" t="n">
        <x:f>MAX(W206-X206,0)</x:f>
        <x:v>7</x:v>
      </x:c>
      <x:c r="AA206" s="54" t="n">
        <x:f>MIN(Z206,ROUND(Z206*O206,0))</x:f>
        <x:v>0</x:v>
      </x:c>
      <x:c r="AB206" s="54" t="n">
        <x:f>Z206-AA206</x:f>
        <x:v>7</x:v>
      </x:c>
      <x:c r="AC206" s="52" t="n">
        <x:f>IFERROR(ABS(E206-D206)/E206,0)</x:f>
        <x:v>0.1286549707602339</x:v>
      </x:c>
      <x:c r="AD206" s="52" t="n">
        <x:f>IFERROR(L206/E206,1)</x:f>
        <x:v>0.8362573099415205</x:v>
      </x:c>
      <x:c r="AE206" s="52" t="n">
        <x:f>IFERROR(X206/E206,1)</x:f>
        <x:v>1</x:v>
      </x:c>
      <x:c r="AF206" s="52" t="n">
        <x:f>IFERROR(I206/F206,0)</x:f>
        <x:v>0.6217391304347826</x:v>
      </x:c>
      <x:c r="AG206" s="52" t="n">
        <x:f>IFERROR(U206/F206,0)</x:f>
        <x:v>0.7304347826086957</x:v>
      </x:c>
    </x:row>
    <x:row r="207">
      <x:c r="A207" s="50" t="n">
        <x:v>46203</x:v>
      </x:c>
      <x:c r="B207" s="48" t="str">
        <x:v>Toned Milk</x:v>
      </x:c>
      <x:c r="C207" s="48" t="n">
        <x:v>2</x:v>
      </x:c>
      <x:c r="D207" s="54" t="n">
        <x:v>1690</x:v>
      </x:c>
      <x:c r="E207" s="54" t="n">
        <x:v>1671</x:v>
      </x:c>
      <x:c r="F207" s="54" t="n">
        <x:v>2250</x:v>
      </x:c>
      <x:c r="G207" s="54" t="n">
        <x:f>ROUND(D207*0.97,0)</x:f>
        <x:v>1639</x:v>
      </x:c>
      <x:c r="H207" s="52" t="n">
        <x:v>0.9986274377076043</x:v>
      </x:c>
      <x:c r="I207" s="54" t="n">
        <x:f>MIN(F207,ROUND(G207*H207,0))</x:f>
        <x:v>1637</x:v>
      </x:c>
      <x:c r="J207" s="54" t="n">
        <x:f>Q202</x:f>
        <x:v>200</x:v>
      </x:c>
      <x:c r="K207" s="54" t="n">
        <x:f>I207+J207</x:f>
        <x:v>1837</x:v>
      </x:c>
      <x:c r="L207" s="54" t="n">
        <x:f>MIN(E207,K207)</x:f>
        <x:v>1671</x:v>
      </x:c>
      <x:c r="M207" s="54" t="n">
        <x:f>MAX(E207-K207,0)</x:f>
        <x:v>0</x:v>
      </x:c>
      <x:c r="N207" s="54" t="n">
        <x:f>MAX(K207-L207,0)</x:f>
        <x:v>166</x:v>
      </x:c>
      <x:c r="O207" s="52" t="n">
        <x:v>0.025</x:v>
      </x:c>
      <x:c r="P207" s="54" t="n">
        <x:f>MIN(N207,ROUND(N207*O207,0))</x:f>
        <x:v>4</x:v>
      </x:c>
      <x:c r="Q207" s="54" t="n">
        <x:f>N207-P207</x:f>
        <x:v>162</x:v>
      </x:c>
      <x:c r="R207" s="54" t="n">
        <x:v>203</x:v>
      </x:c>
      <x:c r="S207" s="54" t="n">
        <x:f>MIN(F207,MAX(0,ROUND(D207+R207-V207,0)))</x:f>
        <x:v>1510</x:v>
      </x:c>
      <x:c r="T207" s="52" t="n">
        <x:v>0.9851203034172848</x:v>
      </x:c>
      <x:c r="U207" s="54" t="n">
        <x:f>MIN(F207,MAX(0,ROUND(S207*T207,0)))</x:f>
        <x:v>1488</x:v>
      </x:c>
      <x:c r="V207" s="54" t="n">
        <x:f>AB202</x:f>
        <x:v>383</x:v>
      </x:c>
      <x:c r="W207" s="54" t="n">
        <x:f>U207+V207</x:f>
        <x:v>1871</x:v>
      </x:c>
      <x:c r="X207" s="54" t="n">
        <x:f>MIN(E207,W207)</x:f>
        <x:v>1671</x:v>
      </x:c>
      <x:c r="Y207" s="54" t="n">
        <x:f>MAX(E207-W207,0)</x:f>
        <x:v>0</x:v>
      </x:c>
      <x:c r="Z207" s="54" t="n">
        <x:f>MAX(W207-X207,0)</x:f>
        <x:v>200</x:v>
      </x:c>
      <x:c r="AA207" s="54" t="n">
        <x:f>MIN(Z207,ROUND(Z207*O207,0))</x:f>
        <x:v>5</x:v>
      </x:c>
      <x:c r="AB207" s="54" t="n">
        <x:f>Z207-AA207</x:f>
        <x:v>195</x:v>
      </x:c>
      <x:c r="AC207" s="52" t="n">
        <x:f>IFERROR(ABS(E207-D207)/E207,0)</x:f>
        <x:v>0.011370436864153202</x:v>
      </x:c>
      <x:c r="AD207" s="52" t="n">
        <x:f>IFERROR(L207/E207,1)</x:f>
        <x:v>1</x:v>
      </x:c>
      <x:c r="AE207" s="52" t="n">
        <x:f>IFERROR(X207/E207,1)</x:f>
        <x:v>1</x:v>
      </x:c>
      <x:c r="AF207" s="52" t="n">
        <x:f>IFERROR(I207/F207,0)</x:f>
        <x:v>0.7275555555555555</x:v>
      </x:c>
      <x:c r="AG207" s="52" t="n">
        <x:f>IFERROR(U207/F207,0)</x:f>
        <x:v>0.6613333333333333</x:v>
      </x:c>
    </x:row>
    <x:row r="208">
      <x:c r="A208" s="50" t="n">
        <x:v>46203</x:v>
      </x:c>
      <x:c r="B208" s="48" t="str">
        <x:v>Full Cream Milk</x:v>
      </x:c>
      <x:c r="C208" s="48" t="n">
        <x:v>2</x:v>
      </x:c>
      <x:c r="D208" s="54" t="n">
        <x:v>845</x:v>
      </x:c>
      <x:c r="E208" s="54" t="n">
        <x:v>786</x:v>
      </x:c>
      <x:c r="F208" s="54" t="n">
        <x:v>1200</x:v>
      </x:c>
      <x:c r="G208" s="54" t="n">
        <x:f>ROUND(D208*0.97,0)</x:f>
        <x:v>820</x:v>
      </x:c>
      <x:c r="H208" s="52" t="n">
        <x:v>1.0058818863079702</x:v>
      </x:c>
      <x:c r="I208" s="54" t="n">
        <x:f>MIN(F208,ROUND(G208*H208,0))</x:f>
        <x:v>825</x:v>
      </x:c>
      <x:c r="J208" s="54" t="n">
        <x:f>Q203</x:f>
        <x:v>28</x:v>
      </x:c>
      <x:c r="K208" s="54" t="n">
        <x:f>I208+J208</x:f>
        <x:v>853</x:v>
      </x:c>
      <x:c r="L208" s="54" t="n">
        <x:f>MIN(E208,K208)</x:f>
        <x:v>786</x:v>
      </x:c>
      <x:c r="M208" s="54" t="n">
        <x:f>MAX(E208-K208,0)</x:f>
        <x:v>0</x:v>
      </x:c>
      <x:c r="N208" s="54" t="n">
        <x:f>MAX(K208-L208,0)</x:f>
        <x:v>67</x:v>
      </x:c>
      <x:c r="O208" s="52" t="n">
        <x:v>0.03</x:v>
      </x:c>
      <x:c r="P208" s="54" t="n">
        <x:f>MIN(N208,ROUND(N208*O208,0))</x:f>
        <x:v>2</x:v>
      </x:c>
      <x:c r="Q208" s="54" t="n">
        <x:f>N208-P208</x:f>
        <x:v>65</x:v>
      </x:c>
      <x:c r="R208" s="54" t="n">
        <x:v>101</x:v>
      </x:c>
      <x:c r="S208" s="54" t="n">
        <x:f>MIN(F208,MAX(0,ROUND(D208+R208-V208,0)))</x:f>
        <x:v>792</x:v>
      </x:c>
      <x:c r="T208" s="52" t="n">
        <x:v>0.9802059614312412</x:v>
      </x:c>
      <x:c r="U208" s="54" t="n">
        <x:f>MIN(F208,MAX(0,ROUND(S208*T208,0)))</x:f>
        <x:v>776</x:v>
      </x:c>
      <x:c r="V208" s="54" t="n">
        <x:f>AB203</x:f>
        <x:v>154</x:v>
      </x:c>
      <x:c r="W208" s="54" t="n">
        <x:f>U208+V208</x:f>
        <x:v>930</x:v>
      </x:c>
      <x:c r="X208" s="54" t="n">
        <x:f>MIN(E208,W208)</x:f>
        <x:v>786</x:v>
      </x:c>
      <x:c r="Y208" s="54" t="n">
        <x:f>MAX(E208-W208,0)</x:f>
        <x:v>0</x:v>
      </x:c>
      <x:c r="Z208" s="54" t="n">
        <x:f>MAX(W208-X208,0)</x:f>
        <x:v>144</x:v>
      </x:c>
      <x:c r="AA208" s="54" t="n">
        <x:f>MIN(Z208,ROUND(Z208*O208,0))</x:f>
        <x:v>4</x:v>
      </x:c>
      <x:c r="AB208" s="54" t="n">
        <x:f>Z208-AA208</x:f>
        <x:v>140</x:v>
      </x:c>
      <x:c r="AC208" s="52" t="n">
        <x:f>IFERROR(ABS(E208-D208)/E208,0)</x:f>
        <x:v>0.07506361323155217</x:v>
      </x:c>
      <x:c r="AD208" s="52" t="n">
        <x:f>IFERROR(L208/E208,1)</x:f>
        <x:v>1</x:v>
      </x:c>
      <x:c r="AE208" s="52" t="n">
        <x:f>IFERROR(X208/E208,1)</x:f>
        <x:v>1</x:v>
      </x:c>
      <x:c r="AF208" s="52" t="n">
        <x:f>IFERROR(I208/F208,0)</x:f>
        <x:v>0.6875</x:v>
      </x:c>
      <x:c r="AG208" s="52" t="n">
        <x:f>IFERROR(U208/F208,0)</x:f>
        <x:v>0.6466666666666666</x:v>
      </x:c>
    </x:row>
    <x:row r="209">
      <x:c r="A209" s="50" t="n">
        <x:v>46203</x:v>
      </x:c>
      <x:c r="B209" s="48" t="str">
        <x:v>Curd</x:v>
      </x:c>
      <x:c r="C209" s="48" t="n">
        <x:v>7</x:v>
      </x:c>
      <x:c r="D209" s="54" t="n">
        <x:v>487</x:v>
      </x:c>
      <x:c r="E209" s="54" t="n">
        <x:v>506</x:v>
      </x:c>
      <x:c r="F209" s="54" t="n">
        <x:v>700</x:v>
      </x:c>
      <x:c r="G209" s="54" t="n">
        <x:f>ROUND(D209*0.97,0)</x:f>
        <x:v>472</x:v>
      </x:c>
      <x:c r="H209" s="52" t="n">
        <x:v>0.9983622843457103</x:v>
      </x:c>
      <x:c r="I209" s="54" t="n">
        <x:f>MIN(F209,ROUND(G209*H209,0))</x:f>
        <x:v>471</x:v>
      </x:c>
      <x:c r="J209" s="54" t="n">
        <x:f>Q204</x:f>
        <x:v>0</x:v>
      </x:c>
      <x:c r="K209" s="54" t="n">
        <x:f>I209+J209</x:f>
        <x:v>471</x:v>
      </x:c>
      <x:c r="L209" s="54" t="n">
        <x:f>MIN(E209,K209)</x:f>
        <x:v>471</x:v>
      </x:c>
      <x:c r="M209" s="54" t="n">
        <x:f>MAX(E209-K209,0)</x:f>
        <x:v>35</x:v>
      </x:c>
      <x:c r="N209" s="54" t="n">
        <x:f>MAX(K209-L209,0)</x:f>
        <x:v>0</x:v>
      </x:c>
      <x:c r="O209" s="52" t="n">
        <x:v>0.018</x:v>
      </x:c>
      <x:c r="P209" s="54" t="n">
        <x:f>MIN(N209,ROUND(N209*O209,0))</x:f>
        <x:v>0</x:v>
      </x:c>
      <x:c r="Q209" s="54" t="n">
        <x:f>N209-P209</x:f>
        <x:v>0</x:v>
      </x:c>
      <x:c r="R209" s="54" t="n">
        <x:v>88</x:v>
      </x:c>
      <x:c r="S209" s="54" t="n">
        <x:f>MIN(F209,MAX(0,ROUND(D209+R209-V209,0)))</x:f>
        <x:v>544</x:v>
      </x:c>
      <x:c r="T209" s="52" t="n">
        <x:v>0.9982971984283913</x:v>
      </x:c>
      <x:c r="U209" s="54" t="n">
        <x:f>MIN(F209,MAX(0,ROUND(S209*T209,0)))</x:f>
        <x:v>543</x:v>
      </x:c>
      <x:c r="V209" s="54" t="n">
        <x:f>AB204</x:f>
        <x:v>31</x:v>
      </x:c>
      <x:c r="W209" s="54" t="n">
        <x:f>U209+V209</x:f>
        <x:v>574</x:v>
      </x:c>
      <x:c r="X209" s="54" t="n">
        <x:f>MIN(E209,W209)</x:f>
        <x:v>506</x:v>
      </x:c>
      <x:c r="Y209" s="54" t="n">
        <x:f>MAX(E209-W209,0)</x:f>
        <x:v>0</x:v>
      </x:c>
      <x:c r="Z209" s="54" t="n">
        <x:f>MAX(W209-X209,0)</x:f>
        <x:v>68</x:v>
      </x:c>
      <x:c r="AA209" s="54" t="n">
        <x:f>MIN(Z209,ROUND(Z209*O209,0))</x:f>
        <x:v>1</x:v>
      </x:c>
      <x:c r="AB209" s="54" t="n">
        <x:f>Z209-AA209</x:f>
        <x:v>67</x:v>
      </x:c>
      <x:c r="AC209" s="52" t="n">
        <x:f>IFERROR(ABS(E209-D209)/E209,0)</x:f>
        <x:v>0.037549407114624504</x:v>
      </x:c>
      <x:c r="AD209" s="52" t="n">
        <x:f>IFERROR(L209/E209,1)</x:f>
        <x:v>0.9308300395256917</x:v>
      </x:c>
      <x:c r="AE209" s="52" t="n">
        <x:f>IFERROR(X209/E209,1)</x:f>
        <x:v>1</x:v>
      </x:c>
      <x:c r="AF209" s="52" t="n">
        <x:f>IFERROR(I209/F209,0)</x:f>
        <x:v>0.6728571428571428</x:v>
      </x:c>
      <x:c r="AG209" s="52" t="n">
        <x:f>IFERROR(U209/F209,0)</x:f>
        <x:v>0.7757142857142857</x:v>
      </x:c>
    </x:row>
    <x:row r="210">
      <x:c r="A210" s="50" t="n">
        <x:v>46203</x:v>
      </x:c>
      <x:c r="B210" s="48" t="str">
        <x:v>Lassi</x:v>
      </x:c>
      <x:c r="C210" s="48" t="n">
        <x:v>7</x:v>
      </x:c>
      <x:c r="D210" s="54" t="n">
        <x:v>381</x:v>
      </x:c>
      <x:c r="E210" s="54" t="n">
        <x:v>329</x:v>
      </x:c>
      <x:c r="F210" s="54" t="n">
        <x:v>560</x:v>
      </x:c>
      <x:c r="G210" s="54" t="n">
        <x:f>ROUND(D210*0.97,0)</x:f>
        <x:v>370</x:v>
      </x:c>
      <x:c r="H210" s="52" t="n">
        <x:v>1.004765257962348</x:v>
      </x:c>
      <x:c r="I210" s="54" t="n">
        <x:f>MIN(F210,ROUND(G210*H210,0))</x:f>
        <x:v>372</x:v>
      </x:c>
      <x:c r="J210" s="54" t="n">
        <x:f>Q205</x:f>
        <x:v>84</x:v>
      </x:c>
      <x:c r="K210" s="54" t="n">
        <x:f>I210+J210</x:f>
        <x:v>456</x:v>
      </x:c>
      <x:c r="L210" s="54" t="n">
        <x:f>MIN(E210,K210)</x:f>
        <x:v>329</x:v>
      </x:c>
      <x:c r="M210" s="54" t="n">
        <x:f>MAX(E210-K210,0)</x:f>
        <x:v>0</x:v>
      </x:c>
      <x:c r="N210" s="54" t="n">
        <x:f>MAX(K210-L210,0)</x:f>
        <x:v>127</x:v>
      </x:c>
      <x:c r="O210" s="52" t="n">
        <x:v>0.02</x:v>
      </x:c>
      <x:c r="P210" s="54" t="n">
        <x:f>MIN(N210,ROUND(N210*O210,0))</x:f>
        <x:v>3</x:v>
      </x:c>
      <x:c r="Q210" s="54" t="n">
        <x:f>N210-P210</x:f>
        <x:v>124</x:v>
      </x:c>
      <x:c r="R210" s="54" t="n">
        <x:v>69</x:v>
      </x:c>
      <x:c r="S210" s="54" t="n">
        <x:f>MIN(F210,MAX(0,ROUND(D210+R210-V210,0)))</x:f>
        <x:v>335</x:v>
      </x:c>
      <x:c r="T210" s="52" t="n">
        <x:v>0.9909272901255428</x:v>
      </x:c>
      <x:c r="U210" s="54" t="n">
        <x:f>MIN(F210,MAX(0,ROUND(S210*T210,0)))</x:f>
        <x:v>332</x:v>
      </x:c>
      <x:c r="V210" s="54" t="n">
        <x:f>AB205</x:f>
        <x:v>115</x:v>
      </x:c>
      <x:c r="W210" s="54" t="n">
        <x:f>U210+V210</x:f>
        <x:v>447</x:v>
      </x:c>
      <x:c r="X210" s="54" t="n">
        <x:f>MIN(E210,W210)</x:f>
        <x:v>329</x:v>
      </x:c>
      <x:c r="Y210" s="54" t="n">
        <x:f>MAX(E210-W210,0)</x:f>
        <x:v>0</x:v>
      </x:c>
      <x:c r="Z210" s="54" t="n">
        <x:f>MAX(W210-X210,0)</x:f>
        <x:v>118</x:v>
      </x:c>
      <x:c r="AA210" s="54" t="n">
        <x:f>MIN(Z210,ROUND(Z210*O210,0))</x:f>
        <x:v>2</x:v>
      </x:c>
      <x:c r="AB210" s="54" t="n">
        <x:f>Z210-AA210</x:f>
        <x:v>116</x:v>
      </x:c>
      <x:c r="AC210" s="52" t="n">
        <x:f>IFERROR(ABS(E210-D210)/E210,0)</x:f>
        <x:v>0.1580547112462006</x:v>
      </x:c>
      <x:c r="AD210" s="52" t="n">
        <x:f>IFERROR(L210/E210,1)</x:f>
        <x:v>1</x:v>
      </x:c>
      <x:c r="AE210" s="52" t="n">
        <x:f>IFERROR(X210/E210,1)</x:f>
        <x:v>1</x:v>
      </x:c>
      <x:c r="AF210" s="52" t="n">
        <x:f>IFERROR(I210/F210,0)</x:f>
        <x:v>0.6642857142857143</x:v>
      </x:c>
      <x:c r="AG210" s="52" t="n">
        <x:f>IFERROR(U210/F210,0)</x:f>
        <x:v>0.5928571428571429</x:v>
      </x:c>
    </x:row>
    <x:row r="211">
      <x:c r="A211" s="50" t="n">
        <x:v>46203</x:v>
      </x:c>
      <x:c r="B211" s="48" t="str">
        <x:v>Paneer</x:v>
      </x:c>
      <x:c r="C211" s="48" t="n">
        <x:v>5</x:v>
      </x:c>
      <x:c r="D211" s="54" t="n">
        <x:v>154</x:v>
      </x:c>
      <x:c r="E211" s="54" t="n">
        <x:v>170</x:v>
      </x:c>
      <x:c r="F211" s="54" t="n">
        <x:v>230</x:v>
      </x:c>
      <x:c r="G211" s="54" t="n">
        <x:f>ROUND(D211*0.97,0)</x:f>
        <x:v>149</x:v>
      </x:c>
      <x:c r="H211" s="52" t="n">
        <x:v>1.0055319757266654</x:v>
      </x:c>
      <x:c r="I211" s="54" t="n">
        <x:f>MIN(F211,ROUND(G211*H211,0))</x:f>
        <x:v>150</x:v>
      </x:c>
      <x:c r="J211" s="54" t="n">
        <x:f>Q206</x:f>
        <x:v>0</x:v>
      </x:c>
      <x:c r="K211" s="54" t="n">
        <x:f>I211+J211</x:f>
        <x:v>150</x:v>
      </x:c>
      <x:c r="L211" s="54" t="n">
        <x:f>MIN(E211,K211)</x:f>
        <x:v>150</x:v>
      </x:c>
      <x:c r="M211" s="54" t="n">
        <x:f>MAX(E211-K211,0)</x:f>
        <x:v>20</x:v>
      </x:c>
      <x:c r="N211" s="54" t="n">
        <x:f>MAX(K211-L211,0)</x:f>
        <x:v>0</x:v>
      </x:c>
      <x:c r="O211" s="52" t="n">
        <x:v>0.025</x:v>
      </x:c>
      <x:c r="P211" s="54" t="n">
        <x:f>MIN(N211,ROUND(N211*O211,0))</x:f>
        <x:v>0</x:v>
      </x:c>
      <x:c r="Q211" s="54" t="n">
        <x:f>N211-P211</x:f>
        <x:v>0</x:v>
      </x:c>
      <x:c r="R211" s="54" t="n">
        <x:v>31</x:v>
      </x:c>
      <x:c r="S211" s="54" t="n">
        <x:f>MIN(F211,MAX(0,ROUND(D211+R211-V211,0)))</x:f>
        <x:v>178</x:v>
      </x:c>
      <x:c r="T211" s="52" t="n">
        <x:v>1.00540175829455</x:v>
      </x:c>
      <x:c r="U211" s="54" t="n">
        <x:f>MIN(F211,MAX(0,ROUND(S211*T211,0)))</x:f>
        <x:v>179</x:v>
      </x:c>
      <x:c r="V211" s="54" t="n">
        <x:f>AB206</x:f>
        <x:v>7</x:v>
      </x:c>
      <x:c r="W211" s="54" t="n">
        <x:f>U211+V211</x:f>
        <x:v>186</x:v>
      </x:c>
      <x:c r="X211" s="54" t="n">
        <x:f>MIN(E211,W211)</x:f>
        <x:v>170</x:v>
      </x:c>
      <x:c r="Y211" s="54" t="n">
        <x:f>MAX(E211-W211,0)</x:f>
        <x:v>0</x:v>
      </x:c>
      <x:c r="Z211" s="54" t="n">
        <x:f>MAX(W211-X211,0)</x:f>
        <x:v>16</x:v>
      </x:c>
      <x:c r="AA211" s="54" t="n">
        <x:f>MIN(Z211,ROUND(Z211*O211,0))</x:f>
        <x:v>0</x:v>
      </x:c>
      <x:c r="AB211" s="54" t="n">
        <x:f>Z211-AA211</x:f>
        <x:v>16</x:v>
      </x:c>
      <x:c r="AC211" s="52" t="n">
        <x:f>IFERROR(ABS(E211-D211)/E211,0)</x:f>
        <x:v>0.09411764705882353</x:v>
      </x:c>
      <x:c r="AD211" s="52" t="n">
        <x:f>IFERROR(L211/E211,1)</x:f>
        <x:v>0.8823529411764706</x:v>
      </x:c>
      <x:c r="AE211" s="52" t="n">
        <x:f>IFERROR(X211/E211,1)</x:f>
        <x:v>1</x:v>
      </x:c>
      <x:c r="AF211" s="52" t="n">
        <x:f>IFERROR(I211/F211,0)</x:f>
        <x:v>0.6521739130434783</x:v>
      </x:c>
      <x:c r="AG211" s="52" t="n">
        <x:f>IFERROR(U211/F211,0)</x:f>
        <x:v>0.7782608695652173</x:v>
      </x:c>
    </x:row>
    <x:row r="212">
      <x:c r="A212" s="50" t="n">
        <x:v>46204</x:v>
      </x:c>
      <x:c r="B212" s="48" t="str">
        <x:v>Toned Milk</x:v>
      </x:c>
      <x:c r="C212" s="48" t="n">
        <x:v>2</x:v>
      </x:c>
      <x:c r="D212" s="54" t="n">
        <x:v>1708</x:v>
      </x:c>
      <x:c r="E212" s="54" t="n">
        <x:v>1509</x:v>
      </x:c>
      <x:c r="F212" s="54" t="n">
        <x:v>2250</x:v>
      </x:c>
      <x:c r="G212" s="54" t="n">
        <x:f>ROUND(D212*0.97,0)</x:f>
        <x:v>1657</x:v>
      </x:c>
      <x:c r="H212" s="52" t="n">
        <x:v>1.0034050710728648</x:v>
      </x:c>
      <x:c r="I212" s="54" t="n">
        <x:f>MIN(F212,ROUND(G212*H212,0))</x:f>
        <x:v>1663</x:v>
      </x:c>
      <x:c r="J212" s="54" t="n">
        <x:f>Q207</x:f>
        <x:v>162</x:v>
      </x:c>
      <x:c r="K212" s="54" t="n">
        <x:f>I212+J212</x:f>
        <x:v>1825</x:v>
      </x:c>
      <x:c r="L212" s="54" t="n">
        <x:f>MIN(E212,K212)</x:f>
        <x:v>1509</x:v>
      </x:c>
      <x:c r="M212" s="54" t="n">
        <x:f>MAX(E212-K212,0)</x:f>
        <x:v>0</x:v>
      </x:c>
      <x:c r="N212" s="54" t="n">
        <x:f>MAX(K212-L212,0)</x:f>
        <x:v>316</x:v>
      </x:c>
      <x:c r="O212" s="52" t="n">
        <x:v>0.025</x:v>
      </x:c>
      <x:c r="P212" s="54" t="n">
        <x:f>MIN(N212,ROUND(N212*O212,0))</x:f>
        <x:v>8</x:v>
      </x:c>
      <x:c r="Q212" s="54" t="n">
        <x:f>N212-P212</x:f>
        <x:v>308</x:v>
      </x:c>
      <x:c r="R212" s="54" t="n">
        <x:v>205</x:v>
      </x:c>
      <x:c r="S212" s="54" t="n">
        <x:f>MIN(F212,MAX(0,ROUND(D212+R212-V212,0)))</x:f>
        <x:v>1718</x:v>
      </x:c>
      <x:c r="T212" s="52" t="n">
        <x:v>0.9934994388218585</x:v>
      </x:c>
      <x:c r="U212" s="54" t="n">
        <x:f>MIN(F212,MAX(0,ROUND(S212*T212,0)))</x:f>
        <x:v>1707</x:v>
      </x:c>
      <x:c r="V212" s="54" t="n">
        <x:f>AB207</x:f>
        <x:v>195</x:v>
      </x:c>
      <x:c r="W212" s="54" t="n">
        <x:f>U212+V212</x:f>
        <x:v>1902</x:v>
      </x:c>
      <x:c r="X212" s="54" t="n">
        <x:f>MIN(E212,W212)</x:f>
        <x:v>1509</x:v>
      </x:c>
      <x:c r="Y212" s="54" t="n">
        <x:f>MAX(E212-W212,0)</x:f>
        <x:v>0</x:v>
      </x:c>
      <x:c r="Z212" s="54" t="n">
        <x:f>MAX(W212-X212,0)</x:f>
        <x:v>393</x:v>
      </x:c>
      <x:c r="AA212" s="54" t="n">
        <x:f>MIN(Z212,ROUND(Z212*O212,0))</x:f>
        <x:v>10</x:v>
      </x:c>
      <x:c r="AB212" s="54" t="n">
        <x:f>Z212-AA212</x:f>
        <x:v>383</x:v>
      </x:c>
      <x:c r="AC212" s="52" t="n">
        <x:f>IFERROR(ABS(E212-D212)/E212,0)</x:f>
        <x:v>0.1318754141815772</x:v>
      </x:c>
      <x:c r="AD212" s="52" t="n">
        <x:f>IFERROR(L212/E212,1)</x:f>
        <x:v>1</x:v>
      </x:c>
      <x:c r="AE212" s="52" t="n">
        <x:f>IFERROR(X212/E212,1)</x:f>
        <x:v>1</x:v>
      </x:c>
      <x:c r="AF212" s="52" t="n">
        <x:f>IFERROR(I212/F212,0)</x:f>
        <x:v>0.7391111111111112</x:v>
      </x:c>
      <x:c r="AG212" s="52" t="n">
        <x:f>IFERROR(U212/F212,0)</x:f>
        <x:v>0.7586666666666667</x:v>
      </x:c>
    </x:row>
    <x:row r="213">
      <x:c r="A213" s="50" t="n">
        <x:v>46204</x:v>
      </x:c>
      <x:c r="B213" s="48" t="str">
        <x:v>Full Cream Milk</x:v>
      </x:c>
      <x:c r="C213" s="48" t="n">
        <x:v>2</x:v>
      </x:c>
      <x:c r="D213" s="54" t="n">
        <x:v>854</x:v>
      </x:c>
      <x:c r="E213" s="54" t="n">
        <x:v>915</x:v>
      </x:c>
      <x:c r="F213" s="54" t="n">
        <x:v>1200</x:v>
      </x:c>
      <x:c r="G213" s="54" t="n">
        <x:f>ROUND(D213*0.97,0)</x:f>
        <x:v>828</x:v>
      </x:c>
      <x:c r="H213" s="52" t="n">
        <x:v>0.9870023844711104</x:v>
      </x:c>
      <x:c r="I213" s="54" t="n">
        <x:f>MIN(F213,ROUND(G213*H213,0))</x:f>
        <x:v>817</x:v>
      </x:c>
      <x:c r="J213" s="54" t="n">
        <x:f>Q208</x:f>
        <x:v>65</x:v>
      </x:c>
      <x:c r="K213" s="54" t="n">
        <x:f>I213+J213</x:f>
        <x:v>882</x:v>
      </x:c>
      <x:c r="L213" s="54" t="n">
        <x:f>MIN(E213,K213)</x:f>
        <x:v>882</x:v>
      </x:c>
      <x:c r="M213" s="54" t="n">
        <x:f>MAX(E213-K213,0)</x:f>
        <x:v>33</x:v>
      </x:c>
      <x:c r="N213" s="54" t="n">
        <x:f>MAX(K213-L213,0)</x:f>
        <x:v>0</x:v>
      </x:c>
      <x:c r="O213" s="52" t="n">
        <x:v>0.03</x:v>
      </x:c>
      <x:c r="P213" s="54" t="n">
        <x:f>MIN(N213,ROUND(N213*O213,0))</x:f>
        <x:v>0</x:v>
      </x:c>
      <x:c r="Q213" s="54" t="n">
        <x:f>N213-P213</x:f>
        <x:v>0</x:v>
      </x:c>
      <x:c r="R213" s="54" t="n">
        <x:v>102</x:v>
      </x:c>
      <x:c r="S213" s="54" t="n">
        <x:f>MIN(F213,MAX(0,ROUND(D213+R213-V213,0)))</x:f>
        <x:v>816</x:v>
      </x:c>
      <x:c r="T213" s="52" t="n">
        <x:v>0.999083976505493</x:v>
      </x:c>
      <x:c r="U213" s="54" t="n">
        <x:f>MIN(F213,MAX(0,ROUND(S213*T213,0)))</x:f>
        <x:v>815</x:v>
      </x:c>
      <x:c r="V213" s="54" t="n">
        <x:f>AB208</x:f>
        <x:v>140</x:v>
      </x:c>
      <x:c r="W213" s="54" t="n">
        <x:f>U213+V213</x:f>
        <x:v>955</x:v>
      </x:c>
      <x:c r="X213" s="54" t="n">
        <x:f>MIN(E213,W213)</x:f>
        <x:v>915</x:v>
      </x:c>
      <x:c r="Y213" s="54" t="n">
        <x:f>MAX(E213-W213,0)</x:f>
        <x:v>0</x:v>
      </x:c>
      <x:c r="Z213" s="54" t="n">
        <x:f>MAX(W213-X213,0)</x:f>
        <x:v>40</x:v>
      </x:c>
      <x:c r="AA213" s="54" t="n">
        <x:f>MIN(Z213,ROUND(Z213*O213,0))</x:f>
        <x:v>1</x:v>
      </x:c>
      <x:c r="AB213" s="54" t="n">
        <x:f>Z213-AA213</x:f>
        <x:v>39</x:v>
      </x:c>
      <x:c r="AC213" s="52" t="n">
        <x:f>IFERROR(ABS(E213-D213)/E213,0)</x:f>
        <x:v>0.06666666666666667</x:v>
      </x:c>
      <x:c r="AD213" s="52" t="n">
        <x:f>IFERROR(L213/E213,1)</x:f>
        <x:v>0.9639344262295082</x:v>
      </x:c>
      <x:c r="AE213" s="52" t="n">
        <x:f>IFERROR(X213/E213,1)</x:f>
        <x:v>1</x:v>
      </x:c>
      <x:c r="AF213" s="52" t="n">
        <x:f>IFERROR(I213/F213,0)</x:f>
        <x:v>0.6808333333333333</x:v>
      </x:c>
      <x:c r="AG213" s="52" t="n">
        <x:f>IFERROR(U213/F213,0)</x:f>
        <x:v>0.6791666666666667</x:v>
      </x:c>
    </x:row>
    <x:row r="214">
      <x:c r="A214" s="50" t="n">
        <x:v>46204</x:v>
      </x:c>
      <x:c r="B214" s="48" t="str">
        <x:v>Curd</x:v>
      </x:c>
      <x:c r="C214" s="48" t="n">
        <x:v>7</x:v>
      </x:c>
      <x:c r="D214" s="54" t="n">
        <x:v>497</x:v>
      </x:c>
      <x:c r="E214" s="54" t="n">
        <x:v>549</x:v>
      </x:c>
      <x:c r="F214" s="54" t="n">
        <x:v>700</x:v>
      </x:c>
      <x:c r="G214" s="54" t="n">
        <x:f>ROUND(D214*0.97,0)</x:f>
        <x:v>482</x:v>
      </x:c>
      <x:c r="H214" s="52" t="n">
        <x:v>0.9998208634790241</x:v>
      </x:c>
      <x:c r="I214" s="54" t="n">
        <x:f>MIN(F214,ROUND(G214*H214,0))</x:f>
        <x:v>482</x:v>
      </x:c>
      <x:c r="J214" s="54" t="n">
        <x:f>Q209</x:f>
        <x:v>0</x:v>
      </x:c>
      <x:c r="K214" s="54" t="n">
        <x:f>I214+J214</x:f>
        <x:v>482</x:v>
      </x:c>
      <x:c r="L214" s="54" t="n">
        <x:f>MIN(E214,K214)</x:f>
        <x:v>482</x:v>
      </x:c>
      <x:c r="M214" s="54" t="n">
        <x:f>MAX(E214-K214,0)</x:f>
        <x:v>67</x:v>
      </x:c>
      <x:c r="N214" s="54" t="n">
        <x:f>MAX(K214-L214,0)</x:f>
        <x:v>0</x:v>
      </x:c>
      <x:c r="O214" s="52" t="n">
        <x:v>0.018</x:v>
      </x:c>
      <x:c r="P214" s="54" t="n">
        <x:f>MIN(N214,ROUND(N214*O214,0))</x:f>
        <x:v>0</x:v>
      </x:c>
      <x:c r="Q214" s="54" t="n">
        <x:f>N214-P214</x:f>
        <x:v>0</x:v>
      </x:c>
      <x:c r="R214" s="54" t="n">
        <x:v>89</x:v>
      </x:c>
      <x:c r="S214" s="54" t="n">
        <x:f>MIN(F214,MAX(0,ROUND(D214+R214-V214,0)))</x:f>
        <x:v>519</x:v>
      </x:c>
      <x:c r="T214" s="52" t="n">
        <x:v>1.0082849278407442</x:v>
      </x:c>
      <x:c r="U214" s="54" t="n">
        <x:f>MIN(F214,MAX(0,ROUND(S214*T214,0)))</x:f>
        <x:v>523</x:v>
      </x:c>
      <x:c r="V214" s="54" t="n">
        <x:f>AB209</x:f>
        <x:v>67</x:v>
      </x:c>
      <x:c r="W214" s="54" t="n">
        <x:f>U214+V214</x:f>
        <x:v>590</x:v>
      </x:c>
      <x:c r="X214" s="54" t="n">
        <x:f>MIN(E214,W214)</x:f>
        <x:v>549</x:v>
      </x:c>
      <x:c r="Y214" s="54" t="n">
        <x:f>MAX(E214-W214,0)</x:f>
        <x:v>0</x:v>
      </x:c>
      <x:c r="Z214" s="54" t="n">
        <x:f>MAX(W214-X214,0)</x:f>
        <x:v>41</x:v>
      </x:c>
      <x:c r="AA214" s="54" t="n">
        <x:f>MIN(Z214,ROUND(Z214*O214,0))</x:f>
        <x:v>1</x:v>
      </x:c>
      <x:c r="AB214" s="54" t="n">
        <x:f>Z214-AA214</x:f>
        <x:v>40</x:v>
      </x:c>
      <x:c r="AC214" s="52" t="n">
        <x:f>IFERROR(ABS(E214-D214)/E214,0)</x:f>
        <x:v>0.0947176684881603</x:v>
      </x:c>
      <x:c r="AD214" s="52" t="n">
        <x:f>IFERROR(L214/E214,1)</x:f>
        <x:v>0.8779599271402551</x:v>
      </x:c>
      <x:c r="AE214" s="52" t="n">
        <x:f>IFERROR(X214/E214,1)</x:f>
        <x:v>1</x:v>
      </x:c>
      <x:c r="AF214" s="52" t="n">
        <x:f>IFERROR(I214/F214,0)</x:f>
        <x:v>0.6885714285714286</x:v>
      </x:c>
      <x:c r="AG214" s="52" t="n">
        <x:f>IFERROR(U214/F214,0)</x:f>
        <x:v>0.7471428571428571</x:v>
      </x:c>
    </x:row>
    <x:row r="215">
      <x:c r="A215" s="50" t="n">
        <x:v>46204</x:v>
      </x:c>
      <x:c r="B215" s="48" t="str">
        <x:v>Lassi</x:v>
      </x:c>
      <x:c r="C215" s="48" t="n">
        <x:v>7</x:v>
      </x:c>
      <x:c r="D215" s="54" t="n">
        <x:v>398</x:v>
      </x:c>
      <x:c r="E215" s="54" t="n">
        <x:v>451</x:v>
      </x:c>
      <x:c r="F215" s="54" t="n">
        <x:v>560</x:v>
      </x:c>
      <x:c r="G215" s="54" t="n">
        <x:f>ROUND(D215*0.97,0)</x:f>
        <x:v>386</x:v>
      </x:c>
      <x:c r="H215" s="52" t="n">
        <x:v>1.0011749322310979</x:v>
      </x:c>
      <x:c r="I215" s="54" t="n">
        <x:f>MIN(F215,ROUND(G215*H215,0))</x:f>
        <x:v>386</x:v>
      </x:c>
      <x:c r="J215" s="54" t="n">
        <x:f>Q210</x:f>
        <x:v>124</x:v>
      </x:c>
      <x:c r="K215" s="54" t="n">
        <x:f>I215+J215</x:f>
        <x:v>510</x:v>
      </x:c>
      <x:c r="L215" s="54" t="n">
        <x:f>MIN(E215,K215)</x:f>
        <x:v>451</x:v>
      </x:c>
      <x:c r="M215" s="54" t="n">
        <x:f>MAX(E215-K215,0)</x:f>
        <x:v>0</x:v>
      </x:c>
      <x:c r="N215" s="54" t="n">
        <x:f>MAX(K215-L215,0)</x:f>
        <x:v>59</x:v>
      </x:c>
      <x:c r="O215" s="52" t="n">
        <x:v>0.02</x:v>
      </x:c>
      <x:c r="P215" s="54" t="n">
        <x:f>MIN(N215,ROUND(N215*O215,0))</x:f>
        <x:v>1</x:v>
      </x:c>
      <x:c r="Q215" s="54" t="n">
        <x:f>N215-P215</x:f>
        <x:v>58</x:v>
      </x:c>
      <x:c r="R215" s="54" t="n">
        <x:v>72</x:v>
      </x:c>
      <x:c r="S215" s="54" t="n">
        <x:f>MIN(F215,MAX(0,ROUND(D215+R215-V215,0)))</x:f>
        <x:v>354</x:v>
      </x:c>
      <x:c r="T215" s="52" t="n">
        <x:v>1.0048481003296807</x:v>
      </x:c>
      <x:c r="U215" s="54" t="n">
        <x:f>MIN(F215,MAX(0,ROUND(S215*T215,0)))</x:f>
        <x:v>356</x:v>
      </x:c>
      <x:c r="V215" s="54" t="n">
        <x:f>AB210</x:f>
        <x:v>116</x:v>
      </x:c>
      <x:c r="W215" s="54" t="n">
        <x:f>U215+V215</x:f>
        <x:v>472</x:v>
      </x:c>
      <x:c r="X215" s="54" t="n">
        <x:f>MIN(E215,W215)</x:f>
        <x:v>451</x:v>
      </x:c>
      <x:c r="Y215" s="54" t="n">
        <x:f>MAX(E215-W215,0)</x:f>
        <x:v>0</x:v>
      </x:c>
      <x:c r="Z215" s="54" t="n">
        <x:f>MAX(W215-X215,0)</x:f>
        <x:v>21</x:v>
      </x:c>
      <x:c r="AA215" s="54" t="n">
        <x:f>MIN(Z215,ROUND(Z215*O215,0))</x:f>
        <x:v>0</x:v>
      </x:c>
      <x:c r="AB215" s="54" t="n">
        <x:f>Z215-AA215</x:f>
        <x:v>21</x:v>
      </x:c>
      <x:c r="AC215" s="52" t="n">
        <x:f>IFERROR(ABS(E215-D215)/E215,0)</x:f>
        <x:v>0.11751662971175167</x:v>
      </x:c>
      <x:c r="AD215" s="52" t="n">
        <x:f>IFERROR(L215/E215,1)</x:f>
        <x:v>1</x:v>
      </x:c>
      <x:c r="AE215" s="52" t="n">
        <x:f>IFERROR(X215/E215,1)</x:f>
        <x:v>1</x:v>
      </x:c>
      <x:c r="AF215" s="52" t="n">
        <x:f>IFERROR(I215/F215,0)</x:f>
        <x:v>0.6892857142857143</x:v>
      </x:c>
      <x:c r="AG215" s="52" t="n">
        <x:f>IFERROR(U215/F215,0)</x:f>
        <x:v>0.6357142857142857</x:v>
      </x:c>
    </x:row>
    <x:row r="216">
      <x:c r="A216" s="50" t="n">
        <x:v>46204</x:v>
      </x:c>
      <x:c r="B216" s="48" t="str">
        <x:v>Paneer</x:v>
      </x:c>
      <x:c r="C216" s="48" t="n">
        <x:v>5</x:v>
      </x:c>
      <x:c r="D216" s="54" t="n">
        <x:v>159</x:v>
      </x:c>
      <x:c r="E216" s="54" t="n">
        <x:v>159</x:v>
      </x:c>
      <x:c r="F216" s="54" t="n">
        <x:v>230</x:v>
      </x:c>
      <x:c r="G216" s="54" t="n">
        <x:f>ROUND(D216*0.97,0)</x:f>
        <x:v>154</x:v>
      </x:c>
      <x:c r="H216" s="52" t="n">
        <x:v>0.9846813954697824</x:v>
      </x:c>
      <x:c r="I216" s="54" t="n">
        <x:f>MIN(F216,ROUND(G216*H216,0))</x:f>
        <x:v>152</x:v>
      </x:c>
      <x:c r="J216" s="54" t="n">
        <x:f>Q211</x:f>
        <x:v>0</x:v>
      </x:c>
      <x:c r="K216" s="54" t="n">
        <x:f>I216+J216</x:f>
        <x:v>152</x:v>
      </x:c>
      <x:c r="L216" s="54" t="n">
        <x:f>MIN(E216,K216)</x:f>
        <x:v>152</x:v>
      </x:c>
      <x:c r="M216" s="54" t="n">
        <x:f>MAX(E216-K216,0)</x:f>
        <x:v>7</x:v>
      </x:c>
      <x:c r="N216" s="54" t="n">
        <x:f>MAX(K216-L216,0)</x:f>
        <x:v>0</x:v>
      </x:c>
      <x:c r="O216" s="52" t="n">
        <x:v>0.025</x:v>
      </x:c>
      <x:c r="P216" s="54" t="n">
        <x:f>MIN(N216,ROUND(N216*O216,0))</x:f>
        <x:v>0</x:v>
      </x:c>
      <x:c r="Q216" s="54" t="n">
        <x:f>N216-P216</x:f>
        <x:v>0</x:v>
      </x:c>
      <x:c r="R216" s="54" t="n">
        <x:v>32</x:v>
      </x:c>
      <x:c r="S216" s="54" t="n">
        <x:f>MIN(F216,MAX(0,ROUND(D216+R216-V216,0)))</x:f>
        <x:v>175</x:v>
      </x:c>
      <x:c r="T216" s="52" t="n">
        <x:v>1.018315785928516</x:v>
      </x:c>
      <x:c r="U216" s="54" t="n">
        <x:f>MIN(F216,MAX(0,ROUND(S216*T216,0)))</x:f>
        <x:v>178</x:v>
      </x:c>
      <x:c r="V216" s="54" t="n">
        <x:f>AB211</x:f>
        <x:v>16</x:v>
      </x:c>
      <x:c r="W216" s="54" t="n">
        <x:f>U216+V216</x:f>
        <x:v>194</x:v>
      </x:c>
      <x:c r="X216" s="54" t="n">
        <x:f>MIN(E216,W216)</x:f>
        <x:v>159</x:v>
      </x:c>
      <x:c r="Y216" s="54" t="n">
        <x:f>MAX(E216-W216,0)</x:f>
        <x:v>0</x:v>
      </x:c>
      <x:c r="Z216" s="54" t="n">
        <x:f>MAX(W216-X216,0)</x:f>
        <x:v>35</x:v>
      </x:c>
      <x:c r="AA216" s="54" t="n">
        <x:f>MIN(Z216,ROUND(Z216*O216,0))</x:f>
        <x:v>1</x:v>
      </x:c>
      <x:c r="AB216" s="54" t="n">
        <x:f>Z216-AA216</x:f>
        <x:v>34</x:v>
      </x:c>
      <x:c r="AC216" s="52" t="n">
        <x:f>IFERROR(ABS(E216-D216)/E216,0)</x:f>
        <x:v>0</x:v>
      </x:c>
      <x:c r="AD216" s="52" t="n">
        <x:f>IFERROR(L216/E216,1)</x:f>
        <x:v>0.9559748427672956</x:v>
      </x:c>
      <x:c r="AE216" s="52" t="n">
        <x:f>IFERROR(X216/E216,1)</x:f>
        <x:v>1</x:v>
      </x:c>
      <x:c r="AF216" s="52" t="n">
        <x:f>IFERROR(I216/F216,0)</x:f>
        <x:v>0.6608695652173913</x:v>
      </x:c>
      <x:c r="AG216" s="52" t="n">
        <x:f>IFERROR(U216/F216,0)</x:f>
        <x:v>0.7739130434782608</x:v>
      </x:c>
    </x:row>
    <x:row r="217">
      <x:c r="A217" s="50" t="n">
        <x:v>46205</x:v>
      </x:c>
      <x:c r="B217" s="48" t="str">
        <x:v>Toned Milk</x:v>
      </x:c>
      <x:c r="C217" s="48" t="n">
        <x:v>2</x:v>
      </x:c>
      <x:c r="D217" s="54" t="n">
        <x:v>1726</x:v>
      </x:c>
      <x:c r="E217" s="54" t="n">
        <x:v>1458</x:v>
      </x:c>
      <x:c r="F217" s="54" t="n">
        <x:v>2250</x:v>
      </x:c>
      <x:c r="G217" s="54" t="n">
        <x:f>ROUND(D217*0.97,0)</x:f>
        <x:v>1674</x:v>
      </x:c>
      <x:c r="H217" s="52" t="n">
        <x:v>0.9952433115677233</x:v>
      </x:c>
      <x:c r="I217" s="54" t="n">
        <x:f>MIN(F217,ROUND(G217*H217,0))</x:f>
        <x:v>1666</x:v>
      </x:c>
      <x:c r="J217" s="54" t="n">
        <x:f>Q212</x:f>
        <x:v>308</x:v>
      </x:c>
      <x:c r="K217" s="54" t="n">
        <x:f>I217+J217</x:f>
        <x:v>1974</x:v>
      </x:c>
      <x:c r="L217" s="54" t="n">
        <x:f>MIN(E217,K217)</x:f>
        <x:v>1458</x:v>
      </x:c>
      <x:c r="M217" s="54" t="n">
        <x:f>MAX(E217-K217,0)</x:f>
        <x:v>0</x:v>
      </x:c>
      <x:c r="N217" s="54" t="n">
        <x:f>MAX(K217-L217,0)</x:f>
        <x:v>516</x:v>
      </x:c>
      <x:c r="O217" s="52" t="n">
        <x:v>0.025</x:v>
      </x:c>
      <x:c r="P217" s="54" t="n">
        <x:f>MIN(N217,ROUND(N217*O217,0))</x:f>
        <x:v>13</x:v>
      </x:c>
      <x:c r="Q217" s="54" t="n">
        <x:f>N217-P217</x:f>
        <x:v>503</x:v>
      </x:c>
      <x:c r="R217" s="54" t="n">
        <x:v>207</x:v>
      </x:c>
      <x:c r="S217" s="54" t="n">
        <x:f>MIN(F217,MAX(0,ROUND(D217+R217-V217,0)))</x:f>
        <x:v>1550</x:v>
      </x:c>
      <x:c r="T217" s="52" t="n">
        <x:v>0.9871632612315787</x:v>
      </x:c>
      <x:c r="U217" s="54" t="n">
        <x:f>MIN(F217,MAX(0,ROUND(S217*T217,0)))</x:f>
        <x:v>1530</x:v>
      </x:c>
      <x:c r="V217" s="54" t="n">
        <x:f>AB212</x:f>
        <x:v>383</x:v>
      </x:c>
      <x:c r="W217" s="54" t="n">
        <x:f>U217+V217</x:f>
        <x:v>1913</x:v>
      </x:c>
      <x:c r="X217" s="54" t="n">
        <x:f>MIN(E217,W217)</x:f>
        <x:v>1458</x:v>
      </x:c>
      <x:c r="Y217" s="54" t="n">
        <x:f>MAX(E217-W217,0)</x:f>
        <x:v>0</x:v>
      </x:c>
      <x:c r="Z217" s="54" t="n">
        <x:f>MAX(W217-X217,0)</x:f>
        <x:v>455</x:v>
      </x:c>
      <x:c r="AA217" s="54" t="n">
        <x:f>MIN(Z217,ROUND(Z217*O217,0))</x:f>
        <x:v>11</x:v>
      </x:c>
      <x:c r="AB217" s="54" t="n">
        <x:f>Z217-AA217</x:f>
        <x:v>444</x:v>
      </x:c>
      <x:c r="AC217" s="52" t="n">
        <x:f>IFERROR(ABS(E217-D217)/E217,0)</x:f>
        <x:v>0.18381344307270234</x:v>
      </x:c>
      <x:c r="AD217" s="52" t="n">
        <x:f>IFERROR(L217/E217,1)</x:f>
        <x:v>1</x:v>
      </x:c>
      <x:c r="AE217" s="52" t="n">
        <x:f>IFERROR(X217/E217,1)</x:f>
        <x:v>1</x:v>
      </x:c>
      <x:c r="AF217" s="52" t="n">
        <x:f>IFERROR(I217/F217,0)</x:f>
        <x:v>0.7404444444444445</x:v>
      </x:c>
      <x:c r="AG217" s="52" t="n">
        <x:f>IFERROR(U217/F217,0)</x:f>
        <x:v>0.68</x:v>
      </x:c>
    </x:row>
    <x:row r="218">
      <x:c r="A218" s="50" t="n">
        <x:v>46205</x:v>
      </x:c>
      <x:c r="B218" s="48" t="str">
        <x:v>Full Cream Milk</x:v>
      </x:c>
      <x:c r="C218" s="48" t="n">
        <x:v>2</x:v>
      </x:c>
      <x:c r="D218" s="54" t="n">
        <x:v>863</x:v>
      </x:c>
      <x:c r="E218" s="54" t="n">
        <x:v>714</x:v>
      </x:c>
      <x:c r="F218" s="54" t="n">
        <x:v>1200</x:v>
      </x:c>
      <x:c r="G218" s="54" t="n">
        <x:f>ROUND(D218*0.97,0)</x:f>
        <x:v>837</x:v>
      </x:c>
      <x:c r="H218" s="52" t="n">
        <x:v>0.9943527150199467</x:v>
      </x:c>
      <x:c r="I218" s="54" t="n">
        <x:f>MIN(F218,ROUND(G218*H218,0))</x:f>
        <x:v>832</x:v>
      </x:c>
      <x:c r="J218" s="54" t="n">
        <x:f>Q213</x:f>
        <x:v>0</x:v>
      </x:c>
      <x:c r="K218" s="54" t="n">
        <x:f>I218+J218</x:f>
        <x:v>832</x:v>
      </x:c>
      <x:c r="L218" s="54" t="n">
        <x:f>MIN(E218,K218)</x:f>
        <x:v>714</x:v>
      </x:c>
      <x:c r="M218" s="54" t="n">
        <x:f>MAX(E218-K218,0)</x:f>
        <x:v>0</x:v>
      </x:c>
      <x:c r="N218" s="54" t="n">
        <x:f>MAX(K218-L218,0)</x:f>
        <x:v>118</x:v>
      </x:c>
      <x:c r="O218" s="52" t="n">
        <x:v>0.03</x:v>
      </x:c>
      <x:c r="P218" s="54" t="n">
        <x:f>MIN(N218,ROUND(N218*O218,0))</x:f>
        <x:v>4</x:v>
      </x:c>
      <x:c r="Q218" s="54" t="n">
        <x:f>N218-P218</x:f>
        <x:v>114</x:v>
      </x:c>
      <x:c r="R218" s="54" t="n">
        <x:v>104</x:v>
      </x:c>
      <x:c r="S218" s="54" t="n">
        <x:f>MIN(F218,MAX(0,ROUND(D218+R218-V218,0)))</x:f>
        <x:v>928</x:v>
      </x:c>
      <x:c r="T218" s="52" t="n">
        <x:v>0.9993035705068537</x:v>
      </x:c>
      <x:c r="U218" s="54" t="n">
        <x:f>MIN(F218,MAX(0,ROUND(S218*T218,0)))</x:f>
        <x:v>927</x:v>
      </x:c>
      <x:c r="V218" s="54" t="n">
        <x:f>AB213</x:f>
        <x:v>39</x:v>
      </x:c>
      <x:c r="W218" s="54" t="n">
        <x:f>U218+V218</x:f>
        <x:v>966</x:v>
      </x:c>
      <x:c r="X218" s="54" t="n">
        <x:f>MIN(E218,W218)</x:f>
        <x:v>714</x:v>
      </x:c>
      <x:c r="Y218" s="54" t="n">
        <x:f>MAX(E218-W218,0)</x:f>
        <x:v>0</x:v>
      </x:c>
      <x:c r="Z218" s="54" t="n">
        <x:f>MAX(W218-X218,0)</x:f>
        <x:v>252</x:v>
      </x:c>
      <x:c r="AA218" s="54" t="n">
        <x:f>MIN(Z218,ROUND(Z218*O218,0))</x:f>
        <x:v>8</x:v>
      </x:c>
      <x:c r="AB218" s="54" t="n">
        <x:f>Z218-AA218</x:f>
        <x:v>244</x:v>
      </x:c>
      <x:c r="AC218" s="52" t="n">
        <x:f>IFERROR(ABS(E218-D218)/E218,0)</x:f>
        <x:v>0.20868347338935575</x:v>
      </x:c>
      <x:c r="AD218" s="52" t="n">
        <x:f>IFERROR(L218/E218,1)</x:f>
        <x:v>1</x:v>
      </x:c>
      <x:c r="AE218" s="52" t="n">
        <x:f>IFERROR(X218/E218,1)</x:f>
        <x:v>1</x:v>
      </x:c>
      <x:c r="AF218" s="52" t="n">
        <x:f>IFERROR(I218/F218,0)</x:f>
        <x:v>0.6933333333333334</x:v>
      </x:c>
      <x:c r="AG218" s="52" t="n">
        <x:f>IFERROR(U218/F218,0)</x:f>
        <x:v>0.7725</x:v>
      </x:c>
    </x:row>
    <x:row r="219">
      <x:c r="A219" s="50" t="n">
        <x:v>46205</x:v>
      </x:c>
      <x:c r="B219" s="48" t="str">
        <x:v>Curd</x:v>
      </x:c>
      <x:c r="C219" s="48" t="n">
        <x:v>7</x:v>
      </x:c>
      <x:c r="D219" s="54" t="n">
        <x:v>508</x:v>
      </x:c>
      <x:c r="E219" s="54" t="n">
        <x:v>474</x:v>
      </x:c>
      <x:c r="F219" s="54" t="n">
        <x:v>700</x:v>
      </x:c>
      <x:c r="G219" s="54" t="n">
        <x:f>ROUND(D219*0.97,0)</x:f>
        <x:v>493</x:v>
      </x:c>
      <x:c r="H219" s="52" t="n">
        <x:v>0.9856641699184453</x:v>
      </x:c>
      <x:c r="I219" s="54" t="n">
        <x:f>MIN(F219,ROUND(G219*H219,0))</x:f>
        <x:v>486</x:v>
      </x:c>
      <x:c r="J219" s="54" t="n">
        <x:f>Q214</x:f>
        <x:v>0</x:v>
      </x:c>
      <x:c r="K219" s="54" t="n">
        <x:f>I219+J219</x:f>
        <x:v>486</x:v>
      </x:c>
      <x:c r="L219" s="54" t="n">
        <x:f>MIN(E219,K219)</x:f>
        <x:v>474</x:v>
      </x:c>
      <x:c r="M219" s="54" t="n">
        <x:f>MAX(E219-K219,0)</x:f>
        <x:v>0</x:v>
      </x:c>
      <x:c r="N219" s="54" t="n">
        <x:f>MAX(K219-L219,0)</x:f>
        <x:v>12</x:v>
      </x:c>
      <x:c r="O219" s="52" t="n">
        <x:v>0.018</x:v>
      </x:c>
      <x:c r="P219" s="54" t="n">
        <x:f>MIN(N219,ROUND(N219*O219,0))</x:f>
        <x:v>0</x:v>
      </x:c>
      <x:c r="Q219" s="54" t="n">
        <x:f>N219-P219</x:f>
        <x:v>12</x:v>
      </x:c>
      <x:c r="R219" s="54" t="n">
        <x:v>91</x:v>
      </x:c>
      <x:c r="S219" s="54" t="n">
        <x:f>MIN(F219,MAX(0,ROUND(D219+R219-V219,0)))</x:f>
        <x:v>559</x:v>
      </x:c>
      <x:c r="T219" s="52" t="n">
        <x:v>1.0185238476787837</x:v>
      </x:c>
      <x:c r="U219" s="54" t="n">
        <x:f>MIN(F219,MAX(0,ROUND(S219*T219,0)))</x:f>
        <x:v>569</x:v>
      </x:c>
      <x:c r="V219" s="54" t="n">
        <x:f>AB214</x:f>
        <x:v>40</x:v>
      </x:c>
      <x:c r="W219" s="54" t="n">
        <x:f>U219+V219</x:f>
        <x:v>609</x:v>
      </x:c>
      <x:c r="X219" s="54" t="n">
        <x:f>MIN(E219,W219)</x:f>
        <x:v>474</x:v>
      </x:c>
      <x:c r="Y219" s="54" t="n">
        <x:f>MAX(E219-W219,0)</x:f>
        <x:v>0</x:v>
      </x:c>
      <x:c r="Z219" s="54" t="n">
        <x:f>MAX(W219-X219,0)</x:f>
        <x:v>135</x:v>
      </x:c>
      <x:c r="AA219" s="54" t="n">
        <x:f>MIN(Z219,ROUND(Z219*O219,0))</x:f>
        <x:v>2</x:v>
      </x:c>
      <x:c r="AB219" s="54" t="n">
        <x:f>Z219-AA219</x:f>
        <x:v>133</x:v>
      </x:c>
      <x:c r="AC219" s="52" t="n">
        <x:f>IFERROR(ABS(E219-D219)/E219,0)</x:f>
        <x:v>0.07172995780590717</x:v>
      </x:c>
      <x:c r="AD219" s="52" t="n">
        <x:f>IFERROR(L219/E219,1)</x:f>
        <x:v>1</x:v>
      </x:c>
      <x:c r="AE219" s="52" t="n">
        <x:f>IFERROR(X219/E219,1)</x:f>
        <x:v>1</x:v>
      </x:c>
      <x:c r="AF219" s="52" t="n">
        <x:f>IFERROR(I219/F219,0)</x:f>
        <x:v>0.6942857142857143</x:v>
      </x:c>
      <x:c r="AG219" s="52" t="n">
        <x:f>IFERROR(U219/F219,0)</x:f>
        <x:v>0.8128571428571428</x:v>
      </x:c>
    </x:row>
    <x:row r="220">
      <x:c r="A220" s="50" t="n">
        <x:v>46205</x:v>
      </x:c>
      <x:c r="B220" s="48" t="str">
        <x:v>Lassi</x:v>
      </x:c>
      <x:c r="C220" s="48" t="n">
        <x:v>7</x:v>
      </x:c>
      <x:c r="D220" s="54" t="n">
        <x:v>406</x:v>
      </x:c>
      <x:c r="E220" s="54" t="n">
        <x:v>450</x:v>
      </x:c>
      <x:c r="F220" s="54" t="n">
        <x:v>560</x:v>
      </x:c>
      <x:c r="G220" s="54" t="n">
        <x:f>ROUND(D220*0.97,0)</x:f>
        <x:v>394</x:v>
      </x:c>
      <x:c r="H220" s="52" t="n">
        <x:v>1.019017712173296</x:v>
      </x:c>
      <x:c r="I220" s="54" t="n">
        <x:f>MIN(F220,ROUND(G220*H220,0))</x:f>
        <x:v>401</x:v>
      </x:c>
      <x:c r="J220" s="54" t="n">
        <x:f>Q215</x:f>
        <x:v>58</x:v>
      </x:c>
      <x:c r="K220" s="54" t="n">
        <x:f>I220+J220</x:f>
        <x:v>459</x:v>
      </x:c>
      <x:c r="L220" s="54" t="n">
        <x:f>MIN(E220,K220)</x:f>
        <x:v>450</x:v>
      </x:c>
      <x:c r="M220" s="54" t="n">
        <x:f>MAX(E220-K220,0)</x:f>
        <x:v>0</x:v>
      </x:c>
      <x:c r="N220" s="54" t="n">
        <x:f>MAX(K220-L220,0)</x:f>
        <x:v>9</x:v>
      </x:c>
      <x:c r="O220" s="52" t="n">
        <x:v>0.02</x:v>
      </x:c>
      <x:c r="P220" s="54" t="n">
        <x:f>MIN(N220,ROUND(N220*O220,0))</x:f>
        <x:v>0</x:v>
      </x:c>
      <x:c r="Q220" s="54" t="n">
        <x:f>N220-P220</x:f>
        <x:v>9</x:v>
      </x:c>
      <x:c r="R220" s="54" t="n">
        <x:v>73</x:v>
      </x:c>
      <x:c r="S220" s="54" t="n">
        <x:f>MIN(F220,MAX(0,ROUND(D220+R220-V220,0)))</x:f>
        <x:v>458</x:v>
      </x:c>
      <x:c r="T220" s="52" t="n">
        <x:v>1.0058619025630657</x:v>
      </x:c>
      <x:c r="U220" s="54" t="n">
        <x:f>MIN(F220,MAX(0,ROUND(S220*T220,0)))</x:f>
        <x:v>461</x:v>
      </x:c>
      <x:c r="V220" s="54" t="n">
        <x:f>AB215</x:f>
        <x:v>21</x:v>
      </x:c>
      <x:c r="W220" s="54" t="n">
        <x:f>U220+V220</x:f>
        <x:v>482</x:v>
      </x:c>
      <x:c r="X220" s="54" t="n">
        <x:f>MIN(E220,W220)</x:f>
        <x:v>450</x:v>
      </x:c>
      <x:c r="Y220" s="54" t="n">
        <x:f>MAX(E220-W220,0)</x:f>
        <x:v>0</x:v>
      </x:c>
      <x:c r="Z220" s="54" t="n">
        <x:f>MAX(W220-X220,0)</x:f>
        <x:v>32</x:v>
      </x:c>
      <x:c r="AA220" s="54" t="n">
        <x:f>MIN(Z220,ROUND(Z220*O220,0))</x:f>
        <x:v>1</x:v>
      </x:c>
      <x:c r="AB220" s="54" t="n">
        <x:f>Z220-AA220</x:f>
        <x:v>31</x:v>
      </x:c>
      <x:c r="AC220" s="52" t="n">
        <x:f>IFERROR(ABS(E220-D220)/E220,0)</x:f>
        <x:v>0.09777777777777778</x:v>
      </x:c>
      <x:c r="AD220" s="52" t="n">
        <x:f>IFERROR(L220/E220,1)</x:f>
        <x:v>1</x:v>
      </x:c>
      <x:c r="AE220" s="52" t="n">
        <x:f>IFERROR(X220/E220,1)</x:f>
        <x:v>1</x:v>
      </x:c>
      <x:c r="AF220" s="52" t="n">
        <x:f>IFERROR(I220/F220,0)</x:f>
        <x:v>0.7160714285714286</x:v>
      </x:c>
      <x:c r="AG220" s="52" t="n">
        <x:f>IFERROR(U220/F220,0)</x:f>
        <x:v>0.8232142857142857</x:v>
      </x:c>
    </x:row>
    <x:row r="221">
      <x:c r="A221" s="50" t="n">
        <x:v>46205</x:v>
      </x:c>
      <x:c r="B221" s="48" t="str">
        <x:v>Paneer</x:v>
      </x:c>
      <x:c r="C221" s="48" t="n">
        <x:v>5</x:v>
      </x:c>
      <x:c r="D221" s="54" t="n">
        <x:v>162</x:v>
      </x:c>
      <x:c r="E221" s="54" t="n">
        <x:v>161</x:v>
      </x:c>
      <x:c r="F221" s="54" t="n">
        <x:v>230</x:v>
      </x:c>
      <x:c r="G221" s="54" t="n">
        <x:f>ROUND(D221*0.97,0)</x:f>
        <x:v>157</x:v>
      </x:c>
      <x:c r="H221" s="52" t="n">
        <x:v>0.9901297794795751</x:v>
      </x:c>
      <x:c r="I221" s="54" t="n">
        <x:f>MIN(F221,ROUND(G221*H221,0))</x:f>
        <x:v>155</x:v>
      </x:c>
      <x:c r="J221" s="54" t="n">
        <x:f>Q216</x:f>
        <x:v>0</x:v>
      </x:c>
      <x:c r="K221" s="54" t="n">
        <x:f>I221+J221</x:f>
        <x:v>155</x:v>
      </x:c>
      <x:c r="L221" s="54" t="n">
        <x:f>MIN(E221,K221)</x:f>
        <x:v>155</x:v>
      </x:c>
      <x:c r="M221" s="54" t="n">
        <x:f>MAX(E221-K221,0)</x:f>
        <x:v>6</x:v>
      </x:c>
      <x:c r="N221" s="54" t="n">
        <x:f>MAX(K221-L221,0)</x:f>
        <x:v>0</x:v>
      </x:c>
      <x:c r="O221" s="52" t="n">
        <x:v>0.025</x:v>
      </x:c>
      <x:c r="P221" s="54" t="n">
        <x:f>MIN(N221,ROUND(N221*O221,0))</x:f>
        <x:v>0</x:v>
      </x:c>
      <x:c r="Q221" s="54" t="n">
        <x:f>N221-P221</x:f>
        <x:v>0</x:v>
      </x:c>
      <x:c r="R221" s="54" t="n">
        <x:v>32</x:v>
      </x:c>
      <x:c r="S221" s="54" t="n">
        <x:f>MIN(F221,MAX(0,ROUND(D221+R221-V221,0)))</x:f>
        <x:v>160</x:v>
      </x:c>
      <x:c r="T221" s="52" t="n">
        <x:v>1.0092126414621814</x:v>
      </x:c>
      <x:c r="U221" s="54" t="n">
        <x:f>MIN(F221,MAX(0,ROUND(S221*T221,0)))</x:f>
        <x:v>161</x:v>
      </x:c>
      <x:c r="V221" s="54" t="n">
        <x:f>AB216</x:f>
        <x:v>34</x:v>
      </x:c>
      <x:c r="W221" s="54" t="n">
        <x:f>U221+V221</x:f>
        <x:v>195</x:v>
      </x:c>
      <x:c r="X221" s="54" t="n">
        <x:f>MIN(E221,W221)</x:f>
        <x:v>161</x:v>
      </x:c>
      <x:c r="Y221" s="54" t="n">
        <x:f>MAX(E221-W221,0)</x:f>
        <x:v>0</x:v>
      </x:c>
      <x:c r="Z221" s="54" t="n">
        <x:f>MAX(W221-X221,0)</x:f>
        <x:v>34</x:v>
      </x:c>
      <x:c r="AA221" s="54" t="n">
        <x:f>MIN(Z221,ROUND(Z221*O221,0))</x:f>
        <x:v>1</x:v>
      </x:c>
      <x:c r="AB221" s="54" t="n">
        <x:f>Z221-AA221</x:f>
        <x:v>33</x:v>
      </x:c>
      <x:c r="AC221" s="52" t="n">
        <x:f>IFERROR(ABS(E221-D221)/E221,0)</x:f>
        <x:v>0.006211180124223602</x:v>
      </x:c>
      <x:c r="AD221" s="52" t="n">
        <x:f>IFERROR(L221/E221,1)</x:f>
        <x:v>0.9627329192546584</x:v>
      </x:c>
      <x:c r="AE221" s="52" t="n">
        <x:f>IFERROR(X221/E221,1)</x:f>
        <x:v>1</x:v>
      </x:c>
      <x:c r="AF221" s="52" t="n">
        <x:f>IFERROR(I221/F221,0)</x:f>
        <x:v>0.6739130434782609</x:v>
      </x:c>
      <x:c r="AG221" s="52" t="n">
        <x:f>IFERROR(U221/F221,0)</x:f>
        <x:v>0.7</x:v>
      </x:c>
    </x:row>
    <x:row r="222">
      <x:c r="A222" s="50" t="n">
        <x:v>46206</x:v>
      </x:c>
      <x:c r="B222" s="48" t="str">
        <x:v>Toned Milk</x:v>
      </x:c>
      <x:c r="C222" s="48" t="n">
        <x:v>2</x:v>
      </x:c>
      <x:c r="D222" s="54" t="n">
        <x:v>1795</x:v>
      </x:c>
      <x:c r="E222" s="54" t="n">
        <x:v>1563</x:v>
      </x:c>
      <x:c r="F222" s="54" t="n">
        <x:v>2250</x:v>
      </x:c>
      <x:c r="G222" s="54" t="n">
        <x:f>ROUND(D222*0.97,0)</x:f>
        <x:v>1741</x:v>
      </x:c>
      <x:c r="H222" s="52" t="n">
        <x:v>0.9934187171525584</x:v>
      </x:c>
      <x:c r="I222" s="54" t="n">
        <x:f>MIN(F222,ROUND(G222*H222,0))</x:f>
        <x:v>1730</x:v>
      </x:c>
      <x:c r="J222" s="54" t="n">
        <x:f>Q217</x:f>
        <x:v>503</x:v>
      </x:c>
      <x:c r="K222" s="54" t="n">
        <x:f>I222+J222</x:f>
        <x:v>2233</x:v>
      </x:c>
      <x:c r="L222" s="54" t="n">
        <x:f>MIN(E222,K222)</x:f>
        <x:v>1563</x:v>
      </x:c>
      <x:c r="M222" s="54" t="n">
        <x:f>MAX(E222-K222,0)</x:f>
        <x:v>0</x:v>
      </x:c>
      <x:c r="N222" s="54" t="n">
        <x:f>MAX(K222-L222,0)</x:f>
        <x:v>670</x:v>
      </x:c>
      <x:c r="O222" s="52" t="n">
        <x:v>0.025</x:v>
      </x:c>
      <x:c r="P222" s="54" t="n">
        <x:f>MIN(N222,ROUND(N222*O222,0))</x:f>
        <x:v>17</x:v>
      </x:c>
      <x:c r="Q222" s="54" t="n">
        <x:f>N222-P222</x:f>
        <x:v>653</x:v>
      </x:c>
      <x:c r="R222" s="54" t="n">
        <x:v>215</x:v>
      </x:c>
      <x:c r="S222" s="54" t="n">
        <x:f>MIN(F222,MAX(0,ROUND(D222+R222-V222,0)))</x:f>
        <x:v>1566</x:v>
      </x:c>
      <x:c r="T222" s="52" t="n">
        <x:v>1.012491147441852</x:v>
      </x:c>
      <x:c r="U222" s="54" t="n">
        <x:f>MIN(F222,MAX(0,ROUND(S222*T222,0)))</x:f>
        <x:v>1586</x:v>
      </x:c>
      <x:c r="V222" s="54" t="n">
        <x:f>AB217</x:f>
        <x:v>444</x:v>
      </x:c>
      <x:c r="W222" s="54" t="n">
        <x:f>U222+V222</x:f>
        <x:v>2030</x:v>
      </x:c>
      <x:c r="X222" s="54" t="n">
        <x:f>MIN(E222,W222)</x:f>
        <x:v>1563</x:v>
      </x:c>
      <x:c r="Y222" s="54" t="n">
        <x:f>MAX(E222-W222,0)</x:f>
        <x:v>0</x:v>
      </x:c>
      <x:c r="Z222" s="54" t="n">
        <x:f>MAX(W222-X222,0)</x:f>
        <x:v>467</x:v>
      </x:c>
      <x:c r="AA222" s="54" t="n">
        <x:f>MIN(Z222,ROUND(Z222*O222,0))</x:f>
        <x:v>12</x:v>
      </x:c>
      <x:c r="AB222" s="54" t="n">
        <x:f>Z222-AA222</x:f>
        <x:v>455</x:v>
      </x:c>
      <x:c r="AC222" s="52" t="n">
        <x:f>IFERROR(ABS(E222-D222)/E222,0)</x:f>
        <x:v>0.14843250159948818</x:v>
      </x:c>
      <x:c r="AD222" s="52" t="n">
        <x:f>IFERROR(L222/E222,1)</x:f>
        <x:v>1</x:v>
      </x:c>
      <x:c r="AE222" s="52" t="n">
        <x:f>IFERROR(X222/E222,1)</x:f>
        <x:v>1</x:v>
      </x:c>
      <x:c r="AF222" s="52" t="n">
        <x:f>IFERROR(I222/F222,0)</x:f>
        <x:v>0.7688888888888888</x:v>
      </x:c>
      <x:c r="AG222" s="52" t="n">
        <x:f>IFERROR(U222/F222,0)</x:f>
        <x:v>0.7048888888888889</x:v>
      </x:c>
    </x:row>
    <x:row r="223">
      <x:c r="A223" s="50" t="n">
        <x:v>46206</x:v>
      </x:c>
      <x:c r="B223" s="48" t="str">
        <x:v>Full Cream Milk</x:v>
      </x:c>
      <x:c r="C223" s="48" t="n">
        <x:v>2</x:v>
      </x:c>
      <x:c r="D223" s="54" t="n">
        <x:v>898</x:v>
      </x:c>
      <x:c r="E223" s="54" t="n">
        <x:v>1024</x:v>
      </x:c>
      <x:c r="F223" s="54" t="n">
        <x:v>1200</x:v>
      </x:c>
      <x:c r="G223" s="54" t="n">
        <x:f>ROUND(D223*0.97,0)</x:f>
        <x:v>871</x:v>
      </x:c>
      <x:c r="H223" s="52" t="n">
        <x:v>1.0180315044580148</x:v>
      </x:c>
      <x:c r="I223" s="54" t="n">
        <x:f>MIN(F223,ROUND(G223*H223,0))</x:f>
        <x:v>887</x:v>
      </x:c>
      <x:c r="J223" s="54" t="n">
        <x:f>Q218</x:f>
        <x:v>114</x:v>
      </x:c>
      <x:c r="K223" s="54" t="n">
        <x:f>I223+J223</x:f>
        <x:v>1001</x:v>
      </x:c>
      <x:c r="L223" s="54" t="n">
        <x:f>MIN(E223,K223)</x:f>
        <x:v>1001</x:v>
      </x:c>
      <x:c r="M223" s="54" t="n">
        <x:f>MAX(E223-K223,0)</x:f>
        <x:v>23</x:v>
      </x:c>
      <x:c r="N223" s="54" t="n">
        <x:f>MAX(K223-L223,0)</x:f>
        <x:v>0</x:v>
      </x:c>
      <x:c r="O223" s="52" t="n">
        <x:v>0.03</x:v>
      </x:c>
      <x:c r="P223" s="54" t="n">
        <x:f>MIN(N223,ROUND(N223*O223,0))</x:f>
        <x:v>0</x:v>
      </x:c>
      <x:c r="Q223" s="54" t="n">
        <x:f>N223-P223</x:f>
        <x:v>0</x:v>
      </x:c>
      <x:c r="R223" s="54" t="n">
        <x:v>108</x:v>
      </x:c>
      <x:c r="S223" s="54" t="n">
        <x:f>MIN(F223,MAX(0,ROUND(D223+R223-V223,0)))</x:f>
        <x:v>762</x:v>
      </x:c>
      <x:c r="T223" s="52" t="n">
        <x:v>0.9931815923036724</x:v>
      </x:c>
      <x:c r="U223" s="54" t="n">
        <x:f>MIN(F223,MAX(0,ROUND(S223*T223,0)))</x:f>
        <x:v>757</x:v>
      </x:c>
      <x:c r="V223" s="54" t="n">
        <x:f>AB218</x:f>
        <x:v>244</x:v>
      </x:c>
      <x:c r="W223" s="54" t="n">
        <x:f>U223+V223</x:f>
        <x:v>1001</x:v>
      </x:c>
      <x:c r="X223" s="54" t="n">
        <x:f>MIN(E223,W223)</x:f>
        <x:v>1001</x:v>
      </x:c>
      <x:c r="Y223" s="54" t="n">
        <x:f>MAX(E223-W223,0)</x:f>
        <x:v>23</x:v>
      </x:c>
      <x:c r="Z223" s="54" t="n">
        <x:f>MAX(W223-X223,0)</x:f>
        <x:v>0</x:v>
      </x:c>
      <x:c r="AA223" s="54" t="n">
        <x:f>MIN(Z223,ROUND(Z223*O223,0))</x:f>
        <x:v>0</x:v>
      </x:c>
      <x:c r="AB223" s="54" t="n">
        <x:f>Z223-AA223</x:f>
        <x:v>0</x:v>
      </x:c>
      <x:c r="AC223" s="52" t="n">
        <x:f>IFERROR(ABS(E223-D223)/E223,0)</x:f>
        <x:v>0.123046875</x:v>
      </x:c>
      <x:c r="AD223" s="52" t="n">
        <x:f>IFERROR(L223/E223,1)</x:f>
        <x:v>0.9775390625</x:v>
      </x:c>
      <x:c r="AE223" s="52" t="n">
        <x:f>IFERROR(X223/E223,1)</x:f>
        <x:v>0.9775390625</x:v>
      </x:c>
      <x:c r="AF223" s="52" t="n">
        <x:f>IFERROR(I223/F223,0)</x:f>
        <x:v>0.7391666666666666</x:v>
      </x:c>
      <x:c r="AG223" s="52" t="n">
        <x:f>IFERROR(U223/F223,0)</x:f>
        <x:v>0.6308333333333334</x:v>
      </x:c>
    </x:row>
    <x:row r="224">
      <x:c r="A224" s="50" t="n">
        <x:v>46206</x:v>
      </x:c>
      <x:c r="B224" s="48" t="str">
        <x:v>Curd</x:v>
      </x:c>
      <x:c r="C224" s="48" t="n">
        <x:v>7</x:v>
      </x:c>
      <x:c r="D224" s="54" t="n">
        <x:v>528</x:v>
      </x:c>
      <x:c r="E224" s="54" t="n">
        <x:v>577</x:v>
      </x:c>
      <x:c r="F224" s="54" t="n">
        <x:v>700</x:v>
      </x:c>
      <x:c r="G224" s="54" t="n">
        <x:f>ROUND(D224*0.97,0)</x:f>
        <x:v>512</x:v>
      </x:c>
      <x:c r="H224" s="52" t="n">
        <x:v>1.0053113178844644</x:v>
      </x:c>
      <x:c r="I224" s="54" t="n">
        <x:f>MIN(F224,ROUND(G224*H224,0))</x:f>
        <x:v>515</x:v>
      </x:c>
      <x:c r="J224" s="54" t="n">
        <x:f>Q219</x:f>
        <x:v>12</x:v>
      </x:c>
      <x:c r="K224" s="54" t="n">
        <x:f>I224+J224</x:f>
        <x:v>527</x:v>
      </x:c>
      <x:c r="L224" s="54" t="n">
        <x:f>MIN(E224,K224)</x:f>
        <x:v>527</x:v>
      </x:c>
      <x:c r="M224" s="54" t="n">
        <x:f>MAX(E224-K224,0)</x:f>
        <x:v>50</x:v>
      </x:c>
      <x:c r="N224" s="54" t="n">
        <x:f>MAX(K224-L224,0)</x:f>
        <x:v>0</x:v>
      </x:c>
      <x:c r="O224" s="52" t="n">
        <x:v>0.018</x:v>
      </x:c>
      <x:c r="P224" s="54" t="n">
        <x:f>MIN(N224,ROUND(N224*O224,0))</x:f>
        <x:v>0</x:v>
      </x:c>
      <x:c r="Q224" s="54" t="n">
        <x:f>N224-P224</x:f>
        <x:v>0</x:v>
      </x:c>
      <x:c r="R224" s="54" t="n">
        <x:v>95</x:v>
      </x:c>
      <x:c r="S224" s="54" t="n">
        <x:f>MIN(F224,MAX(0,ROUND(D224+R224-V224,0)))</x:f>
        <x:v>490</x:v>
      </x:c>
      <x:c r="T224" s="52" t="n">
        <x:v>0.9821653024605665</x:v>
      </x:c>
      <x:c r="U224" s="54" t="n">
        <x:f>MIN(F224,MAX(0,ROUND(S224*T224,0)))</x:f>
        <x:v>481</x:v>
      </x:c>
      <x:c r="V224" s="54" t="n">
        <x:f>AB219</x:f>
        <x:v>133</x:v>
      </x:c>
      <x:c r="W224" s="54" t="n">
        <x:f>U224+V224</x:f>
        <x:v>614</x:v>
      </x:c>
      <x:c r="X224" s="54" t="n">
        <x:f>MIN(E224,W224)</x:f>
        <x:v>577</x:v>
      </x:c>
      <x:c r="Y224" s="54" t="n">
        <x:f>MAX(E224-W224,0)</x:f>
        <x:v>0</x:v>
      </x:c>
      <x:c r="Z224" s="54" t="n">
        <x:f>MAX(W224-X224,0)</x:f>
        <x:v>37</x:v>
      </x:c>
      <x:c r="AA224" s="54" t="n">
        <x:f>MIN(Z224,ROUND(Z224*O224,0))</x:f>
        <x:v>1</x:v>
      </x:c>
      <x:c r="AB224" s="54" t="n">
        <x:f>Z224-AA224</x:f>
        <x:v>36</x:v>
      </x:c>
      <x:c r="AC224" s="52" t="n">
        <x:f>IFERROR(ABS(E224-D224)/E224,0)</x:f>
        <x:v>0.08492201039861352</x:v>
      </x:c>
      <x:c r="AD224" s="52" t="n">
        <x:f>IFERROR(L224/E224,1)</x:f>
        <x:v>0.9133448873483535</x:v>
      </x:c>
      <x:c r="AE224" s="52" t="n">
        <x:f>IFERROR(X224/E224,1)</x:f>
        <x:v>1</x:v>
      </x:c>
      <x:c r="AF224" s="52" t="n">
        <x:f>IFERROR(I224/F224,0)</x:f>
        <x:v>0.7357142857142858</x:v>
      </x:c>
      <x:c r="AG224" s="52" t="n">
        <x:f>IFERROR(U224/F224,0)</x:f>
        <x:v>0.6871428571428572</x:v>
      </x:c>
    </x:row>
    <x:row r="225">
      <x:c r="A225" s="50" t="n">
        <x:v>46206</x:v>
      </x:c>
      <x:c r="B225" s="48" t="str">
        <x:v>Lassi</x:v>
      </x:c>
      <x:c r="C225" s="48" t="n">
        <x:v>7</x:v>
      </x:c>
      <x:c r="D225" s="54" t="n">
        <x:v>422</x:v>
      </x:c>
      <x:c r="E225" s="54" t="n">
        <x:v>436</x:v>
      </x:c>
      <x:c r="F225" s="54" t="n">
        <x:v>560</x:v>
      </x:c>
      <x:c r="G225" s="54" t="n">
        <x:f>ROUND(D225*0.97,0)</x:f>
        <x:v>409</x:v>
      </x:c>
      <x:c r="H225" s="52" t="n">
        <x:v>0.994650888808042</x:v>
      </x:c>
      <x:c r="I225" s="54" t="n">
        <x:f>MIN(F225,ROUND(G225*H225,0))</x:f>
        <x:v>407</x:v>
      </x:c>
      <x:c r="J225" s="54" t="n">
        <x:f>Q220</x:f>
        <x:v>9</x:v>
      </x:c>
      <x:c r="K225" s="54" t="n">
        <x:f>I225+J225</x:f>
        <x:v>416</x:v>
      </x:c>
      <x:c r="L225" s="54" t="n">
        <x:f>MIN(E225,K225)</x:f>
        <x:v>416</x:v>
      </x:c>
      <x:c r="M225" s="54" t="n">
        <x:f>MAX(E225-K225,0)</x:f>
        <x:v>20</x:v>
      </x:c>
      <x:c r="N225" s="54" t="n">
        <x:f>MAX(K225-L225,0)</x:f>
        <x:v>0</x:v>
      </x:c>
      <x:c r="O225" s="52" t="n">
        <x:v>0.02</x:v>
      </x:c>
      <x:c r="P225" s="54" t="n">
        <x:f>MIN(N225,ROUND(N225*O225,0))</x:f>
        <x:v>0</x:v>
      </x:c>
      <x:c r="Q225" s="54" t="n">
        <x:f>N225-P225</x:f>
        <x:v>0</x:v>
      </x:c>
      <x:c r="R225" s="54" t="n">
        <x:v>76</x:v>
      </x:c>
      <x:c r="S225" s="54" t="n">
        <x:f>MIN(F225,MAX(0,ROUND(D225+R225-V225,0)))</x:f>
        <x:v>467</x:v>
      </x:c>
      <x:c r="T225" s="52" t="n">
        <x:v>1.0053443245039262</x:v>
      </x:c>
      <x:c r="U225" s="54" t="n">
        <x:f>MIN(F225,MAX(0,ROUND(S225*T225,0)))</x:f>
        <x:v>469</x:v>
      </x:c>
      <x:c r="V225" s="54" t="n">
        <x:f>AB220</x:f>
        <x:v>31</x:v>
      </x:c>
      <x:c r="W225" s="54" t="n">
        <x:f>U225+V225</x:f>
        <x:v>500</x:v>
      </x:c>
      <x:c r="X225" s="54" t="n">
        <x:f>MIN(E225,W225)</x:f>
        <x:v>436</x:v>
      </x:c>
      <x:c r="Y225" s="54" t="n">
        <x:f>MAX(E225-W225,0)</x:f>
        <x:v>0</x:v>
      </x:c>
      <x:c r="Z225" s="54" t="n">
        <x:f>MAX(W225-X225,0)</x:f>
        <x:v>64</x:v>
      </x:c>
      <x:c r="AA225" s="54" t="n">
        <x:f>MIN(Z225,ROUND(Z225*O225,0))</x:f>
        <x:v>1</x:v>
      </x:c>
      <x:c r="AB225" s="54" t="n">
        <x:f>Z225-AA225</x:f>
        <x:v>63</x:v>
      </x:c>
      <x:c r="AC225" s="52" t="n">
        <x:f>IFERROR(ABS(E225-D225)/E225,0)</x:f>
        <x:v>0.03211009174311927</x:v>
      </x:c>
      <x:c r="AD225" s="52" t="n">
        <x:f>IFERROR(L225/E225,1)</x:f>
        <x:v>0.9541284403669725</x:v>
      </x:c>
      <x:c r="AE225" s="52" t="n">
        <x:f>IFERROR(X225/E225,1)</x:f>
        <x:v>1</x:v>
      </x:c>
      <x:c r="AF225" s="52" t="n">
        <x:f>IFERROR(I225/F225,0)</x:f>
        <x:v>0.7267857142857143</x:v>
      </x:c>
      <x:c r="AG225" s="52" t="n">
        <x:f>IFERROR(U225/F225,0)</x:f>
        <x:v>0.8375</x:v>
      </x:c>
    </x:row>
    <x:row r="226">
      <x:c r="A226" s="50" t="n">
        <x:v>46206</x:v>
      </x:c>
      <x:c r="B226" s="48" t="str">
        <x:v>Paneer</x:v>
      </x:c>
      <x:c r="C226" s="48" t="n">
        <x:v>5</x:v>
      </x:c>
      <x:c r="D226" s="54" t="n">
        <x:v>169</x:v>
      </x:c>
      <x:c r="E226" s="54" t="n">
        <x:v>196</x:v>
      </x:c>
      <x:c r="F226" s="54" t="n">
        <x:v>230</x:v>
      </x:c>
      <x:c r="G226" s="54" t="n">
        <x:f>ROUND(D226*0.97,0)</x:f>
        <x:v>164</x:v>
      </x:c>
      <x:c r="H226" s="52" t="n">
        <x:v>0.9837568002935962</x:v>
      </x:c>
      <x:c r="I226" s="54" t="n">
        <x:f>MIN(F226,ROUND(G226*H226,0))</x:f>
        <x:v>161</x:v>
      </x:c>
      <x:c r="J226" s="54" t="n">
        <x:f>Q221</x:f>
        <x:v>0</x:v>
      </x:c>
      <x:c r="K226" s="54" t="n">
        <x:f>I226+J226</x:f>
        <x:v>161</x:v>
      </x:c>
      <x:c r="L226" s="54" t="n">
        <x:f>MIN(E226,K226)</x:f>
        <x:v>161</x:v>
      </x:c>
      <x:c r="M226" s="54" t="n">
        <x:f>MAX(E226-K226,0)</x:f>
        <x:v>35</x:v>
      </x:c>
      <x:c r="N226" s="54" t="n">
        <x:f>MAX(K226-L226,0)</x:f>
        <x:v>0</x:v>
      </x:c>
      <x:c r="O226" s="52" t="n">
        <x:v>0.025</x:v>
      </x:c>
      <x:c r="P226" s="54" t="n">
        <x:f>MIN(N226,ROUND(N226*O226,0))</x:f>
        <x:v>0</x:v>
      </x:c>
      <x:c r="Q226" s="54" t="n">
        <x:f>N226-P226</x:f>
        <x:v>0</x:v>
      </x:c>
      <x:c r="R226" s="54" t="n">
        <x:v>34</x:v>
      </x:c>
      <x:c r="S226" s="54" t="n">
        <x:f>MIN(F226,MAX(0,ROUND(D226+R226-V226,0)))</x:f>
        <x:v>170</x:v>
      </x:c>
      <x:c r="T226" s="52" t="n">
        <x:v>0.9831843756413575</x:v>
      </x:c>
      <x:c r="U226" s="54" t="n">
        <x:f>MIN(F226,MAX(0,ROUND(S226*T226,0)))</x:f>
        <x:v>167</x:v>
      </x:c>
      <x:c r="V226" s="54" t="n">
        <x:f>AB221</x:f>
        <x:v>33</x:v>
      </x:c>
      <x:c r="W226" s="54" t="n">
        <x:f>U226+V226</x:f>
        <x:v>200</x:v>
      </x:c>
      <x:c r="X226" s="54" t="n">
        <x:f>MIN(E226,W226)</x:f>
        <x:v>196</x:v>
      </x:c>
      <x:c r="Y226" s="54" t="n">
        <x:f>MAX(E226-W226,0)</x:f>
        <x:v>0</x:v>
      </x:c>
      <x:c r="Z226" s="54" t="n">
        <x:f>MAX(W226-X226,0)</x:f>
        <x:v>4</x:v>
      </x:c>
      <x:c r="AA226" s="54" t="n">
        <x:f>MIN(Z226,ROUND(Z226*O226,0))</x:f>
        <x:v>0</x:v>
      </x:c>
      <x:c r="AB226" s="54" t="n">
        <x:f>Z226-AA226</x:f>
        <x:v>4</x:v>
      </x:c>
      <x:c r="AC226" s="52" t="n">
        <x:f>IFERROR(ABS(E226-D226)/E226,0)</x:f>
        <x:v>0.1377551020408163</x:v>
      </x:c>
      <x:c r="AD226" s="52" t="n">
        <x:f>IFERROR(L226/E226,1)</x:f>
        <x:v>0.8214285714285714</x:v>
      </x:c>
      <x:c r="AE226" s="52" t="n">
        <x:f>IFERROR(X226/E226,1)</x:f>
        <x:v>1</x:v>
      </x:c>
      <x:c r="AF226" s="52" t="n">
        <x:f>IFERROR(I226/F226,0)</x:f>
        <x:v>0.7</x:v>
      </x:c>
      <x:c r="AG226" s="52" t="n">
        <x:f>IFERROR(U226/F226,0)</x:f>
        <x:v>0.7260869565217392</x:v>
      </x:c>
    </x:row>
    <x:row r="227">
      <x:c r="A227" s="50" t="n">
        <x:v>46207</x:v>
      </x:c>
      <x:c r="B227" s="48" t="str">
        <x:v>Toned Milk</x:v>
      </x:c>
      <x:c r="C227" s="48" t="n">
        <x:v>2</x:v>
      </x:c>
      <x:c r="D227" s="54" t="n">
        <x:v>1969</x:v>
      </x:c>
      <x:c r="E227" s="54" t="n">
        <x:v>1802</x:v>
      </x:c>
      <x:c r="F227" s="54" t="n">
        <x:v>2250</x:v>
      </x:c>
      <x:c r="G227" s="54" t="n">
        <x:f>ROUND(D227*0.97,0)</x:f>
        <x:v>1910</x:v>
      </x:c>
      <x:c r="H227" s="52" t="n">
        <x:v>1.0104272359302655</x:v>
      </x:c>
      <x:c r="I227" s="54" t="n">
        <x:f>MIN(F227,ROUND(G227*H227,0))</x:f>
        <x:v>1930</x:v>
      </x:c>
      <x:c r="J227" s="54" t="n">
        <x:f>Q222</x:f>
        <x:v>653</x:v>
      </x:c>
      <x:c r="K227" s="54" t="n">
        <x:f>I227+J227</x:f>
        <x:v>2583</x:v>
      </x:c>
      <x:c r="L227" s="54" t="n">
        <x:f>MIN(E227,K227)</x:f>
        <x:v>1802</x:v>
      </x:c>
      <x:c r="M227" s="54" t="n">
        <x:f>MAX(E227-K227,0)</x:f>
        <x:v>0</x:v>
      </x:c>
      <x:c r="N227" s="54" t="n">
        <x:f>MAX(K227-L227,0)</x:f>
        <x:v>781</x:v>
      </x:c>
      <x:c r="O227" s="52" t="n">
        <x:v>0.025</x:v>
      </x:c>
      <x:c r="P227" s="54" t="n">
        <x:f>MIN(N227,ROUND(N227*O227,0))</x:f>
        <x:v>20</x:v>
      </x:c>
      <x:c r="Q227" s="54" t="n">
        <x:f>N227-P227</x:f>
        <x:v>761</x:v>
      </x:c>
      <x:c r="R227" s="54" t="n">
        <x:v>236</x:v>
      </x:c>
      <x:c r="S227" s="54" t="n">
        <x:f>MIN(F227,MAX(0,ROUND(D227+R227-V227,0)))</x:f>
        <x:v>1750</x:v>
      </x:c>
      <x:c r="T227" s="52" t="n">
        <x:v>0.9944821597231047</x:v>
      </x:c>
      <x:c r="U227" s="54" t="n">
        <x:f>MIN(F227,MAX(0,ROUND(S227*T227,0)))</x:f>
        <x:v>1740</x:v>
      </x:c>
      <x:c r="V227" s="54" t="n">
        <x:f>AB222</x:f>
        <x:v>455</x:v>
      </x:c>
      <x:c r="W227" s="54" t="n">
        <x:f>U227+V227</x:f>
        <x:v>2195</x:v>
      </x:c>
      <x:c r="X227" s="54" t="n">
        <x:f>MIN(E227,W227)</x:f>
        <x:v>1802</x:v>
      </x:c>
      <x:c r="Y227" s="54" t="n">
        <x:f>MAX(E227-W227,0)</x:f>
        <x:v>0</x:v>
      </x:c>
      <x:c r="Z227" s="54" t="n">
        <x:f>MAX(W227-X227,0)</x:f>
        <x:v>393</x:v>
      </x:c>
      <x:c r="AA227" s="54" t="n">
        <x:f>MIN(Z227,ROUND(Z227*O227,0))</x:f>
        <x:v>10</x:v>
      </x:c>
      <x:c r="AB227" s="54" t="n">
        <x:f>Z227-AA227</x:f>
        <x:v>383</x:v>
      </x:c>
      <x:c r="AC227" s="52" t="n">
        <x:f>IFERROR(ABS(E227-D227)/E227,0)</x:f>
        <x:v>0.09267480577136515</x:v>
      </x:c>
      <x:c r="AD227" s="52" t="n">
        <x:f>IFERROR(L227/E227,1)</x:f>
        <x:v>1</x:v>
      </x:c>
      <x:c r="AE227" s="52" t="n">
        <x:f>IFERROR(X227/E227,1)</x:f>
        <x:v>1</x:v>
      </x:c>
      <x:c r="AF227" s="52" t="n">
        <x:f>IFERROR(I227/F227,0)</x:f>
        <x:v>0.8577777777777778</x:v>
      </x:c>
      <x:c r="AG227" s="52" t="n">
        <x:f>IFERROR(U227/F227,0)</x:f>
        <x:v>0.7733333333333333</x:v>
      </x:c>
    </x:row>
    <x:row r="228">
      <x:c r="A228" s="50" t="n">
        <x:v>46207</x:v>
      </x:c>
      <x:c r="B228" s="48" t="str">
        <x:v>Full Cream Milk</x:v>
      </x:c>
      <x:c r="C228" s="48" t="n">
        <x:v>2</x:v>
      </x:c>
      <x:c r="D228" s="54" t="n">
        <x:v>984</x:v>
      </x:c>
      <x:c r="E228" s="54" t="n">
        <x:v>1070</x:v>
      </x:c>
      <x:c r="F228" s="54" t="n">
        <x:v>1200</x:v>
      </x:c>
      <x:c r="G228" s="54" t="n">
        <x:f>ROUND(D228*0.97,0)</x:f>
        <x:v>954</x:v>
      </x:c>
      <x:c r="H228" s="52" t="n">
        <x:v>0.9964399068136081</x:v>
      </x:c>
      <x:c r="I228" s="54" t="n">
        <x:f>MIN(F228,ROUND(G228*H228,0))</x:f>
        <x:v>951</x:v>
      </x:c>
      <x:c r="J228" s="54" t="n">
        <x:f>Q223</x:f>
        <x:v>0</x:v>
      </x:c>
      <x:c r="K228" s="54" t="n">
        <x:f>I228+J228</x:f>
        <x:v>951</x:v>
      </x:c>
      <x:c r="L228" s="54" t="n">
        <x:f>MIN(E228,K228)</x:f>
        <x:v>951</x:v>
      </x:c>
      <x:c r="M228" s="54" t="n">
        <x:f>MAX(E228-K228,0)</x:f>
        <x:v>119</x:v>
      </x:c>
      <x:c r="N228" s="54" t="n">
        <x:f>MAX(K228-L228,0)</x:f>
        <x:v>0</x:v>
      </x:c>
      <x:c r="O228" s="52" t="n">
        <x:v>0.03</x:v>
      </x:c>
      <x:c r="P228" s="54" t="n">
        <x:f>MIN(N228,ROUND(N228*O228,0))</x:f>
        <x:v>0</x:v>
      </x:c>
      <x:c r="Q228" s="54" t="n">
        <x:f>N228-P228</x:f>
        <x:v>0</x:v>
      </x:c>
      <x:c r="R228" s="54" t="n">
        <x:v>118</x:v>
      </x:c>
      <x:c r="S228" s="54" t="n">
        <x:f>MIN(F228,MAX(0,ROUND(D228+R228-V228,0)))</x:f>
        <x:v>1102</x:v>
      </x:c>
      <x:c r="T228" s="52" t="n">
        <x:v>1.0118508517759444</x:v>
      </x:c>
      <x:c r="U228" s="54" t="n">
        <x:f>MIN(F228,MAX(0,ROUND(S228*T228,0)))</x:f>
        <x:v>1115</x:v>
      </x:c>
      <x:c r="V228" s="54" t="n">
        <x:f>AB223</x:f>
        <x:v>0</x:v>
      </x:c>
      <x:c r="W228" s="54" t="n">
        <x:f>U228+V228</x:f>
        <x:v>1115</x:v>
      </x:c>
      <x:c r="X228" s="54" t="n">
        <x:f>MIN(E228,W228)</x:f>
        <x:v>1070</x:v>
      </x:c>
      <x:c r="Y228" s="54" t="n">
        <x:f>MAX(E228-W228,0)</x:f>
        <x:v>0</x:v>
      </x:c>
      <x:c r="Z228" s="54" t="n">
        <x:f>MAX(W228-X228,0)</x:f>
        <x:v>45</x:v>
      </x:c>
      <x:c r="AA228" s="54" t="n">
        <x:f>MIN(Z228,ROUND(Z228*O228,0))</x:f>
        <x:v>1</x:v>
      </x:c>
      <x:c r="AB228" s="54" t="n">
        <x:f>Z228-AA228</x:f>
        <x:v>44</x:v>
      </x:c>
      <x:c r="AC228" s="52" t="n">
        <x:f>IFERROR(ABS(E228-D228)/E228,0)</x:f>
        <x:v>0.08037383177570094</x:v>
      </x:c>
      <x:c r="AD228" s="52" t="n">
        <x:f>IFERROR(L228/E228,1)</x:f>
        <x:v>0.888785046728972</x:v>
      </x:c>
      <x:c r="AE228" s="52" t="n">
        <x:f>IFERROR(X228/E228,1)</x:f>
        <x:v>1</x:v>
      </x:c>
      <x:c r="AF228" s="52" t="n">
        <x:f>IFERROR(I228/F228,0)</x:f>
        <x:v>0.7925</x:v>
      </x:c>
      <x:c r="AG228" s="52" t="n">
        <x:f>IFERROR(U228/F228,0)</x:f>
        <x:v>0.9291666666666667</x:v>
      </x:c>
    </x:row>
    <x:row r="229">
      <x:c r="A229" s="50" t="n">
        <x:v>46207</x:v>
      </x:c>
      <x:c r="B229" s="48" t="str">
        <x:v>Curd</x:v>
      </x:c>
      <x:c r="C229" s="48" t="n">
        <x:v>7</x:v>
      </x:c>
      <x:c r="D229" s="54" t="n">
        <x:v>579</x:v>
      </x:c>
      <x:c r="E229" s="54" t="n">
        <x:v>652</x:v>
      </x:c>
      <x:c r="F229" s="54" t="n">
        <x:v>700</x:v>
      </x:c>
      <x:c r="G229" s="54" t="n">
        <x:f>ROUND(D229*0.97,0)</x:f>
        <x:v>562</x:v>
      </x:c>
      <x:c r="H229" s="52" t="n">
        <x:v>1.0008008702867175</x:v>
      </x:c>
      <x:c r="I229" s="54" t="n">
        <x:f>MIN(F229,ROUND(G229*H229,0))</x:f>
        <x:v>562</x:v>
      </x:c>
      <x:c r="J229" s="54" t="n">
        <x:f>Q224</x:f>
        <x:v>0</x:v>
      </x:c>
      <x:c r="K229" s="54" t="n">
        <x:f>I229+J229</x:f>
        <x:v>562</x:v>
      </x:c>
      <x:c r="L229" s="54" t="n">
        <x:f>MIN(E229,K229)</x:f>
        <x:v>562</x:v>
      </x:c>
      <x:c r="M229" s="54" t="n">
        <x:f>MAX(E229-K229,0)</x:f>
        <x:v>90</x:v>
      </x:c>
      <x:c r="N229" s="54" t="n">
        <x:f>MAX(K229-L229,0)</x:f>
        <x:v>0</x:v>
      </x:c>
      <x:c r="O229" s="52" t="n">
        <x:v>0.018</x:v>
      </x:c>
      <x:c r="P229" s="54" t="n">
        <x:f>MIN(N229,ROUND(N229*O229,0))</x:f>
        <x:v>0</x:v>
      </x:c>
      <x:c r="Q229" s="54" t="n">
        <x:f>N229-P229</x:f>
        <x:v>0</x:v>
      </x:c>
      <x:c r="R229" s="54" t="n">
        <x:v>104</x:v>
      </x:c>
      <x:c r="S229" s="54" t="n">
        <x:f>MIN(F229,MAX(0,ROUND(D229+R229-V229,0)))</x:f>
        <x:v>647</x:v>
      </x:c>
      <x:c r="T229" s="52" t="n">
        <x:v>1.0110635413522966</x:v>
      </x:c>
      <x:c r="U229" s="54" t="n">
        <x:f>MIN(F229,MAX(0,ROUND(S229*T229,0)))</x:f>
        <x:v>654</x:v>
      </x:c>
      <x:c r="V229" s="54" t="n">
        <x:f>AB224</x:f>
        <x:v>36</x:v>
      </x:c>
      <x:c r="W229" s="54" t="n">
        <x:f>U229+V229</x:f>
        <x:v>690</x:v>
      </x:c>
      <x:c r="X229" s="54" t="n">
        <x:f>MIN(E229,W229)</x:f>
        <x:v>652</x:v>
      </x:c>
      <x:c r="Y229" s="54" t="n">
        <x:f>MAX(E229-W229,0)</x:f>
        <x:v>0</x:v>
      </x:c>
      <x:c r="Z229" s="54" t="n">
        <x:f>MAX(W229-X229,0)</x:f>
        <x:v>38</x:v>
      </x:c>
      <x:c r="AA229" s="54" t="n">
        <x:f>MIN(Z229,ROUND(Z229*O229,0))</x:f>
        <x:v>1</x:v>
      </x:c>
      <x:c r="AB229" s="54" t="n">
        <x:f>Z229-AA229</x:f>
        <x:v>37</x:v>
      </x:c>
      <x:c r="AC229" s="52" t="n">
        <x:f>IFERROR(ABS(E229-D229)/E229,0)</x:f>
        <x:v>0.11196319018404909</x:v>
      </x:c>
      <x:c r="AD229" s="52" t="n">
        <x:f>IFERROR(L229/E229,1)</x:f>
        <x:v>0.8619631901840491</x:v>
      </x:c>
      <x:c r="AE229" s="52" t="n">
        <x:f>IFERROR(X229/E229,1)</x:f>
        <x:v>1</x:v>
      </x:c>
      <x:c r="AF229" s="52" t="n">
        <x:f>IFERROR(I229/F229,0)</x:f>
        <x:v>0.8028571428571428</x:v>
      </x:c>
      <x:c r="AG229" s="52" t="n">
        <x:f>IFERROR(U229/F229,0)</x:f>
        <x:v>0.9342857142857143</x:v>
      </x:c>
    </x:row>
    <x:row r="230">
      <x:c r="A230" s="50" t="n">
        <x:v>46207</x:v>
      </x:c>
      <x:c r="B230" s="48" t="str">
        <x:v>Lassi</x:v>
      </x:c>
      <x:c r="C230" s="48" t="n">
        <x:v>7</x:v>
      </x:c>
      <x:c r="D230" s="54" t="n">
        <x:v>459</x:v>
      </x:c>
      <x:c r="E230" s="54" t="n">
        <x:v>379</x:v>
      </x:c>
      <x:c r="F230" s="54" t="n">
        <x:v>560</x:v>
      </x:c>
      <x:c r="G230" s="54" t="n">
        <x:f>ROUND(D230*0.97,0)</x:f>
        <x:v>445</x:v>
      </x:c>
      <x:c r="H230" s="52" t="n">
        <x:v>1.0114924557505054</x:v>
      </x:c>
      <x:c r="I230" s="54" t="n">
        <x:f>MIN(F230,ROUND(G230*H230,0))</x:f>
        <x:v>450</x:v>
      </x:c>
      <x:c r="J230" s="54" t="n">
        <x:f>Q225</x:f>
        <x:v>0</x:v>
      </x:c>
      <x:c r="K230" s="54" t="n">
        <x:f>I230+J230</x:f>
        <x:v>450</x:v>
      </x:c>
      <x:c r="L230" s="54" t="n">
        <x:f>MIN(E230,K230)</x:f>
        <x:v>379</x:v>
      </x:c>
      <x:c r="M230" s="54" t="n">
        <x:f>MAX(E230-K230,0)</x:f>
        <x:v>0</x:v>
      </x:c>
      <x:c r="N230" s="54" t="n">
        <x:f>MAX(K230-L230,0)</x:f>
        <x:v>71</x:v>
      </x:c>
      <x:c r="O230" s="52" t="n">
        <x:v>0.02</x:v>
      </x:c>
      <x:c r="P230" s="54" t="n">
        <x:f>MIN(N230,ROUND(N230*O230,0))</x:f>
        <x:v>1</x:v>
      </x:c>
      <x:c r="Q230" s="54" t="n">
        <x:f>N230-P230</x:f>
        <x:v>70</x:v>
      </x:c>
      <x:c r="R230" s="54" t="n">
        <x:v>83</x:v>
      </x:c>
      <x:c r="S230" s="54" t="n">
        <x:f>MIN(F230,MAX(0,ROUND(D230+R230-V230,0)))</x:f>
        <x:v>479</x:v>
      </x:c>
      <x:c r="T230" s="52" t="n">
        <x:v>1.0052215864075005</x:v>
      </x:c>
      <x:c r="U230" s="54" t="n">
        <x:f>MIN(F230,MAX(0,ROUND(S230*T230,0)))</x:f>
        <x:v>482</x:v>
      </x:c>
      <x:c r="V230" s="54" t="n">
        <x:f>AB225</x:f>
        <x:v>63</x:v>
      </x:c>
      <x:c r="W230" s="54" t="n">
        <x:f>U230+V230</x:f>
        <x:v>545</x:v>
      </x:c>
      <x:c r="X230" s="54" t="n">
        <x:f>MIN(E230,W230)</x:f>
        <x:v>379</x:v>
      </x:c>
      <x:c r="Y230" s="54" t="n">
        <x:f>MAX(E230-W230,0)</x:f>
        <x:v>0</x:v>
      </x:c>
      <x:c r="Z230" s="54" t="n">
        <x:f>MAX(W230-X230,0)</x:f>
        <x:v>166</x:v>
      </x:c>
      <x:c r="AA230" s="54" t="n">
        <x:f>MIN(Z230,ROUND(Z230*O230,0))</x:f>
        <x:v>3</x:v>
      </x:c>
      <x:c r="AB230" s="54" t="n">
        <x:f>Z230-AA230</x:f>
        <x:v>163</x:v>
      </x:c>
      <x:c r="AC230" s="52" t="n">
        <x:f>IFERROR(ABS(E230-D230)/E230,0)</x:f>
        <x:v>0.21108179419525067</x:v>
      </x:c>
      <x:c r="AD230" s="52" t="n">
        <x:f>IFERROR(L230/E230,1)</x:f>
        <x:v>1</x:v>
      </x:c>
      <x:c r="AE230" s="52" t="n">
        <x:f>IFERROR(X230/E230,1)</x:f>
        <x:v>1</x:v>
      </x:c>
      <x:c r="AF230" s="52" t="n">
        <x:f>IFERROR(I230/F230,0)</x:f>
        <x:v>0.8035714285714286</x:v>
      </x:c>
      <x:c r="AG230" s="52" t="n">
        <x:f>IFERROR(U230/F230,0)</x:f>
        <x:v>0.8607142857142858</x:v>
      </x:c>
    </x:row>
    <x:row r="231">
      <x:c r="A231" s="50" t="n">
        <x:v>46207</x:v>
      </x:c>
      <x:c r="B231" s="48" t="str">
        <x:v>Paneer</x:v>
      </x:c>
      <x:c r="C231" s="48" t="n">
        <x:v>5</x:v>
      </x:c>
      <x:c r="D231" s="54" t="n">
        <x:v>182</x:v>
      </x:c>
      <x:c r="E231" s="54" t="n">
        <x:v>166</x:v>
      </x:c>
      <x:c r="F231" s="54" t="n">
        <x:v>230</x:v>
      </x:c>
      <x:c r="G231" s="54" t="n">
        <x:f>ROUND(D231*0.97,0)</x:f>
        <x:v>177</x:v>
      </x:c>
      <x:c r="H231" s="52" t="n">
        <x:v>1.0142449818407273</x:v>
      </x:c>
      <x:c r="I231" s="54" t="n">
        <x:f>MIN(F231,ROUND(G231*H231,0))</x:f>
        <x:v>180</x:v>
      </x:c>
      <x:c r="J231" s="54" t="n">
        <x:f>Q226</x:f>
        <x:v>0</x:v>
      </x:c>
      <x:c r="K231" s="54" t="n">
        <x:f>I231+J231</x:f>
        <x:v>180</x:v>
      </x:c>
      <x:c r="L231" s="54" t="n">
        <x:f>MIN(E231,K231)</x:f>
        <x:v>166</x:v>
      </x:c>
      <x:c r="M231" s="54" t="n">
        <x:f>MAX(E231-K231,0)</x:f>
        <x:v>0</x:v>
      </x:c>
      <x:c r="N231" s="54" t="n">
        <x:f>MAX(K231-L231,0)</x:f>
        <x:v>14</x:v>
      </x:c>
      <x:c r="O231" s="52" t="n">
        <x:v>0.025</x:v>
      </x:c>
      <x:c r="P231" s="54" t="n">
        <x:f>MIN(N231,ROUND(N231*O231,0))</x:f>
        <x:v>0</x:v>
      </x:c>
      <x:c r="Q231" s="54" t="n">
        <x:f>N231-P231</x:f>
        <x:v>14</x:v>
      </x:c>
      <x:c r="R231" s="54" t="n">
        <x:v>36</x:v>
      </x:c>
      <x:c r="S231" s="54" t="n">
        <x:f>MIN(F231,MAX(0,ROUND(D231+R231-V231,0)))</x:f>
        <x:v>214</x:v>
      </x:c>
      <x:c r="T231" s="52" t="n">
        <x:v>0.9864085193222598</x:v>
      </x:c>
      <x:c r="U231" s="54" t="n">
        <x:f>MIN(F231,MAX(0,ROUND(S231*T231,0)))</x:f>
        <x:v>211</x:v>
      </x:c>
      <x:c r="V231" s="54" t="n">
        <x:f>AB226</x:f>
        <x:v>4</x:v>
      </x:c>
      <x:c r="W231" s="54" t="n">
        <x:f>U231+V231</x:f>
        <x:v>215</x:v>
      </x:c>
      <x:c r="X231" s="54" t="n">
        <x:f>MIN(E231,W231)</x:f>
        <x:v>166</x:v>
      </x:c>
      <x:c r="Y231" s="54" t="n">
        <x:f>MAX(E231-W231,0)</x:f>
        <x:v>0</x:v>
      </x:c>
      <x:c r="Z231" s="54" t="n">
        <x:f>MAX(W231-X231,0)</x:f>
        <x:v>49</x:v>
      </x:c>
      <x:c r="AA231" s="54" t="n">
        <x:f>MIN(Z231,ROUND(Z231*O231,0))</x:f>
        <x:v>1</x:v>
      </x:c>
      <x:c r="AB231" s="54" t="n">
        <x:f>Z231-AA231</x:f>
        <x:v>48</x:v>
      </x:c>
      <x:c r="AC231" s="52" t="n">
        <x:f>IFERROR(ABS(E231-D231)/E231,0)</x:f>
        <x:v>0.0963855421686747</x:v>
      </x:c>
      <x:c r="AD231" s="52" t="n">
        <x:f>IFERROR(L231/E231,1)</x:f>
        <x:v>1</x:v>
      </x:c>
      <x:c r="AE231" s="52" t="n">
        <x:f>IFERROR(X231/E231,1)</x:f>
        <x:v>1</x:v>
      </x:c>
      <x:c r="AF231" s="52" t="n">
        <x:f>IFERROR(I231/F231,0)</x:f>
        <x:v>0.782608695652174</x:v>
      </x:c>
      <x:c r="AG231" s="52" t="n">
        <x:f>IFERROR(U231/F231,0)</x:f>
        <x:v>0.9173913043478261</x:v>
      </x:c>
    </x:row>
    <x:row r="232">
      <x:c r="A232" s="50" t="n">
        <x:v>46208</x:v>
      </x:c>
      <x:c r="B232" s="48" t="str">
        <x:v>Toned Milk</x:v>
      </x:c>
      <x:c r="C232" s="48" t="n">
        <x:v>2</x:v>
      </x:c>
      <x:c r="D232" s="54" t="n">
        <x:v>1935</x:v>
      </x:c>
      <x:c r="E232" s="54" t="n">
        <x:v>2033</x:v>
      </x:c>
      <x:c r="F232" s="54" t="n">
        <x:v>2250</x:v>
      </x:c>
      <x:c r="G232" s="54" t="n">
        <x:f>ROUND(D232*0.97,0)</x:f>
        <x:v>1877</x:v>
      </x:c>
      <x:c r="H232" s="52" t="n">
        <x:v>1.016286618676282</x:v>
      </x:c>
      <x:c r="I232" s="54" t="n">
        <x:f>MIN(F232,ROUND(G232*H232,0))</x:f>
        <x:v>1908</x:v>
      </x:c>
      <x:c r="J232" s="54" t="n">
        <x:f>Q227</x:f>
        <x:v>761</x:v>
      </x:c>
      <x:c r="K232" s="54" t="n">
        <x:f>I232+J232</x:f>
        <x:v>2669</x:v>
      </x:c>
      <x:c r="L232" s="54" t="n">
        <x:f>MIN(E232,K232)</x:f>
        <x:v>2033</x:v>
      </x:c>
      <x:c r="M232" s="54" t="n">
        <x:f>MAX(E232-K232,0)</x:f>
        <x:v>0</x:v>
      </x:c>
      <x:c r="N232" s="54" t="n">
        <x:f>MAX(K232-L232,0)</x:f>
        <x:v>636</x:v>
      </x:c>
      <x:c r="O232" s="52" t="n">
        <x:v>0.025</x:v>
      </x:c>
      <x:c r="P232" s="54" t="n">
        <x:f>MIN(N232,ROUND(N232*O232,0))</x:f>
        <x:v>16</x:v>
      </x:c>
      <x:c r="Q232" s="54" t="n">
        <x:f>N232-P232</x:f>
        <x:v>620</x:v>
      </x:c>
      <x:c r="R232" s="54" t="n">
        <x:v>232</x:v>
      </x:c>
      <x:c r="S232" s="54" t="n">
        <x:f>MIN(F232,MAX(0,ROUND(D232+R232-V232,0)))</x:f>
        <x:v>1784</x:v>
      </x:c>
      <x:c r="T232" s="52" t="n">
        <x:v>0.980702858365047</x:v>
      </x:c>
      <x:c r="U232" s="54" t="n">
        <x:f>MIN(F232,MAX(0,ROUND(S232*T232,0)))</x:f>
        <x:v>1750</x:v>
      </x:c>
      <x:c r="V232" s="54" t="n">
        <x:f>AB227</x:f>
        <x:v>383</x:v>
      </x:c>
      <x:c r="W232" s="54" t="n">
        <x:f>U232+V232</x:f>
        <x:v>2133</x:v>
      </x:c>
      <x:c r="X232" s="54" t="n">
        <x:f>MIN(E232,W232)</x:f>
        <x:v>2033</x:v>
      </x:c>
      <x:c r="Y232" s="54" t="n">
        <x:f>MAX(E232-W232,0)</x:f>
        <x:v>0</x:v>
      </x:c>
      <x:c r="Z232" s="54" t="n">
        <x:f>MAX(W232-X232,0)</x:f>
        <x:v>100</x:v>
      </x:c>
      <x:c r="AA232" s="54" t="n">
        <x:f>MIN(Z232,ROUND(Z232*O232,0))</x:f>
        <x:v>3</x:v>
      </x:c>
      <x:c r="AB232" s="54" t="n">
        <x:f>Z232-AA232</x:f>
        <x:v>97</x:v>
      </x:c>
      <x:c r="AC232" s="52" t="n">
        <x:f>IFERROR(ABS(E232-D232)/E232,0)</x:f>
        <x:v>0.048204623708804725</x:v>
      </x:c>
      <x:c r="AD232" s="52" t="n">
        <x:f>IFERROR(L232/E232,1)</x:f>
        <x:v>1</x:v>
      </x:c>
      <x:c r="AE232" s="52" t="n">
        <x:f>IFERROR(X232/E232,1)</x:f>
        <x:v>1</x:v>
      </x:c>
      <x:c r="AF232" s="52" t="n">
        <x:f>IFERROR(I232/F232,0)</x:f>
        <x:v>0.848</x:v>
      </x:c>
      <x:c r="AG232" s="52" t="n">
        <x:f>IFERROR(U232/F232,0)</x:f>
        <x:v>0.7777777777777778</x:v>
      </x:c>
    </x:row>
    <x:row r="233">
      <x:c r="A233" s="50" t="n">
        <x:v>46208</x:v>
      </x:c>
      <x:c r="B233" s="48" t="str">
        <x:v>Full Cream Milk</x:v>
      </x:c>
      <x:c r="C233" s="48" t="n">
        <x:v>2</x:v>
      </x:c>
      <x:c r="D233" s="54" t="n">
        <x:v>967</x:v>
      </x:c>
      <x:c r="E233" s="54" t="n">
        <x:v>946</x:v>
      </x:c>
      <x:c r="F233" s="54" t="n">
        <x:v>1200</x:v>
      </x:c>
      <x:c r="G233" s="54" t="n">
        <x:f>ROUND(D233*0.97,0)</x:f>
        <x:v>938</x:v>
      </x:c>
      <x:c r="H233" s="52" t="n">
        <x:v>1.0072217486022752</x:v>
      </x:c>
      <x:c r="I233" s="54" t="n">
        <x:f>MIN(F233,ROUND(G233*H233,0))</x:f>
        <x:v>945</x:v>
      </x:c>
      <x:c r="J233" s="54" t="n">
        <x:f>Q228</x:f>
        <x:v>0</x:v>
      </x:c>
      <x:c r="K233" s="54" t="n">
        <x:f>I233+J233</x:f>
        <x:v>945</x:v>
      </x:c>
      <x:c r="L233" s="54" t="n">
        <x:f>MIN(E233,K233)</x:f>
        <x:v>945</x:v>
      </x:c>
      <x:c r="M233" s="54" t="n">
        <x:f>MAX(E233-K233,0)</x:f>
        <x:v>1</x:v>
      </x:c>
      <x:c r="N233" s="54" t="n">
        <x:f>MAX(K233-L233,0)</x:f>
        <x:v>0</x:v>
      </x:c>
      <x:c r="O233" s="52" t="n">
        <x:v>0.03</x:v>
      </x:c>
      <x:c r="P233" s="54" t="n">
        <x:f>MIN(N233,ROUND(N233*O233,0))</x:f>
        <x:v>0</x:v>
      </x:c>
      <x:c r="Q233" s="54" t="n">
        <x:f>N233-P233</x:f>
        <x:v>0</x:v>
      </x:c>
      <x:c r="R233" s="54" t="n">
        <x:v>116</x:v>
      </x:c>
      <x:c r="S233" s="54" t="n">
        <x:f>MIN(F233,MAX(0,ROUND(D233+R233-V233,0)))</x:f>
        <x:v>1039</x:v>
      </x:c>
      <x:c r="T233" s="52" t="n">
        <x:v>1.0133906090977804</x:v>
      </x:c>
      <x:c r="U233" s="54" t="n">
        <x:f>MIN(F233,MAX(0,ROUND(S233*T233,0)))</x:f>
        <x:v>1053</x:v>
      </x:c>
      <x:c r="V233" s="54" t="n">
        <x:f>AB228</x:f>
        <x:v>44</x:v>
      </x:c>
      <x:c r="W233" s="54" t="n">
        <x:f>U233+V233</x:f>
        <x:v>1097</x:v>
      </x:c>
      <x:c r="X233" s="54" t="n">
        <x:f>MIN(E233,W233)</x:f>
        <x:v>946</x:v>
      </x:c>
      <x:c r="Y233" s="54" t="n">
        <x:f>MAX(E233-W233,0)</x:f>
        <x:v>0</x:v>
      </x:c>
      <x:c r="Z233" s="54" t="n">
        <x:f>MAX(W233-X233,0)</x:f>
        <x:v>151</x:v>
      </x:c>
      <x:c r="AA233" s="54" t="n">
        <x:f>MIN(Z233,ROUND(Z233*O233,0))</x:f>
        <x:v>5</x:v>
      </x:c>
      <x:c r="AB233" s="54" t="n">
        <x:f>Z233-AA233</x:f>
        <x:v>146</x:v>
      </x:c>
      <x:c r="AC233" s="52" t="n">
        <x:f>IFERROR(ABS(E233-D233)/E233,0)</x:f>
        <x:v>0.022198731501057084</x:v>
      </x:c>
      <x:c r="AD233" s="52" t="n">
        <x:f>IFERROR(L233/E233,1)</x:f>
        <x:v>0.9989429175475687</x:v>
      </x:c>
      <x:c r="AE233" s="52" t="n">
        <x:f>IFERROR(X233/E233,1)</x:f>
        <x:v>1</x:v>
      </x:c>
      <x:c r="AF233" s="52" t="n">
        <x:f>IFERROR(I233/F233,0)</x:f>
        <x:v>0.7875</x:v>
      </x:c>
      <x:c r="AG233" s="52" t="n">
        <x:f>IFERROR(U233/F233,0)</x:f>
        <x:v>0.8775</x:v>
      </x:c>
    </x:row>
    <x:row r="234">
      <x:c r="A234" s="50" t="n">
        <x:v>46208</x:v>
      </x:c>
      <x:c r="B234" s="48" t="str">
        <x:v>Curd</x:v>
      </x:c>
      <x:c r="C234" s="48" t="n">
        <x:v>7</x:v>
      </x:c>
      <x:c r="D234" s="54" t="n">
        <x:v>589</x:v>
      </x:c>
      <x:c r="E234" s="54" t="n">
        <x:v>511</x:v>
      </x:c>
      <x:c r="F234" s="54" t="n">
        <x:v>700</x:v>
      </x:c>
      <x:c r="G234" s="54" t="n">
        <x:f>ROUND(D234*0.97,0)</x:f>
        <x:v>571</x:v>
      </x:c>
      <x:c r="H234" s="52" t="n">
        <x:v>0.9859662644705531</x:v>
      </x:c>
      <x:c r="I234" s="54" t="n">
        <x:f>MIN(F234,ROUND(G234*H234,0))</x:f>
        <x:v>563</x:v>
      </x:c>
      <x:c r="J234" s="54" t="n">
        <x:f>Q229</x:f>
        <x:v>0</x:v>
      </x:c>
      <x:c r="K234" s="54" t="n">
        <x:f>I234+J234</x:f>
        <x:v>563</x:v>
      </x:c>
      <x:c r="L234" s="54" t="n">
        <x:f>MIN(E234,K234)</x:f>
        <x:v>511</x:v>
      </x:c>
      <x:c r="M234" s="54" t="n">
        <x:f>MAX(E234-K234,0)</x:f>
        <x:v>0</x:v>
      </x:c>
      <x:c r="N234" s="54" t="n">
        <x:f>MAX(K234-L234,0)</x:f>
        <x:v>52</x:v>
      </x:c>
      <x:c r="O234" s="52" t="n">
        <x:v>0.018</x:v>
      </x:c>
      <x:c r="P234" s="54" t="n">
        <x:f>MIN(N234,ROUND(N234*O234,0))</x:f>
        <x:v>1</x:v>
      </x:c>
      <x:c r="Q234" s="54" t="n">
        <x:f>N234-P234</x:f>
        <x:v>51</x:v>
      </x:c>
      <x:c r="R234" s="54" t="n">
        <x:v>106</x:v>
      </x:c>
      <x:c r="S234" s="54" t="n">
        <x:f>MIN(F234,MAX(0,ROUND(D234+R234-V234,0)))</x:f>
        <x:v>658</x:v>
      </x:c>
      <x:c r="T234" s="52" t="n">
        <x:v>1.0107168134948858</x:v>
      </x:c>
      <x:c r="U234" s="54" t="n">
        <x:f>MIN(F234,MAX(0,ROUND(S234*T234,0)))</x:f>
        <x:v>665</x:v>
      </x:c>
      <x:c r="V234" s="54" t="n">
        <x:f>AB229</x:f>
        <x:v>37</x:v>
      </x:c>
      <x:c r="W234" s="54" t="n">
        <x:f>U234+V234</x:f>
        <x:v>702</x:v>
      </x:c>
      <x:c r="X234" s="54" t="n">
        <x:f>MIN(E234,W234)</x:f>
        <x:v>511</x:v>
      </x:c>
      <x:c r="Y234" s="54" t="n">
        <x:f>MAX(E234-W234,0)</x:f>
        <x:v>0</x:v>
      </x:c>
      <x:c r="Z234" s="54" t="n">
        <x:f>MAX(W234-X234,0)</x:f>
        <x:v>191</x:v>
      </x:c>
      <x:c r="AA234" s="54" t="n">
        <x:f>MIN(Z234,ROUND(Z234*O234,0))</x:f>
        <x:v>3</x:v>
      </x:c>
      <x:c r="AB234" s="54" t="n">
        <x:f>Z234-AA234</x:f>
        <x:v>188</x:v>
      </x:c>
      <x:c r="AC234" s="52" t="n">
        <x:f>IFERROR(ABS(E234-D234)/E234,0)</x:f>
        <x:v>0.15264187866927592</x:v>
      </x:c>
      <x:c r="AD234" s="52" t="n">
        <x:f>IFERROR(L234/E234,1)</x:f>
        <x:v>1</x:v>
      </x:c>
      <x:c r="AE234" s="52" t="n">
        <x:f>IFERROR(X234/E234,1)</x:f>
        <x:v>1</x:v>
      </x:c>
      <x:c r="AF234" s="52" t="n">
        <x:f>IFERROR(I234/F234,0)</x:f>
        <x:v>0.8042857142857143</x:v>
      </x:c>
      <x:c r="AG234" s="52" t="n">
        <x:f>IFERROR(U234/F234,0)</x:f>
        <x:v>0.95</x:v>
      </x:c>
    </x:row>
    <x:row r="235">
      <x:c r="A235" s="50" t="n">
        <x:v>46208</x:v>
      </x:c>
      <x:c r="B235" s="48" t="str">
        <x:v>Lassi</x:v>
      </x:c>
      <x:c r="C235" s="48" t="n">
        <x:v>7</x:v>
      </x:c>
      <x:c r="D235" s="54" t="n">
        <x:v>471</x:v>
      </x:c>
      <x:c r="E235" s="54" t="n">
        <x:v>504</x:v>
      </x:c>
      <x:c r="F235" s="54" t="n">
        <x:v>560</x:v>
      </x:c>
      <x:c r="G235" s="54" t="n">
        <x:f>ROUND(D235*0.97,0)</x:f>
        <x:v>457</x:v>
      </x:c>
      <x:c r="H235" s="52" t="n">
        <x:v>1.0178076781147014</x:v>
      </x:c>
      <x:c r="I235" s="54" t="n">
        <x:f>MIN(F235,ROUND(G235*H235,0))</x:f>
        <x:v>465</x:v>
      </x:c>
      <x:c r="J235" s="54" t="n">
        <x:f>Q230</x:f>
        <x:v>70</x:v>
      </x:c>
      <x:c r="K235" s="54" t="n">
        <x:f>I235+J235</x:f>
        <x:v>535</x:v>
      </x:c>
      <x:c r="L235" s="54" t="n">
        <x:f>MIN(E235,K235)</x:f>
        <x:v>504</x:v>
      </x:c>
      <x:c r="M235" s="54" t="n">
        <x:f>MAX(E235-K235,0)</x:f>
        <x:v>0</x:v>
      </x:c>
      <x:c r="N235" s="54" t="n">
        <x:f>MAX(K235-L235,0)</x:f>
        <x:v>31</x:v>
      </x:c>
      <x:c r="O235" s="52" t="n">
        <x:v>0.02</x:v>
      </x:c>
      <x:c r="P235" s="54" t="n">
        <x:f>MIN(N235,ROUND(N235*O235,0))</x:f>
        <x:v>1</x:v>
      </x:c>
      <x:c r="Q235" s="54" t="n">
        <x:f>N235-P235</x:f>
        <x:v>30</x:v>
      </x:c>
      <x:c r="R235" s="54" t="n">
        <x:v>85</x:v>
      </x:c>
      <x:c r="S235" s="54" t="n">
        <x:f>MIN(F235,MAX(0,ROUND(D235+R235-V235,0)))</x:f>
        <x:v>393</x:v>
      </x:c>
      <x:c r="T235" s="52" t="n">
        <x:v>1.0192742942235982</x:v>
      </x:c>
      <x:c r="U235" s="54" t="n">
        <x:f>MIN(F235,MAX(0,ROUND(S235*T235,0)))</x:f>
        <x:v>401</x:v>
      </x:c>
      <x:c r="V235" s="54" t="n">
        <x:f>AB230</x:f>
        <x:v>163</x:v>
      </x:c>
      <x:c r="W235" s="54" t="n">
        <x:f>U235+V235</x:f>
        <x:v>564</x:v>
      </x:c>
      <x:c r="X235" s="54" t="n">
        <x:f>MIN(E235,W235)</x:f>
        <x:v>504</x:v>
      </x:c>
      <x:c r="Y235" s="54" t="n">
        <x:f>MAX(E235-W235,0)</x:f>
        <x:v>0</x:v>
      </x:c>
      <x:c r="Z235" s="54" t="n">
        <x:f>MAX(W235-X235,0)</x:f>
        <x:v>60</x:v>
      </x:c>
      <x:c r="AA235" s="54" t="n">
        <x:f>MIN(Z235,ROUND(Z235*O235,0))</x:f>
        <x:v>1</x:v>
      </x:c>
      <x:c r="AB235" s="54" t="n">
        <x:f>Z235-AA235</x:f>
        <x:v>59</x:v>
      </x:c>
      <x:c r="AC235" s="52" t="n">
        <x:f>IFERROR(ABS(E235-D235)/E235,0)</x:f>
        <x:v>0.06547619047619048</x:v>
      </x:c>
      <x:c r="AD235" s="52" t="n">
        <x:f>IFERROR(L235/E235,1)</x:f>
        <x:v>1</x:v>
      </x:c>
      <x:c r="AE235" s="52" t="n">
        <x:f>IFERROR(X235/E235,1)</x:f>
        <x:v>1</x:v>
      </x:c>
      <x:c r="AF235" s="52" t="n">
        <x:f>IFERROR(I235/F235,0)</x:f>
        <x:v>0.8303571428571429</x:v>
      </x:c>
      <x:c r="AG235" s="52" t="n">
        <x:f>IFERROR(U235/F235,0)</x:f>
        <x:v>0.7160714285714286</x:v>
      </x:c>
    </x:row>
    <x:row r="236">
      <x:c r="A236" s="50" t="n">
        <x:v>46208</x:v>
      </x:c>
      <x:c r="B236" s="48" t="str">
        <x:v>Paneer</x:v>
      </x:c>
      <x:c r="C236" s="48" t="n">
        <x:v>5</x:v>
      </x:c>
      <x:c r="D236" s="54" t="n">
        <x:v>187</x:v>
      </x:c>
      <x:c r="E236" s="54" t="n">
        <x:v>182</x:v>
      </x:c>
      <x:c r="F236" s="54" t="n">
        <x:v>230</x:v>
      </x:c>
      <x:c r="G236" s="54" t="n">
        <x:f>ROUND(D236*0.97,0)</x:f>
        <x:v>181</x:v>
      </x:c>
      <x:c r="H236" s="52" t="n">
        <x:v>1.0059779962971562</x:v>
      </x:c>
      <x:c r="I236" s="54" t="n">
        <x:f>MIN(F236,ROUND(G236*H236,0))</x:f>
        <x:v>182</x:v>
      </x:c>
      <x:c r="J236" s="54" t="n">
        <x:f>Q231</x:f>
        <x:v>14</x:v>
      </x:c>
      <x:c r="K236" s="54" t="n">
        <x:f>I236+J236</x:f>
        <x:v>196</x:v>
      </x:c>
      <x:c r="L236" s="54" t="n">
        <x:f>MIN(E236,K236)</x:f>
        <x:v>182</x:v>
      </x:c>
      <x:c r="M236" s="54" t="n">
        <x:f>MAX(E236-K236,0)</x:f>
        <x:v>0</x:v>
      </x:c>
      <x:c r="N236" s="54" t="n">
        <x:f>MAX(K236-L236,0)</x:f>
        <x:v>14</x:v>
      </x:c>
      <x:c r="O236" s="52" t="n">
        <x:v>0.025</x:v>
      </x:c>
      <x:c r="P236" s="54" t="n">
        <x:f>MIN(N236,ROUND(N236*O236,0))</x:f>
        <x:v>0</x:v>
      </x:c>
      <x:c r="Q236" s="54" t="n">
        <x:f>N236-P236</x:f>
        <x:v>14</x:v>
      </x:c>
      <x:c r="R236" s="54" t="n">
        <x:v>37</x:v>
      </x:c>
      <x:c r="S236" s="54" t="n">
        <x:f>MIN(F236,MAX(0,ROUND(D236+R236-V236,0)))</x:f>
        <x:v>176</x:v>
      </x:c>
      <x:c r="T236" s="52" t="n">
        <x:v>0.9849583989304891</x:v>
      </x:c>
      <x:c r="U236" s="54" t="n">
        <x:f>MIN(F236,MAX(0,ROUND(S236*T236,0)))</x:f>
        <x:v>173</x:v>
      </x:c>
      <x:c r="V236" s="54" t="n">
        <x:f>AB231</x:f>
        <x:v>48</x:v>
      </x:c>
      <x:c r="W236" s="54" t="n">
        <x:f>U236+V236</x:f>
        <x:v>221</x:v>
      </x:c>
      <x:c r="X236" s="54" t="n">
        <x:f>MIN(E236,W236)</x:f>
        <x:v>182</x:v>
      </x:c>
      <x:c r="Y236" s="54" t="n">
        <x:f>MAX(E236-W236,0)</x:f>
        <x:v>0</x:v>
      </x:c>
      <x:c r="Z236" s="54" t="n">
        <x:f>MAX(W236-X236,0)</x:f>
        <x:v>39</x:v>
      </x:c>
      <x:c r="AA236" s="54" t="n">
        <x:f>MIN(Z236,ROUND(Z236*O236,0))</x:f>
        <x:v>1</x:v>
      </x:c>
      <x:c r="AB236" s="54" t="n">
        <x:f>Z236-AA236</x:f>
        <x:v>38</x:v>
      </x:c>
      <x:c r="AC236" s="52" t="n">
        <x:f>IFERROR(ABS(E236-D236)/E236,0)</x:f>
        <x:v>0.027472527472527472</x:v>
      </x:c>
      <x:c r="AD236" s="52" t="n">
        <x:f>IFERROR(L236/E236,1)</x:f>
        <x:v>1</x:v>
      </x:c>
      <x:c r="AE236" s="52" t="n">
        <x:f>IFERROR(X236/E236,1)</x:f>
        <x:v>1</x:v>
      </x:c>
      <x:c r="AF236" s="52" t="n">
        <x:f>IFERROR(I236/F236,0)</x:f>
        <x:v>0.7913043478260869</x:v>
      </x:c>
      <x:c r="AG236" s="52" t="n">
        <x:f>IFERROR(U236/F236,0)</x:f>
        <x:v>0.7521739130434782</x:v>
      </x:c>
    </x:row>
    <x:row r="237">
      <x:c r="A237" s="50" t="n">
        <x:v>46209</x:v>
      </x:c>
      <x:c r="B237" s="48" t="str">
        <x:v>Toned Milk</x:v>
      </x:c>
      <x:c r="C237" s="48" t="n">
        <x:v>2</x:v>
      </x:c>
      <x:c r="D237" s="54" t="n">
        <x:v>1659</x:v>
      </x:c>
      <x:c r="E237" s="54" t="n">
        <x:v>1551</x:v>
      </x:c>
      <x:c r="F237" s="54" t="n">
        <x:v>2250</x:v>
      </x:c>
      <x:c r="G237" s="54" t="n">
        <x:f>ROUND(D237*0.97,0)</x:f>
        <x:v>1609</x:v>
      </x:c>
      <x:c r="H237" s="52" t="n">
        <x:v>0.98727682875561</x:v>
      </x:c>
      <x:c r="I237" s="54" t="n">
        <x:f>MIN(F237,ROUND(G237*H237,0))</x:f>
        <x:v>1589</x:v>
      </x:c>
      <x:c r="J237" s="54" t="n">
        <x:f>Q232</x:f>
        <x:v>620</x:v>
      </x:c>
      <x:c r="K237" s="54" t="n">
        <x:f>I237+J237</x:f>
        <x:v>2209</x:v>
      </x:c>
      <x:c r="L237" s="54" t="n">
        <x:f>MIN(E237,K237)</x:f>
        <x:v>1551</x:v>
      </x:c>
      <x:c r="M237" s="54" t="n">
        <x:f>MAX(E237-K237,0)</x:f>
        <x:v>0</x:v>
      </x:c>
      <x:c r="N237" s="54" t="n">
        <x:f>MAX(K237-L237,0)</x:f>
        <x:v>658</x:v>
      </x:c>
      <x:c r="O237" s="52" t="n">
        <x:v>0.025</x:v>
      </x:c>
      <x:c r="P237" s="54" t="n">
        <x:f>MIN(N237,ROUND(N237*O237,0))</x:f>
        <x:v>16</x:v>
      </x:c>
      <x:c r="Q237" s="54" t="n">
        <x:f>N237-P237</x:f>
        <x:v>642</x:v>
      </x:c>
      <x:c r="R237" s="54" t="n">
        <x:v>199</x:v>
      </x:c>
      <x:c r="S237" s="54" t="n">
        <x:f>MIN(F237,MAX(0,ROUND(D237+R237-V237,0)))</x:f>
        <x:v>1761</x:v>
      </x:c>
      <x:c r="T237" s="52" t="n">
        <x:v>1.013852160934767</x:v>
      </x:c>
      <x:c r="U237" s="54" t="n">
        <x:f>MIN(F237,MAX(0,ROUND(S237*T237,0)))</x:f>
        <x:v>1785</x:v>
      </x:c>
      <x:c r="V237" s="54" t="n">
        <x:f>AB232</x:f>
        <x:v>97</x:v>
      </x:c>
      <x:c r="W237" s="54" t="n">
        <x:f>U237+V237</x:f>
        <x:v>1882</x:v>
      </x:c>
      <x:c r="X237" s="54" t="n">
        <x:f>MIN(E237,W237)</x:f>
        <x:v>1551</x:v>
      </x:c>
      <x:c r="Y237" s="54" t="n">
        <x:f>MAX(E237-W237,0)</x:f>
        <x:v>0</x:v>
      </x:c>
      <x:c r="Z237" s="54" t="n">
        <x:f>MAX(W237-X237,0)</x:f>
        <x:v>331</x:v>
      </x:c>
      <x:c r="AA237" s="54" t="n">
        <x:f>MIN(Z237,ROUND(Z237*O237,0))</x:f>
        <x:v>8</x:v>
      </x:c>
      <x:c r="AB237" s="54" t="n">
        <x:f>Z237-AA237</x:f>
        <x:v>323</x:v>
      </x:c>
      <x:c r="AC237" s="52" t="n">
        <x:f>IFERROR(ABS(E237-D237)/E237,0)</x:f>
        <x:v>0.06963249516441006</x:v>
      </x:c>
      <x:c r="AD237" s="52" t="n">
        <x:f>IFERROR(L237/E237,1)</x:f>
        <x:v>1</x:v>
      </x:c>
      <x:c r="AE237" s="52" t="n">
        <x:f>IFERROR(X237/E237,1)</x:f>
        <x:v>1</x:v>
      </x:c>
      <x:c r="AF237" s="52" t="n">
        <x:f>IFERROR(I237/F237,0)</x:f>
        <x:v>0.7062222222222222</x:v>
      </x:c>
      <x:c r="AG237" s="52" t="n">
        <x:f>IFERROR(U237/F237,0)</x:f>
        <x:v>0.7933333333333333</x:v>
      </x:c>
    </x:row>
    <x:row r="238">
      <x:c r="A238" s="50" t="n">
        <x:v>46209</x:v>
      </x:c>
      <x:c r="B238" s="48" t="str">
        <x:v>Full Cream Milk</x:v>
      </x:c>
      <x:c r="C238" s="48" t="n">
        <x:v>2</x:v>
      </x:c>
      <x:c r="D238" s="54" t="n">
        <x:v>821</x:v>
      </x:c>
      <x:c r="E238" s="54" t="n">
        <x:v>824</x:v>
      </x:c>
      <x:c r="F238" s="54" t="n">
        <x:v>1200</x:v>
      </x:c>
      <x:c r="G238" s="54" t="n">
        <x:f>ROUND(D238*0.97,0)</x:f>
        <x:v>796</x:v>
      </x:c>
      <x:c r="H238" s="52" t="n">
        <x:v>1.0195117988342186</x:v>
      </x:c>
      <x:c r="I238" s="54" t="n">
        <x:f>MIN(F238,ROUND(G238*H238,0))</x:f>
        <x:v>812</x:v>
      </x:c>
      <x:c r="J238" s="54" t="n">
        <x:f>Q233</x:f>
        <x:v>0</x:v>
      </x:c>
      <x:c r="K238" s="54" t="n">
        <x:f>I238+J238</x:f>
        <x:v>812</x:v>
      </x:c>
      <x:c r="L238" s="54" t="n">
        <x:f>MIN(E238,K238)</x:f>
        <x:v>812</x:v>
      </x:c>
      <x:c r="M238" s="54" t="n">
        <x:f>MAX(E238-K238,0)</x:f>
        <x:v>12</x:v>
      </x:c>
      <x:c r="N238" s="54" t="n">
        <x:f>MAX(K238-L238,0)</x:f>
        <x:v>0</x:v>
      </x:c>
      <x:c r="O238" s="52" t="n">
        <x:v>0.03</x:v>
      </x:c>
      <x:c r="P238" s="54" t="n">
        <x:f>MIN(N238,ROUND(N238*O238,0))</x:f>
        <x:v>0</x:v>
      </x:c>
      <x:c r="Q238" s="54" t="n">
        <x:f>N238-P238</x:f>
        <x:v>0</x:v>
      </x:c>
      <x:c r="R238" s="54" t="n">
        <x:v>99</x:v>
      </x:c>
      <x:c r="S238" s="54" t="n">
        <x:f>MIN(F238,MAX(0,ROUND(D238+R238-V238,0)))</x:f>
        <x:v>774</x:v>
      </x:c>
      <x:c r="T238" s="52" t="n">
        <x:v>0.9804026118135337</x:v>
      </x:c>
      <x:c r="U238" s="54" t="n">
        <x:f>MIN(F238,MAX(0,ROUND(S238*T238,0)))</x:f>
        <x:v>759</x:v>
      </x:c>
      <x:c r="V238" s="54" t="n">
        <x:f>AB233</x:f>
        <x:v>146</x:v>
      </x:c>
      <x:c r="W238" s="54" t="n">
        <x:f>U238+V238</x:f>
        <x:v>905</x:v>
      </x:c>
      <x:c r="X238" s="54" t="n">
        <x:f>MIN(E238,W238)</x:f>
        <x:v>824</x:v>
      </x:c>
      <x:c r="Y238" s="54" t="n">
        <x:f>MAX(E238-W238,0)</x:f>
        <x:v>0</x:v>
      </x:c>
      <x:c r="Z238" s="54" t="n">
        <x:f>MAX(W238-X238,0)</x:f>
        <x:v>81</x:v>
      </x:c>
      <x:c r="AA238" s="54" t="n">
        <x:f>MIN(Z238,ROUND(Z238*O238,0))</x:f>
        <x:v>2</x:v>
      </x:c>
      <x:c r="AB238" s="54" t="n">
        <x:f>Z238-AA238</x:f>
        <x:v>79</x:v>
      </x:c>
      <x:c r="AC238" s="52" t="n">
        <x:f>IFERROR(ABS(E238-D238)/E238,0)</x:f>
        <x:v>0.0036407766990291263</x:v>
      </x:c>
      <x:c r="AD238" s="52" t="n">
        <x:f>IFERROR(L238/E238,1)</x:f>
        <x:v>0.9854368932038835</x:v>
      </x:c>
      <x:c r="AE238" s="52" t="n">
        <x:f>IFERROR(X238/E238,1)</x:f>
        <x:v>1</x:v>
      </x:c>
      <x:c r="AF238" s="52" t="n">
        <x:f>IFERROR(I238/F238,0)</x:f>
        <x:v>0.6766666666666666</x:v>
      </x:c>
      <x:c r="AG238" s="52" t="n">
        <x:f>IFERROR(U238/F238,0)</x:f>
        <x:v>0.6325</x:v>
      </x:c>
    </x:row>
    <x:row r="239">
      <x:c r="A239" s="50" t="n">
        <x:v>46209</x:v>
      </x:c>
      <x:c r="B239" s="48" t="str">
        <x:v>Curd</x:v>
      </x:c>
      <x:c r="C239" s="48" t="n">
        <x:v>7</x:v>
      </x:c>
      <x:c r="D239" s="54" t="n">
        <x:v>473</x:v>
      </x:c>
      <x:c r="E239" s="54" t="n">
        <x:v>484</x:v>
      </x:c>
      <x:c r="F239" s="54" t="n">
        <x:v>700</x:v>
      </x:c>
      <x:c r="G239" s="54" t="n">
        <x:f>ROUND(D239*0.97,0)</x:f>
        <x:v>459</x:v>
      </x:c>
      <x:c r="H239" s="52" t="n">
        <x:v>1.0065002207645857</x:v>
      </x:c>
      <x:c r="I239" s="54" t="n">
        <x:f>MIN(F239,ROUND(G239*H239,0))</x:f>
        <x:v>462</x:v>
      </x:c>
      <x:c r="J239" s="54" t="n">
        <x:f>Q234</x:f>
        <x:v>51</x:v>
      </x:c>
      <x:c r="K239" s="54" t="n">
        <x:f>I239+J239</x:f>
        <x:v>513</x:v>
      </x:c>
      <x:c r="L239" s="54" t="n">
        <x:f>MIN(E239,K239)</x:f>
        <x:v>484</x:v>
      </x:c>
      <x:c r="M239" s="54" t="n">
        <x:f>MAX(E239-K239,0)</x:f>
        <x:v>0</x:v>
      </x:c>
      <x:c r="N239" s="54" t="n">
        <x:f>MAX(K239-L239,0)</x:f>
        <x:v>29</x:v>
      </x:c>
      <x:c r="O239" s="52" t="n">
        <x:v>0.018</x:v>
      </x:c>
      <x:c r="P239" s="54" t="n">
        <x:f>MIN(N239,ROUND(N239*O239,0))</x:f>
        <x:v>1</x:v>
      </x:c>
      <x:c r="Q239" s="54" t="n">
        <x:f>N239-P239</x:f>
        <x:v>28</x:v>
      </x:c>
      <x:c r="R239" s="54" t="n">
        <x:v>85</x:v>
      </x:c>
      <x:c r="S239" s="54" t="n">
        <x:f>MIN(F239,MAX(0,ROUND(D239+R239-V239,0)))</x:f>
        <x:v>370</x:v>
      </x:c>
      <x:c r="T239" s="52" t="n">
        <x:v>1.0060158822359504</x:v>
      </x:c>
      <x:c r="U239" s="54" t="n">
        <x:f>MIN(F239,MAX(0,ROUND(S239*T239,0)))</x:f>
        <x:v>372</x:v>
      </x:c>
      <x:c r="V239" s="54" t="n">
        <x:f>AB234</x:f>
        <x:v>188</x:v>
      </x:c>
      <x:c r="W239" s="54" t="n">
        <x:f>U239+V239</x:f>
        <x:v>560</x:v>
      </x:c>
      <x:c r="X239" s="54" t="n">
        <x:f>MIN(E239,W239)</x:f>
        <x:v>484</x:v>
      </x:c>
      <x:c r="Y239" s="54" t="n">
        <x:f>MAX(E239-W239,0)</x:f>
        <x:v>0</x:v>
      </x:c>
      <x:c r="Z239" s="54" t="n">
        <x:f>MAX(W239-X239,0)</x:f>
        <x:v>76</x:v>
      </x:c>
      <x:c r="AA239" s="54" t="n">
        <x:f>MIN(Z239,ROUND(Z239*O239,0))</x:f>
        <x:v>1</x:v>
      </x:c>
      <x:c r="AB239" s="54" t="n">
        <x:f>Z239-AA239</x:f>
        <x:v>75</x:v>
      </x:c>
      <x:c r="AC239" s="52" t="n">
        <x:f>IFERROR(ABS(E239-D239)/E239,0)</x:f>
        <x:v>0.022727272727272728</x:v>
      </x:c>
      <x:c r="AD239" s="52" t="n">
        <x:f>IFERROR(L239/E239,1)</x:f>
        <x:v>1</x:v>
      </x:c>
      <x:c r="AE239" s="52" t="n">
        <x:f>IFERROR(X239/E239,1)</x:f>
        <x:v>1</x:v>
      </x:c>
      <x:c r="AF239" s="52" t="n">
        <x:f>IFERROR(I239/F239,0)</x:f>
        <x:v>0.66</x:v>
      </x:c>
      <x:c r="AG239" s="52" t="n">
        <x:f>IFERROR(U239/F239,0)</x:f>
        <x:v>0.5314285714285715</x:v>
      </x:c>
    </x:row>
    <x:row r="240">
      <x:c r="A240" s="50" t="n">
        <x:v>46209</x:v>
      </x:c>
      <x:c r="B240" s="48" t="str">
        <x:v>Lassi</x:v>
      </x:c>
      <x:c r="C240" s="48" t="n">
        <x:v>7</x:v>
      </x:c>
      <x:c r="D240" s="54" t="n">
        <x:v>366</x:v>
      </x:c>
      <x:c r="E240" s="54" t="n">
        <x:v>428</x:v>
      </x:c>
      <x:c r="F240" s="54" t="n">
        <x:v>560</x:v>
      </x:c>
      <x:c r="G240" s="54" t="n">
        <x:f>ROUND(D240*0.97,0)</x:f>
        <x:v>355</x:v>
      </x:c>
      <x:c r="H240" s="52" t="n">
        <x:v>1.011154347107992</x:v>
      </x:c>
      <x:c r="I240" s="54" t="n">
        <x:f>MIN(F240,ROUND(G240*H240,0))</x:f>
        <x:v>359</x:v>
      </x:c>
      <x:c r="J240" s="54" t="n">
        <x:f>Q235</x:f>
        <x:v>30</x:v>
      </x:c>
      <x:c r="K240" s="54" t="n">
        <x:f>I240+J240</x:f>
        <x:v>389</x:v>
      </x:c>
      <x:c r="L240" s="54" t="n">
        <x:f>MIN(E240,K240)</x:f>
        <x:v>389</x:v>
      </x:c>
      <x:c r="M240" s="54" t="n">
        <x:f>MAX(E240-K240,0)</x:f>
        <x:v>39</x:v>
      </x:c>
      <x:c r="N240" s="54" t="n">
        <x:f>MAX(K240-L240,0)</x:f>
        <x:v>0</x:v>
      </x:c>
      <x:c r="O240" s="52" t="n">
        <x:v>0.02</x:v>
      </x:c>
      <x:c r="P240" s="54" t="n">
        <x:f>MIN(N240,ROUND(N240*O240,0))</x:f>
        <x:v>0</x:v>
      </x:c>
      <x:c r="Q240" s="54" t="n">
        <x:f>N240-P240</x:f>
        <x:v>0</x:v>
      </x:c>
      <x:c r="R240" s="54" t="n">
        <x:v>66</x:v>
      </x:c>
      <x:c r="S240" s="54" t="n">
        <x:f>MIN(F240,MAX(0,ROUND(D240+R240-V240,0)))</x:f>
        <x:v>373</x:v>
      </x:c>
      <x:c r="T240" s="52" t="n">
        <x:v>1.0191529007806512</x:v>
      </x:c>
      <x:c r="U240" s="54" t="n">
        <x:f>MIN(F240,MAX(0,ROUND(S240*T240,0)))</x:f>
        <x:v>380</x:v>
      </x:c>
      <x:c r="V240" s="54" t="n">
        <x:f>AB235</x:f>
        <x:v>59</x:v>
      </x:c>
      <x:c r="W240" s="54" t="n">
        <x:f>U240+V240</x:f>
        <x:v>439</x:v>
      </x:c>
      <x:c r="X240" s="54" t="n">
        <x:f>MIN(E240,W240)</x:f>
        <x:v>428</x:v>
      </x:c>
      <x:c r="Y240" s="54" t="n">
        <x:f>MAX(E240-W240,0)</x:f>
        <x:v>0</x:v>
      </x:c>
      <x:c r="Z240" s="54" t="n">
        <x:f>MAX(W240-X240,0)</x:f>
        <x:v>11</x:v>
      </x:c>
      <x:c r="AA240" s="54" t="n">
        <x:f>MIN(Z240,ROUND(Z240*O240,0))</x:f>
        <x:v>0</x:v>
      </x:c>
      <x:c r="AB240" s="54" t="n">
        <x:f>Z240-AA240</x:f>
        <x:v>11</x:v>
      </x:c>
      <x:c r="AC240" s="52" t="n">
        <x:f>IFERROR(ABS(E240-D240)/E240,0)</x:f>
        <x:v>0.14485981308411214</x:v>
      </x:c>
      <x:c r="AD240" s="52" t="n">
        <x:f>IFERROR(L240/E240,1)</x:f>
        <x:v>0.9088785046728972</x:v>
      </x:c>
      <x:c r="AE240" s="52" t="n">
        <x:f>IFERROR(X240/E240,1)</x:f>
        <x:v>1</x:v>
      </x:c>
      <x:c r="AF240" s="52" t="n">
        <x:f>IFERROR(I240/F240,0)</x:f>
        <x:v>0.6410714285714286</x:v>
      </x:c>
      <x:c r="AG240" s="52" t="n">
        <x:f>IFERROR(U240/F240,0)</x:f>
        <x:v>0.6785714285714286</x:v>
      </x:c>
    </x:row>
    <x:row r="241">
      <x:c r="A241" s="50" t="n">
        <x:v>46209</x:v>
      </x:c>
      <x:c r="B241" s="48" t="str">
        <x:v>Paneer</x:v>
      </x:c>
      <x:c r="C241" s="48" t="n">
        <x:v>5</x:v>
      </x:c>
      <x:c r="D241" s="54" t="n">
        <x:v>150</x:v>
      </x:c>
      <x:c r="E241" s="54" t="n">
        <x:v>153</x:v>
      </x:c>
      <x:c r="F241" s="54" t="n">
        <x:v>230</x:v>
      </x:c>
      <x:c r="G241" s="54" t="n">
        <x:f>ROUND(D241*0.97,0)</x:f>
        <x:v>146</x:v>
      </x:c>
      <x:c r="H241" s="52" t="n">
        <x:v>1.0124697224895234</x:v>
      </x:c>
      <x:c r="I241" s="54" t="n">
        <x:f>MIN(F241,ROUND(G241*H241,0))</x:f>
        <x:v>148</x:v>
      </x:c>
      <x:c r="J241" s="54" t="n">
        <x:f>Q236</x:f>
        <x:v>14</x:v>
      </x:c>
      <x:c r="K241" s="54" t="n">
        <x:f>I241+J241</x:f>
        <x:v>162</x:v>
      </x:c>
      <x:c r="L241" s="54" t="n">
        <x:f>MIN(E241,K241)</x:f>
        <x:v>153</x:v>
      </x:c>
      <x:c r="M241" s="54" t="n">
        <x:f>MAX(E241-K241,0)</x:f>
        <x:v>0</x:v>
      </x:c>
      <x:c r="N241" s="54" t="n">
        <x:f>MAX(K241-L241,0)</x:f>
        <x:v>9</x:v>
      </x:c>
      <x:c r="O241" s="52" t="n">
        <x:v>0.025</x:v>
      </x:c>
      <x:c r="P241" s="54" t="n">
        <x:f>MIN(N241,ROUND(N241*O241,0))</x:f>
        <x:v>0</x:v>
      </x:c>
      <x:c r="Q241" s="54" t="n">
        <x:f>N241-P241</x:f>
        <x:v>9</x:v>
      </x:c>
      <x:c r="R241" s="54" t="n">
        <x:v>30</x:v>
      </x:c>
      <x:c r="S241" s="54" t="n">
        <x:f>MIN(F241,MAX(0,ROUND(D241+R241-V241,0)))</x:f>
        <x:v>142</x:v>
      </x:c>
      <x:c r="T241" s="52" t="n">
        <x:v>1.006145887615392</x:v>
      </x:c>
      <x:c r="U241" s="54" t="n">
        <x:f>MIN(F241,MAX(0,ROUND(S241*T241,0)))</x:f>
        <x:v>143</x:v>
      </x:c>
      <x:c r="V241" s="54" t="n">
        <x:f>AB236</x:f>
        <x:v>38</x:v>
      </x:c>
      <x:c r="W241" s="54" t="n">
        <x:f>U241+V241</x:f>
        <x:v>181</x:v>
      </x:c>
      <x:c r="X241" s="54" t="n">
        <x:f>MIN(E241,W241)</x:f>
        <x:v>153</x:v>
      </x:c>
      <x:c r="Y241" s="54" t="n">
        <x:f>MAX(E241-W241,0)</x:f>
        <x:v>0</x:v>
      </x:c>
      <x:c r="Z241" s="54" t="n">
        <x:f>MAX(W241-X241,0)</x:f>
        <x:v>28</x:v>
      </x:c>
      <x:c r="AA241" s="54" t="n">
        <x:f>MIN(Z241,ROUND(Z241*O241,0))</x:f>
        <x:v>1</x:v>
      </x:c>
      <x:c r="AB241" s="54" t="n">
        <x:f>Z241-AA241</x:f>
        <x:v>27</x:v>
      </x:c>
      <x:c r="AC241" s="52" t="n">
        <x:f>IFERROR(ABS(E241-D241)/E241,0)</x:f>
        <x:v>0.0196078431372549</x:v>
      </x:c>
      <x:c r="AD241" s="52" t="n">
        <x:f>IFERROR(L241/E241,1)</x:f>
        <x:v>1</x:v>
      </x:c>
      <x:c r="AE241" s="52" t="n">
        <x:f>IFERROR(X241/E241,1)</x:f>
        <x:v>1</x:v>
      </x:c>
      <x:c r="AF241" s="52" t="n">
        <x:f>IFERROR(I241/F241,0)</x:f>
        <x:v>0.6434782608695652</x:v>
      </x:c>
      <x:c r="AG241" s="52" t="n">
        <x:f>IFERROR(U241/F241,0)</x:f>
        <x:v>0.6217391304347826</x:v>
      </x:c>
    </x:row>
    <x:row r="242">
      <x:c r="A242" s="50" t="n">
        <x:v>46210</x:v>
      </x:c>
      <x:c r="B242" s="48" t="str">
        <x:v>Toned Milk</x:v>
      </x:c>
      <x:c r="C242" s="48" t="n">
        <x:v>2</x:v>
      </x:c>
      <x:c r="D242" s="54" t="n">
        <x:v>1694</x:v>
      </x:c>
      <x:c r="E242" s="54" t="n">
        <x:v>1709</x:v>
      </x:c>
      <x:c r="F242" s="54" t="n">
        <x:v>2250</x:v>
      </x:c>
      <x:c r="G242" s="54" t="n">
        <x:f>ROUND(D242*0.97,0)</x:f>
        <x:v>1643</x:v>
      </x:c>
      <x:c r="H242" s="52" t="n">
        <x:v>1.009066598227807</x:v>
      </x:c>
      <x:c r="I242" s="54" t="n">
        <x:f>MIN(F242,ROUND(G242*H242,0))</x:f>
        <x:v>1658</x:v>
      </x:c>
      <x:c r="J242" s="54" t="n">
        <x:f>Q237</x:f>
        <x:v>642</x:v>
      </x:c>
      <x:c r="K242" s="54" t="n">
        <x:f>I242+J242</x:f>
        <x:v>2300</x:v>
      </x:c>
      <x:c r="L242" s="54" t="n">
        <x:f>MIN(E242,K242)</x:f>
        <x:v>1709</x:v>
      </x:c>
      <x:c r="M242" s="54" t="n">
        <x:f>MAX(E242-K242,0)</x:f>
        <x:v>0</x:v>
      </x:c>
      <x:c r="N242" s="54" t="n">
        <x:f>MAX(K242-L242,0)</x:f>
        <x:v>591</x:v>
      </x:c>
      <x:c r="O242" s="52" t="n">
        <x:v>0.025</x:v>
      </x:c>
      <x:c r="P242" s="54" t="n">
        <x:f>MIN(N242,ROUND(N242*O242,0))</x:f>
        <x:v>15</x:v>
      </x:c>
      <x:c r="Q242" s="54" t="n">
        <x:f>N242-P242</x:f>
        <x:v>576</x:v>
      </x:c>
      <x:c r="R242" s="54" t="n">
        <x:v>203</x:v>
      </x:c>
      <x:c r="S242" s="54" t="n">
        <x:f>MIN(F242,MAX(0,ROUND(D242+R242-V242,0)))</x:f>
        <x:v>1574</x:v>
      </x:c>
      <x:c r="T242" s="52" t="n">
        <x:v>0.9825924278587749</x:v>
      </x:c>
      <x:c r="U242" s="54" t="n">
        <x:f>MIN(F242,MAX(0,ROUND(S242*T242,0)))</x:f>
        <x:v>1547</x:v>
      </x:c>
      <x:c r="V242" s="54" t="n">
        <x:f>AB237</x:f>
        <x:v>323</x:v>
      </x:c>
      <x:c r="W242" s="54" t="n">
        <x:f>U242+V242</x:f>
        <x:v>1870</x:v>
      </x:c>
      <x:c r="X242" s="54" t="n">
        <x:f>MIN(E242,W242)</x:f>
        <x:v>1709</x:v>
      </x:c>
      <x:c r="Y242" s="54" t="n">
        <x:f>MAX(E242-W242,0)</x:f>
        <x:v>0</x:v>
      </x:c>
      <x:c r="Z242" s="54" t="n">
        <x:f>MAX(W242-X242,0)</x:f>
        <x:v>161</x:v>
      </x:c>
      <x:c r="AA242" s="54" t="n">
        <x:f>MIN(Z242,ROUND(Z242*O242,0))</x:f>
        <x:v>4</x:v>
      </x:c>
      <x:c r="AB242" s="54" t="n">
        <x:f>Z242-AA242</x:f>
        <x:v>157</x:v>
      </x:c>
      <x:c r="AC242" s="52" t="n">
        <x:f>IFERROR(ABS(E242-D242)/E242,0)</x:f>
        <x:v>0.008777062609713282</x:v>
      </x:c>
      <x:c r="AD242" s="52" t="n">
        <x:f>IFERROR(L242/E242,1)</x:f>
        <x:v>1</x:v>
      </x:c>
      <x:c r="AE242" s="52" t="n">
        <x:f>IFERROR(X242/E242,1)</x:f>
        <x:v>1</x:v>
      </x:c>
      <x:c r="AF242" s="52" t="n">
        <x:f>IFERROR(I242/F242,0)</x:f>
        <x:v>0.7368888888888889</x:v>
      </x:c>
      <x:c r="AG242" s="52" t="n">
        <x:f>IFERROR(U242/F242,0)</x:f>
        <x:v>0.6875555555555556</x:v>
      </x:c>
    </x:row>
    <x:row r="243">
      <x:c r="A243" s="50" t="n">
        <x:v>46210</x:v>
      </x:c>
      <x:c r="B243" s="48" t="str">
        <x:v>Full Cream Milk</x:v>
      </x:c>
      <x:c r="C243" s="48" t="n">
        <x:v>2</x:v>
      </x:c>
      <x:c r="D243" s="54" t="n">
        <x:v>847</x:v>
      </x:c>
      <x:c r="E243" s="54" t="n">
        <x:v>945</x:v>
      </x:c>
      <x:c r="F243" s="54" t="n">
        <x:v>1200</x:v>
      </x:c>
      <x:c r="G243" s="54" t="n">
        <x:f>ROUND(D243*0.97,0)</x:f>
        <x:v>822</x:v>
      </x:c>
      <x:c r="H243" s="52" t="n">
        <x:v>1.0122105127725014</x:v>
      </x:c>
      <x:c r="I243" s="54" t="n">
        <x:f>MIN(F243,ROUND(G243*H243,0))</x:f>
        <x:v>832</x:v>
      </x:c>
      <x:c r="J243" s="54" t="n">
        <x:f>Q238</x:f>
        <x:v>0</x:v>
      </x:c>
      <x:c r="K243" s="54" t="n">
        <x:f>I243+J243</x:f>
        <x:v>832</x:v>
      </x:c>
      <x:c r="L243" s="54" t="n">
        <x:f>MIN(E243,K243)</x:f>
        <x:v>832</x:v>
      </x:c>
      <x:c r="M243" s="54" t="n">
        <x:f>MAX(E243-K243,0)</x:f>
        <x:v>113</x:v>
      </x:c>
      <x:c r="N243" s="54" t="n">
        <x:f>MAX(K243-L243,0)</x:f>
        <x:v>0</x:v>
      </x:c>
      <x:c r="O243" s="52" t="n">
        <x:v>0.03</x:v>
      </x:c>
      <x:c r="P243" s="54" t="n">
        <x:f>MIN(N243,ROUND(N243*O243,0))</x:f>
        <x:v>0</x:v>
      </x:c>
      <x:c r="Q243" s="54" t="n">
        <x:f>N243-P243</x:f>
        <x:v>0</x:v>
      </x:c>
      <x:c r="R243" s="54" t="n">
        <x:v>102</x:v>
      </x:c>
      <x:c r="S243" s="54" t="n">
        <x:f>MIN(F243,MAX(0,ROUND(D243+R243-V243,0)))</x:f>
        <x:v>870</x:v>
      </x:c>
      <x:c r="T243" s="52" t="n">
        <x:v>1.0093672515192182</x:v>
      </x:c>
      <x:c r="U243" s="54" t="n">
        <x:f>MIN(F243,MAX(0,ROUND(S243*T243,0)))</x:f>
        <x:v>878</x:v>
      </x:c>
      <x:c r="V243" s="54" t="n">
        <x:f>AB238</x:f>
        <x:v>79</x:v>
      </x:c>
      <x:c r="W243" s="54" t="n">
        <x:f>U243+V243</x:f>
        <x:v>957</x:v>
      </x:c>
      <x:c r="X243" s="54" t="n">
        <x:f>MIN(E243,W243)</x:f>
        <x:v>945</x:v>
      </x:c>
      <x:c r="Y243" s="54" t="n">
        <x:f>MAX(E243-W243,0)</x:f>
        <x:v>0</x:v>
      </x:c>
      <x:c r="Z243" s="54" t="n">
        <x:f>MAX(W243-X243,0)</x:f>
        <x:v>12</x:v>
      </x:c>
      <x:c r="AA243" s="54" t="n">
        <x:f>MIN(Z243,ROUND(Z243*O243,0))</x:f>
        <x:v>0</x:v>
      </x:c>
      <x:c r="AB243" s="54" t="n">
        <x:f>Z243-AA243</x:f>
        <x:v>12</x:v>
      </x:c>
      <x:c r="AC243" s="52" t="n">
        <x:f>IFERROR(ABS(E243-D243)/E243,0)</x:f>
        <x:v>0.1037037037037037</x:v>
      </x:c>
      <x:c r="AD243" s="52" t="n">
        <x:f>IFERROR(L243/E243,1)</x:f>
        <x:v>0.8804232804232804</x:v>
      </x:c>
      <x:c r="AE243" s="52" t="n">
        <x:f>IFERROR(X243/E243,1)</x:f>
        <x:v>1</x:v>
      </x:c>
      <x:c r="AF243" s="52" t="n">
        <x:f>IFERROR(I243/F243,0)</x:f>
        <x:v>0.6933333333333334</x:v>
      </x:c>
      <x:c r="AG243" s="52" t="n">
        <x:f>IFERROR(U243/F243,0)</x:f>
        <x:v>0.7316666666666667</x:v>
      </x:c>
    </x:row>
    <x:row r="244">
      <x:c r="A244" s="50" t="n">
        <x:v>46210</x:v>
      </x:c>
      <x:c r="B244" s="48" t="str">
        <x:v>Curd</x:v>
      </x:c>
      <x:c r="C244" s="48" t="n">
        <x:v>7</x:v>
      </x:c>
      <x:c r="D244" s="54" t="n">
        <x:v>488</x:v>
      </x:c>
      <x:c r="E244" s="54" t="n">
        <x:v>569</x:v>
      </x:c>
      <x:c r="F244" s="54" t="n">
        <x:v>700</x:v>
      </x:c>
      <x:c r="G244" s="54" t="n">
        <x:f>ROUND(D244*0.97,0)</x:f>
        <x:v>473</x:v>
      </x:c>
      <x:c r="H244" s="52" t="n">
        <x:v>0.9836910161600274</x:v>
      </x:c>
      <x:c r="I244" s="54" t="n">
        <x:f>MIN(F244,ROUND(G244*H244,0))</x:f>
        <x:v>465</x:v>
      </x:c>
      <x:c r="J244" s="54" t="n">
        <x:f>Q239</x:f>
        <x:v>28</x:v>
      </x:c>
      <x:c r="K244" s="54" t="n">
        <x:f>I244+J244</x:f>
        <x:v>493</x:v>
      </x:c>
      <x:c r="L244" s="54" t="n">
        <x:f>MIN(E244,K244)</x:f>
        <x:v>493</x:v>
      </x:c>
      <x:c r="M244" s="54" t="n">
        <x:f>MAX(E244-K244,0)</x:f>
        <x:v>76</x:v>
      </x:c>
      <x:c r="N244" s="54" t="n">
        <x:f>MAX(K244-L244,0)</x:f>
        <x:v>0</x:v>
      </x:c>
      <x:c r="O244" s="52" t="n">
        <x:v>0.018</x:v>
      </x:c>
      <x:c r="P244" s="54" t="n">
        <x:f>MIN(N244,ROUND(N244*O244,0))</x:f>
        <x:v>0</x:v>
      </x:c>
      <x:c r="Q244" s="54" t="n">
        <x:f>N244-P244</x:f>
        <x:v>0</x:v>
      </x:c>
      <x:c r="R244" s="54" t="n">
        <x:v>88</x:v>
      </x:c>
      <x:c r="S244" s="54" t="n">
        <x:f>MIN(F244,MAX(0,ROUND(D244+R244-V244,0)))</x:f>
        <x:v>501</x:v>
      </x:c>
      <x:c r="T244" s="52" t="n">
        <x:v>1.019135331075461</x:v>
      </x:c>
      <x:c r="U244" s="54" t="n">
        <x:f>MIN(F244,MAX(0,ROUND(S244*T244,0)))</x:f>
        <x:v>511</x:v>
      </x:c>
      <x:c r="V244" s="54" t="n">
        <x:f>AB239</x:f>
        <x:v>75</x:v>
      </x:c>
      <x:c r="W244" s="54" t="n">
        <x:f>U244+V244</x:f>
        <x:v>586</x:v>
      </x:c>
      <x:c r="X244" s="54" t="n">
        <x:f>MIN(E244,W244)</x:f>
        <x:v>569</x:v>
      </x:c>
      <x:c r="Y244" s="54" t="n">
        <x:f>MAX(E244-W244,0)</x:f>
        <x:v>0</x:v>
      </x:c>
      <x:c r="Z244" s="54" t="n">
        <x:f>MAX(W244-X244,0)</x:f>
        <x:v>17</x:v>
      </x:c>
      <x:c r="AA244" s="54" t="n">
        <x:f>MIN(Z244,ROUND(Z244*O244,0))</x:f>
        <x:v>0</x:v>
      </x:c>
      <x:c r="AB244" s="54" t="n">
        <x:f>Z244-AA244</x:f>
        <x:v>17</x:v>
      </x:c>
      <x:c r="AC244" s="52" t="n">
        <x:f>IFERROR(ABS(E244-D244)/E244,0)</x:f>
        <x:v>0.14235500878734622</x:v>
      </x:c>
      <x:c r="AD244" s="52" t="n">
        <x:f>IFERROR(L244/E244,1)</x:f>
        <x:v>0.8664323374340949</x:v>
      </x:c>
      <x:c r="AE244" s="52" t="n">
        <x:f>IFERROR(X244/E244,1)</x:f>
        <x:v>1</x:v>
      </x:c>
      <x:c r="AF244" s="52" t="n">
        <x:f>IFERROR(I244/F244,0)</x:f>
        <x:v>0.6642857142857143</x:v>
      </x:c>
      <x:c r="AG244" s="52" t="n">
        <x:f>IFERROR(U244/F244,0)</x:f>
        <x:v>0.73</x:v>
      </x:c>
    </x:row>
    <x:row r="245">
      <x:c r="A245" s="50" t="n">
        <x:v>46210</x:v>
      </x:c>
      <x:c r="B245" s="48" t="str">
        <x:v>Lassi</x:v>
      </x:c>
      <x:c r="C245" s="48" t="n">
        <x:v>7</x:v>
      </x:c>
      <x:c r="D245" s="54" t="n">
        <x:v>382</x:v>
      </x:c>
      <x:c r="E245" s="54" t="n">
        <x:v>439</x:v>
      </x:c>
      <x:c r="F245" s="54" t="n">
        <x:v>560</x:v>
      </x:c>
      <x:c r="G245" s="54" t="n">
        <x:f>ROUND(D245*0.97,0)</x:f>
        <x:v>371</x:v>
      </x:c>
      <x:c r="H245" s="52" t="n">
        <x:v>1.0162014333412468</x:v>
      </x:c>
      <x:c r="I245" s="54" t="n">
        <x:f>MIN(F245,ROUND(G245*H245,0))</x:f>
        <x:v>377</x:v>
      </x:c>
      <x:c r="J245" s="54" t="n">
        <x:f>Q240</x:f>
        <x:v>0</x:v>
      </x:c>
      <x:c r="K245" s="54" t="n">
        <x:f>I245+J245</x:f>
        <x:v>377</x:v>
      </x:c>
      <x:c r="L245" s="54" t="n">
        <x:f>MIN(E245,K245)</x:f>
        <x:v>377</x:v>
      </x:c>
      <x:c r="M245" s="54" t="n">
        <x:f>MAX(E245-K245,0)</x:f>
        <x:v>62</x:v>
      </x:c>
      <x:c r="N245" s="54" t="n">
        <x:f>MAX(K245-L245,0)</x:f>
        <x:v>0</x:v>
      </x:c>
      <x:c r="O245" s="52" t="n">
        <x:v>0.02</x:v>
      </x:c>
      <x:c r="P245" s="54" t="n">
        <x:f>MIN(N245,ROUND(N245*O245,0))</x:f>
        <x:v>0</x:v>
      </x:c>
      <x:c r="Q245" s="54" t="n">
        <x:f>N245-P245</x:f>
        <x:v>0</x:v>
      </x:c>
      <x:c r="R245" s="54" t="n">
        <x:v>69</x:v>
      </x:c>
      <x:c r="S245" s="54" t="n">
        <x:f>MIN(F245,MAX(0,ROUND(D245+R245-V245,0)))</x:f>
        <x:v>440</x:v>
      </x:c>
      <x:c r="T245" s="52" t="n">
        <x:v>0.9881686725910053</x:v>
      </x:c>
      <x:c r="U245" s="54" t="n">
        <x:f>MIN(F245,MAX(0,ROUND(S245*T245,0)))</x:f>
        <x:v>435</x:v>
      </x:c>
      <x:c r="V245" s="54" t="n">
        <x:f>AB240</x:f>
        <x:v>11</x:v>
      </x:c>
      <x:c r="W245" s="54" t="n">
        <x:f>U245+V245</x:f>
        <x:v>446</x:v>
      </x:c>
      <x:c r="X245" s="54" t="n">
        <x:f>MIN(E245,W245)</x:f>
        <x:v>439</x:v>
      </x:c>
      <x:c r="Y245" s="54" t="n">
        <x:f>MAX(E245-W245,0)</x:f>
        <x:v>0</x:v>
      </x:c>
      <x:c r="Z245" s="54" t="n">
        <x:f>MAX(W245-X245,0)</x:f>
        <x:v>7</x:v>
      </x:c>
      <x:c r="AA245" s="54" t="n">
        <x:f>MIN(Z245,ROUND(Z245*O245,0))</x:f>
        <x:v>0</x:v>
      </x:c>
      <x:c r="AB245" s="54" t="n">
        <x:f>Z245-AA245</x:f>
        <x:v>7</x:v>
      </x:c>
      <x:c r="AC245" s="52" t="n">
        <x:f>IFERROR(ABS(E245-D245)/E245,0)</x:f>
        <x:v>0.12984054669703873</x:v>
      </x:c>
      <x:c r="AD245" s="52" t="n">
        <x:f>IFERROR(L245/E245,1)</x:f>
        <x:v>0.8587699316628702</x:v>
      </x:c>
      <x:c r="AE245" s="52" t="n">
        <x:f>IFERROR(X245/E245,1)</x:f>
        <x:v>1</x:v>
      </x:c>
      <x:c r="AF245" s="52" t="n">
        <x:f>IFERROR(I245/F245,0)</x:f>
        <x:v>0.6732142857142858</x:v>
      </x:c>
      <x:c r="AG245" s="52" t="n">
        <x:f>IFERROR(U245/F245,0)</x:f>
        <x:v>0.7767857142857143</x:v>
      </x:c>
    </x:row>
    <x:row r="246">
      <x:c r="A246" s="50" t="n">
        <x:v>46210</x:v>
      </x:c>
      <x:c r="B246" s="48" t="str">
        <x:v>Paneer</x:v>
      </x:c>
      <x:c r="C246" s="48" t="n">
        <x:v>5</x:v>
      </x:c>
      <x:c r="D246" s="54" t="n">
        <x:v>155</x:v>
      </x:c>
      <x:c r="E246" s="54" t="n">
        <x:v>172</x:v>
      </x:c>
      <x:c r="F246" s="54" t="n">
        <x:v>230</x:v>
      </x:c>
      <x:c r="G246" s="54" t="n">
        <x:f>ROUND(D246*0.97,0)</x:f>
        <x:v>150</x:v>
      </x:c>
      <x:c r="H246" s="52" t="n">
        <x:v>0.9981894181490462</x:v>
      </x:c>
      <x:c r="I246" s="54" t="n">
        <x:f>MIN(F246,ROUND(G246*H246,0))</x:f>
        <x:v>150</x:v>
      </x:c>
      <x:c r="J246" s="54" t="n">
        <x:f>Q241</x:f>
        <x:v>9</x:v>
      </x:c>
      <x:c r="K246" s="54" t="n">
        <x:f>I246+J246</x:f>
        <x:v>159</x:v>
      </x:c>
      <x:c r="L246" s="54" t="n">
        <x:f>MIN(E246,K246)</x:f>
        <x:v>159</x:v>
      </x:c>
      <x:c r="M246" s="54" t="n">
        <x:f>MAX(E246-K246,0)</x:f>
        <x:v>13</x:v>
      </x:c>
      <x:c r="N246" s="54" t="n">
        <x:f>MAX(K246-L246,0)</x:f>
        <x:v>0</x:v>
      </x:c>
      <x:c r="O246" s="52" t="n">
        <x:v>0.025</x:v>
      </x:c>
      <x:c r="P246" s="54" t="n">
        <x:f>MIN(N246,ROUND(N246*O246,0))</x:f>
        <x:v>0</x:v>
      </x:c>
      <x:c r="Q246" s="54" t="n">
        <x:f>N246-P246</x:f>
        <x:v>0</x:v>
      </x:c>
      <x:c r="R246" s="54" t="n">
        <x:v>31</x:v>
      </x:c>
      <x:c r="S246" s="54" t="n">
        <x:f>MIN(F246,MAX(0,ROUND(D246+R246-V246,0)))</x:f>
        <x:v>159</x:v>
      </x:c>
      <x:c r="T246" s="52" t="n">
        <x:v>1.0016116791276588</x:v>
      </x:c>
      <x:c r="U246" s="54" t="n">
        <x:f>MIN(F246,MAX(0,ROUND(S246*T246,0)))</x:f>
        <x:v>159</x:v>
      </x:c>
      <x:c r="V246" s="54" t="n">
        <x:f>AB241</x:f>
        <x:v>27</x:v>
      </x:c>
      <x:c r="W246" s="54" t="n">
        <x:f>U246+V246</x:f>
        <x:v>186</x:v>
      </x:c>
      <x:c r="X246" s="54" t="n">
        <x:f>MIN(E246,W246)</x:f>
        <x:v>172</x:v>
      </x:c>
      <x:c r="Y246" s="54" t="n">
        <x:f>MAX(E246-W246,0)</x:f>
        <x:v>0</x:v>
      </x:c>
      <x:c r="Z246" s="54" t="n">
        <x:f>MAX(W246-X246,0)</x:f>
        <x:v>14</x:v>
      </x:c>
      <x:c r="AA246" s="54" t="n">
        <x:f>MIN(Z246,ROUND(Z246*O246,0))</x:f>
        <x:v>0</x:v>
      </x:c>
      <x:c r="AB246" s="54" t="n">
        <x:f>Z246-AA246</x:f>
        <x:v>14</x:v>
      </x:c>
      <x:c r="AC246" s="52" t="n">
        <x:f>IFERROR(ABS(E246-D246)/E246,0)</x:f>
        <x:v>0.09883720930232558</x:v>
      </x:c>
      <x:c r="AD246" s="52" t="n">
        <x:f>IFERROR(L246/E246,1)</x:f>
        <x:v>0.9244186046511628</x:v>
      </x:c>
      <x:c r="AE246" s="52" t="n">
        <x:f>IFERROR(X246/E246,1)</x:f>
        <x:v>1</x:v>
      </x:c>
      <x:c r="AF246" s="52" t="n">
        <x:f>IFERROR(I246/F246,0)</x:f>
        <x:v>0.6521739130434783</x:v>
      </x:c>
      <x:c r="AG246" s="52" t="n">
        <x:f>IFERROR(U246/F246,0)</x:f>
        <x:v>0.691304347826087</x:v>
      </x:c>
    </x:row>
    <x:row r="247">
      <x:c r="A247" s="50" t="n">
        <x:v>46211</x:v>
      </x:c>
      <x:c r="B247" s="48" t="str">
        <x:v>Toned Milk</x:v>
      </x:c>
      <x:c r="C247" s="48" t="n">
        <x:v>2</x:v>
      </x:c>
      <x:c r="D247" s="54" t="n">
        <x:v>1712</x:v>
      </x:c>
      <x:c r="E247" s="54" t="n">
        <x:v>1967</x:v>
      </x:c>
      <x:c r="F247" s="54" t="n">
        <x:v>2250</x:v>
      </x:c>
      <x:c r="G247" s="54" t="n">
        <x:f>ROUND(D247*0.97,0)</x:f>
        <x:v>1661</x:v>
      </x:c>
      <x:c r="H247" s="52" t="n">
        <x:v>1.0004954838189353</x:v>
      </x:c>
      <x:c r="I247" s="54" t="n">
        <x:f>MIN(F247,ROUND(G247*H247,0))</x:f>
        <x:v>1662</x:v>
      </x:c>
      <x:c r="J247" s="54" t="n">
        <x:f>Q242</x:f>
        <x:v>576</x:v>
      </x:c>
      <x:c r="K247" s="54" t="n">
        <x:f>I247+J247</x:f>
        <x:v>2238</x:v>
      </x:c>
      <x:c r="L247" s="54" t="n">
        <x:f>MIN(E247,K247)</x:f>
        <x:v>1967</x:v>
      </x:c>
      <x:c r="M247" s="54" t="n">
        <x:f>MAX(E247-K247,0)</x:f>
        <x:v>0</x:v>
      </x:c>
      <x:c r="N247" s="54" t="n">
        <x:f>MAX(K247-L247,0)</x:f>
        <x:v>271</x:v>
      </x:c>
      <x:c r="O247" s="52" t="n">
        <x:v>0.025</x:v>
      </x:c>
      <x:c r="P247" s="54" t="n">
        <x:f>MIN(N247,ROUND(N247*O247,0))</x:f>
        <x:v>7</x:v>
      </x:c>
      <x:c r="Q247" s="54" t="n">
        <x:f>N247-P247</x:f>
        <x:v>264</x:v>
      </x:c>
      <x:c r="R247" s="54" t="n">
        <x:v>205</x:v>
      </x:c>
      <x:c r="S247" s="54" t="n">
        <x:f>MIN(F247,MAX(0,ROUND(D247+R247-V247,0)))</x:f>
        <x:v>1760</x:v>
      </x:c>
      <x:c r="T247" s="52" t="n">
        <x:v>1.0099780735899446</x:v>
      </x:c>
      <x:c r="U247" s="54" t="n">
        <x:f>MIN(F247,MAX(0,ROUND(S247*T247,0)))</x:f>
        <x:v>1778</x:v>
      </x:c>
      <x:c r="V247" s="54" t="n">
        <x:f>AB242</x:f>
        <x:v>157</x:v>
      </x:c>
      <x:c r="W247" s="54" t="n">
        <x:f>U247+V247</x:f>
        <x:v>1935</x:v>
      </x:c>
      <x:c r="X247" s="54" t="n">
        <x:f>MIN(E247,W247)</x:f>
        <x:v>1935</x:v>
      </x:c>
      <x:c r="Y247" s="54" t="n">
        <x:f>MAX(E247-W247,0)</x:f>
        <x:v>32</x:v>
      </x:c>
      <x:c r="Z247" s="54" t="n">
        <x:f>MAX(W247-X247,0)</x:f>
        <x:v>0</x:v>
      </x:c>
      <x:c r="AA247" s="54" t="n">
        <x:f>MIN(Z247,ROUND(Z247*O247,0))</x:f>
        <x:v>0</x:v>
      </x:c>
      <x:c r="AB247" s="54" t="n">
        <x:f>Z247-AA247</x:f>
        <x:v>0</x:v>
      </x:c>
      <x:c r="AC247" s="52" t="n">
        <x:f>IFERROR(ABS(E247-D247)/E247,0)</x:f>
        <x:v>0.12963904422979156</x:v>
      </x:c>
      <x:c r="AD247" s="52" t="n">
        <x:f>IFERROR(L247/E247,1)</x:f>
        <x:v>1</x:v>
      </x:c>
      <x:c r="AE247" s="52" t="n">
        <x:f>IFERROR(X247/E247,1)</x:f>
        <x:v>0.983731570920183</x:v>
      </x:c>
      <x:c r="AF247" s="52" t="n">
        <x:f>IFERROR(I247/F247,0)</x:f>
        <x:v>0.7386666666666667</x:v>
      </x:c>
      <x:c r="AG247" s="52" t="n">
        <x:f>IFERROR(U247/F247,0)</x:f>
        <x:v>0.7902222222222223</x:v>
      </x:c>
    </x:row>
    <x:row r="248">
      <x:c r="A248" s="50" t="n">
        <x:v>46211</x:v>
      </x:c>
      <x:c r="B248" s="48" t="str">
        <x:v>Full Cream Milk</x:v>
      </x:c>
      <x:c r="C248" s="48" t="n">
        <x:v>2</x:v>
      </x:c>
      <x:c r="D248" s="54" t="n">
        <x:v>856</x:v>
      </x:c>
      <x:c r="E248" s="54" t="n">
        <x:v>883</x:v>
      </x:c>
      <x:c r="F248" s="54" t="n">
        <x:v>1200</x:v>
      </x:c>
      <x:c r="G248" s="54" t="n">
        <x:f>ROUND(D248*0.97,0)</x:f>
        <x:v>830</x:v>
      </x:c>
      <x:c r="H248" s="52" t="n">
        <x:v>1.0101213456865341</x:v>
      </x:c>
      <x:c r="I248" s="54" t="n">
        <x:f>MIN(F248,ROUND(G248*H248,0))</x:f>
        <x:v>838</x:v>
      </x:c>
      <x:c r="J248" s="54" t="n">
        <x:f>Q243</x:f>
        <x:v>0</x:v>
      </x:c>
      <x:c r="K248" s="54" t="n">
        <x:f>I248+J248</x:f>
        <x:v>838</x:v>
      </x:c>
      <x:c r="L248" s="54" t="n">
        <x:f>MIN(E248,K248)</x:f>
        <x:v>838</x:v>
      </x:c>
      <x:c r="M248" s="54" t="n">
        <x:f>MAX(E248-K248,0)</x:f>
        <x:v>45</x:v>
      </x:c>
      <x:c r="N248" s="54" t="n">
        <x:f>MAX(K248-L248,0)</x:f>
        <x:v>0</x:v>
      </x:c>
      <x:c r="O248" s="52" t="n">
        <x:v>0.03</x:v>
      </x:c>
      <x:c r="P248" s="54" t="n">
        <x:f>MIN(N248,ROUND(N248*O248,0))</x:f>
        <x:v>0</x:v>
      </x:c>
      <x:c r="Q248" s="54" t="n">
        <x:f>N248-P248</x:f>
        <x:v>0</x:v>
      </x:c>
      <x:c r="R248" s="54" t="n">
        <x:v>103</x:v>
      </x:c>
      <x:c r="S248" s="54" t="n">
        <x:f>MIN(F248,MAX(0,ROUND(D248+R248-V248,0)))</x:f>
        <x:v>947</x:v>
      </x:c>
      <x:c r="T248" s="52" t="n">
        <x:v>1.0044144819021417</x:v>
      </x:c>
      <x:c r="U248" s="54" t="n">
        <x:f>MIN(F248,MAX(0,ROUND(S248*T248,0)))</x:f>
        <x:v>951</x:v>
      </x:c>
      <x:c r="V248" s="54" t="n">
        <x:f>AB243</x:f>
        <x:v>12</x:v>
      </x:c>
      <x:c r="W248" s="54" t="n">
        <x:f>U248+V248</x:f>
        <x:v>963</x:v>
      </x:c>
      <x:c r="X248" s="54" t="n">
        <x:f>MIN(E248,W248)</x:f>
        <x:v>883</x:v>
      </x:c>
      <x:c r="Y248" s="54" t="n">
        <x:f>MAX(E248-W248,0)</x:f>
        <x:v>0</x:v>
      </x:c>
      <x:c r="Z248" s="54" t="n">
        <x:f>MAX(W248-X248,0)</x:f>
        <x:v>80</x:v>
      </x:c>
      <x:c r="AA248" s="54" t="n">
        <x:f>MIN(Z248,ROUND(Z248*O248,0))</x:f>
        <x:v>2</x:v>
      </x:c>
      <x:c r="AB248" s="54" t="n">
        <x:f>Z248-AA248</x:f>
        <x:v>78</x:v>
      </x:c>
      <x:c r="AC248" s="52" t="n">
        <x:f>IFERROR(ABS(E248-D248)/E248,0)</x:f>
        <x:v>0.030577576443941108</x:v>
      </x:c>
      <x:c r="AD248" s="52" t="n">
        <x:f>IFERROR(L248/E248,1)</x:f>
        <x:v>0.9490373725934315</x:v>
      </x:c>
      <x:c r="AE248" s="52" t="n">
        <x:f>IFERROR(X248/E248,1)</x:f>
        <x:v>1</x:v>
      </x:c>
      <x:c r="AF248" s="52" t="n">
        <x:f>IFERROR(I248/F248,0)</x:f>
        <x:v>0.6983333333333334</x:v>
      </x:c>
      <x:c r="AG248" s="52" t="n">
        <x:f>IFERROR(U248/F248,0)</x:f>
        <x:v>0.7925</x:v>
      </x:c>
    </x:row>
    <x:row r="249">
      <x:c r="A249" s="50" t="n">
        <x:v>46211</x:v>
      </x:c>
      <x:c r="B249" s="48" t="str">
        <x:v>Curd</x:v>
      </x:c>
      <x:c r="C249" s="48" t="n">
        <x:v>7</x:v>
      </x:c>
      <x:c r="D249" s="54" t="n">
        <x:v>498</x:v>
      </x:c>
      <x:c r="E249" s="54" t="n">
        <x:v>449</x:v>
      </x:c>
      <x:c r="F249" s="54" t="n">
        <x:v>700</x:v>
      </x:c>
      <x:c r="G249" s="54" t="n">
        <x:f>ROUND(D249*0.97,0)</x:f>
        <x:v>483</x:v>
      </x:c>
      <x:c r="H249" s="52" t="n">
        <x:v>0.9822691247846133</x:v>
      </x:c>
      <x:c r="I249" s="54" t="n">
        <x:f>MIN(F249,ROUND(G249*H249,0))</x:f>
        <x:v>474</x:v>
      </x:c>
      <x:c r="J249" s="54" t="n">
        <x:f>Q244</x:f>
        <x:v>0</x:v>
      </x:c>
      <x:c r="K249" s="54" t="n">
        <x:f>I249+J249</x:f>
        <x:v>474</x:v>
      </x:c>
      <x:c r="L249" s="54" t="n">
        <x:f>MIN(E249,K249)</x:f>
        <x:v>449</x:v>
      </x:c>
      <x:c r="M249" s="54" t="n">
        <x:f>MAX(E249-K249,0)</x:f>
        <x:v>0</x:v>
      </x:c>
      <x:c r="N249" s="54" t="n">
        <x:f>MAX(K249-L249,0)</x:f>
        <x:v>25</x:v>
      </x:c>
      <x:c r="O249" s="52" t="n">
        <x:v>0.018</x:v>
      </x:c>
      <x:c r="P249" s="54" t="n">
        <x:f>MIN(N249,ROUND(N249*O249,0))</x:f>
        <x:v>0</x:v>
      </x:c>
      <x:c r="Q249" s="54" t="n">
        <x:f>N249-P249</x:f>
        <x:v>25</x:v>
      </x:c>
      <x:c r="R249" s="54" t="n">
        <x:v>90</x:v>
      </x:c>
      <x:c r="S249" s="54" t="n">
        <x:f>MIN(F249,MAX(0,ROUND(D249+R249-V249,0)))</x:f>
        <x:v>571</x:v>
      </x:c>
      <x:c r="T249" s="52" t="n">
        <x:v>1.0002782195428916</x:v>
      </x:c>
      <x:c r="U249" s="54" t="n">
        <x:f>MIN(F249,MAX(0,ROUND(S249*T249,0)))</x:f>
        <x:v>571</x:v>
      </x:c>
      <x:c r="V249" s="54" t="n">
        <x:f>AB244</x:f>
        <x:v>17</x:v>
      </x:c>
      <x:c r="W249" s="54" t="n">
        <x:f>U249+V249</x:f>
        <x:v>588</x:v>
      </x:c>
      <x:c r="X249" s="54" t="n">
        <x:f>MIN(E249,W249)</x:f>
        <x:v>449</x:v>
      </x:c>
      <x:c r="Y249" s="54" t="n">
        <x:f>MAX(E249-W249,0)</x:f>
        <x:v>0</x:v>
      </x:c>
      <x:c r="Z249" s="54" t="n">
        <x:f>MAX(W249-X249,0)</x:f>
        <x:v>139</x:v>
      </x:c>
      <x:c r="AA249" s="54" t="n">
        <x:f>MIN(Z249,ROUND(Z249*O249,0))</x:f>
        <x:v>3</x:v>
      </x:c>
      <x:c r="AB249" s="54" t="n">
        <x:f>Z249-AA249</x:f>
        <x:v>136</x:v>
      </x:c>
      <x:c r="AC249" s="52" t="n">
        <x:f>IFERROR(ABS(E249-D249)/E249,0)</x:f>
        <x:v>0.1091314031180401</x:v>
      </x:c>
      <x:c r="AD249" s="52" t="n">
        <x:f>IFERROR(L249/E249,1)</x:f>
        <x:v>1</x:v>
      </x:c>
      <x:c r="AE249" s="52" t="n">
        <x:f>IFERROR(X249/E249,1)</x:f>
        <x:v>1</x:v>
      </x:c>
      <x:c r="AF249" s="52" t="n">
        <x:f>IFERROR(I249/F249,0)</x:f>
        <x:v>0.6771428571428572</x:v>
      </x:c>
      <x:c r="AG249" s="52" t="n">
        <x:f>IFERROR(U249/F249,0)</x:f>
        <x:v>0.8157142857142857</x:v>
      </x:c>
    </x:row>
    <x:row r="250">
      <x:c r="A250" s="50" t="n">
        <x:v>46211</x:v>
      </x:c>
      <x:c r="B250" s="48" t="str">
        <x:v>Lassi</x:v>
      </x:c>
      <x:c r="C250" s="48" t="n">
        <x:v>7</x:v>
      </x:c>
      <x:c r="D250" s="54" t="n">
        <x:v>399</x:v>
      </x:c>
      <x:c r="E250" s="54" t="n">
        <x:v>453</x:v>
      </x:c>
      <x:c r="F250" s="54" t="n">
        <x:v>560</x:v>
      </x:c>
      <x:c r="G250" s="54" t="n">
        <x:f>ROUND(D250*0.97,0)</x:f>
        <x:v>387</x:v>
      </x:c>
      <x:c r="H250" s="52" t="n">
        <x:v>0.9933313445666352</x:v>
      </x:c>
      <x:c r="I250" s="54" t="n">
        <x:f>MIN(F250,ROUND(G250*H250,0))</x:f>
        <x:v>384</x:v>
      </x:c>
      <x:c r="J250" s="54" t="n">
        <x:f>Q245</x:f>
        <x:v>0</x:v>
      </x:c>
      <x:c r="K250" s="54" t="n">
        <x:f>I250+J250</x:f>
        <x:v>384</x:v>
      </x:c>
      <x:c r="L250" s="54" t="n">
        <x:f>MIN(E250,K250)</x:f>
        <x:v>384</x:v>
      </x:c>
      <x:c r="M250" s="54" t="n">
        <x:f>MAX(E250-K250,0)</x:f>
        <x:v>69</x:v>
      </x:c>
      <x:c r="N250" s="54" t="n">
        <x:f>MAX(K250-L250,0)</x:f>
        <x:v>0</x:v>
      </x:c>
      <x:c r="O250" s="52" t="n">
        <x:v>0.02</x:v>
      </x:c>
      <x:c r="P250" s="54" t="n">
        <x:f>MIN(N250,ROUND(N250*O250,0))</x:f>
        <x:v>0</x:v>
      </x:c>
      <x:c r="Q250" s="54" t="n">
        <x:f>N250-P250</x:f>
        <x:v>0</x:v>
      </x:c>
      <x:c r="R250" s="54" t="n">
        <x:v>72</x:v>
      </x:c>
      <x:c r="S250" s="54" t="n">
        <x:f>MIN(F250,MAX(0,ROUND(D250+R250-V250,0)))</x:f>
        <x:v>464</x:v>
      </x:c>
      <x:c r="T250" s="52" t="n">
        <x:v>1.0123837665509374</x:v>
      </x:c>
      <x:c r="U250" s="54" t="n">
        <x:f>MIN(F250,MAX(0,ROUND(S250*T250,0)))</x:f>
        <x:v>470</x:v>
      </x:c>
      <x:c r="V250" s="54" t="n">
        <x:f>AB245</x:f>
        <x:v>7</x:v>
      </x:c>
      <x:c r="W250" s="54" t="n">
        <x:f>U250+V250</x:f>
        <x:v>477</x:v>
      </x:c>
      <x:c r="X250" s="54" t="n">
        <x:f>MIN(E250,W250)</x:f>
        <x:v>453</x:v>
      </x:c>
      <x:c r="Y250" s="54" t="n">
        <x:f>MAX(E250-W250,0)</x:f>
        <x:v>0</x:v>
      </x:c>
      <x:c r="Z250" s="54" t="n">
        <x:f>MAX(W250-X250,0)</x:f>
        <x:v>24</x:v>
      </x:c>
      <x:c r="AA250" s="54" t="n">
        <x:f>MIN(Z250,ROUND(Z250*O250,0))</x:f>
        <x:v>0</x:v>
      </x:c>
      <x:c r="AB250" s="54" t="n">
        <x:f>Z250-AA250</x:f>
        <x:v>24</x:v>
      </x:c>
      <x:c r="AC250" s="52" t="n">
        <x:f>IFERROR(ABS(E250-D250)/E250,0)</x:f>
        <x:v>0.11920529801324503</x:v>
      </x:c>
      <x:c r="AD250" s="52" t="n">
        <x:f>IFERROR(L250/E250,1)</x:f>
        <x:v>0.847682119205298</x:v>
      </x:c>
      <x:c r="AE250" s="52" t="n">
        <x:f>IFERROR(X250/E250,1)</x:f>
        <x:v>1</x:v>
      </x:c>
      <x:c r="AF250" s="52" t="n">
        <x:f>IFERROR(I250/F250,0)</x:f>
        <x:v>0.6857142857142857</x:v>
      </x:c>
      <x:c r="AG250" s="52" t="n">
        <x:f>IFERROR(U250/F250,0)</x:f>
        <x:v>0.8392857142857143</x:v>
      </x:c>
    </x:row>
    <x:row r="251">
      <x:c r="A251" s="50" t="n">
        <x:v>46211</x:v>
      </x:c>
      <x:c r="B251" s="48" t="str">
        <x:v>Paneer</x:v>
      </x:c>
      <x:c r="C251" s="48" t="n">
        <x:v>5</x:v>
      </x:c>
      <x:c r="D251" s="54" t="n">
        <x:v>159</x:v>
      </x:c>
      <x:c r="E251" s="54" t="n">
        <x:v>167</x:v>
      </x:c>
      <x:c r="F251" s="54" t="n">
        <x:v>230</x:v>
      </x:c>
      <x:c r="G251" s="54" t="n">
        <x:f>ROUND(D251*0.97,0)</x:f>
        <x:v>154</x:v>
      </x:c>
      <x:c r="H251" s="52" t="n">
        <x:v>0.9855128833225448</x:v>
      </x:c>
      <x:c r="I251" s="54" t="n">
        <x:f>MIN(F251,ROUND(G251*H251,0))</x:f>
        <x:v>152</x:v>
      </x:c>
      <x:c r="J251" s="54" t="n">
        <x:f>Q246</x:f>
        <x:v>0</x:v>
      </x:c>
      <x:c r="K251" s="54" t="n">
        <x:f>I251+J251</x:f>
        <x:v>152</x:v>
      </x:c>
      <x:c r="L251" s="54" t="n">
        <x:f>MIN(E251,K251)</x:f>
        <x:v>152</x:v>
      </x:c>
      <x:c r="M251" s="54" t="n">
        <x:f>MAX(E251-K251,0)</x:f>
        <x:v>15</x:v>
      </x:c>
      <x:c r="N251" s="54" t="n">
        <x:f>MAX(K251-L251,0)</x:f>
        <x:v>0</x:v>
      </x:c>
      <x:c r="O251" s="52" t="n">
        <x:v>0.025</x:v>
      </x:c>
      <x:c r="P251" s="54" t="n">
        <x:f>MIN(N251,ROUND(N251*O251,0))</x:f>
        <x:v>0</x:v>
      </x:c>
      <x:c r="Q251" s="54" t="n">
        <x:f>N251-P251</x:f>
        <x:v>0</x:v>
      </x:c>
      <x:c r="R251" s="54" t="n">
        <x:v>32</x:v>
      </x:c>
      <x:c r="S251" s="54" t="n">
        <x:f>MIN(F251,MAX(0,ROUND(D251+R251-V251,0)))</x:f>
        <x:v>177</x:v>
      </x:c>
      <x:c r="T251" s="52" t="n">
        <x:v>1.016493278356621</x:v>
      </x:c>
      <x:c r="U251" s="54" t="n">
        <x:f>MIN(F251,MAX(0,ROUND(S251*T251,0)))</x:f>
        <x:v>180</x:v>
      </x:c>
      <x:c r="V251" s="54" t="n">
        <x:f>AB246</x:f>
        <x:v>14</x:v>
      </x:c>
      <x:c r="W251" s="54" t="n">
        <x:f>U251+V251</x:f>
        <x:v>194</x:v>
      </x:c>
      <x:c r="X251" s="54" t="n">
        <x:f>MIN(E251,W251)</x:f>
        <x:v>167</x:v>
      </x:c>
      <x:c r="Y251" s="54" t="n">
        <x:f>MAX(E251-W251,0)</x:f>
        <x:v>0</x:v>
      </x:c>
      <x:c r="Z251" s="54" t="n">
        <x:f>MAX(W251-X251,0)</x:f>
        <x:v>27</x:v>
      </x:c>
      <x:c r="AA251" s="54" t="n">
        <x:f>MIN(Z251,ROUND(Z251*O251,0))</x:f>
        <x:v>1</x:v>
      </x:c>
      <x:c r="AB251" s="54" t="n">
        <x:f>Z251-AA251</x:f>
        <x:v>26</x:v>
      </x:c>
      <x:c r="AC251" s="52" t="n">
        <x:f>IFERROR(ABS(E251-D251)/E251,0)</x:f>
        <x:v>0.04790419161676647</x:v>
      </x:c>
      <x:c r="AD251" s="52" t="n">
        <x:f>IFERROR(L251/E251,1)</x:f>
        <x:v>0.9101796407185628</x:v>
      </x:c>
      <x:c r="AE251" s="52" t="n">
        <x:f>IFERROR(X251/E251,1)</x:f>
        <x:v>1</x:v>
      </x:c>
      <x:c r="AF251" s="52" t="n">
        <x:f>IFERROR(I251/F251,0)</x:f>
        <x:v>0.6608695652173913</x:v>
      </x:c>
      <x:c r="AG251" s="52" t="n">
        <x:f>IFERROR(U251/F251,0)</x:f>
        <x:v>0.782608695652174</x:v>
      </x:c>
    </x:row>
    <x:row r="252">
      <x:c r="A252" s="50" t="n">
        <x:v>46212</x:v>
      </x:c>
      <x:c r="B252" s="48" t="str">
        <x:v>Toned Milk</x:v>
      </x:c>
      <x:c r="C252" s="48" t="n">
        <x:v>2</x:v>
      </x:c>
      <x:c r="D252" s="54" t="n">
        <x:v>1730</x:v>
      </x:c>
      <x:c r="E252" s="54" t="n">
        <x:v>2039</x:v>
      </x:c>
      <x:c r="F252" s="54" t="n">
        <x:v>2250</x:v>
      </x:c>
      <x:c r="G252" s="54" t="n">
        <x:f>ROUND(D252*0.97,0)</x:f>
        <x:v>1678</x:v>
      </x:c>
      <x:c r="H252" s="52" t="n">
        <x:v>1.0180200131310193</x:v>
      </x:c>
      <x:c r="I252" s="54" t="n">
        <x:f>MIN(F252,ROUND(G252*H252,0))</x:f>
        <x:v>1708</x:v>
      </x:c>
      <x:c r="J252" s="54" t="n">
        <x:f>Q247</x:f>
        <x:v>264</x:v>
      </x:c>
      <x:c r="K252" s="54" t="n">
        <x:f>I252+J252</x:f>
        <x:v>1972</x:v>
      </x:c>
      <x:c r="L252" s="54" t="n">
        <x:f>MIN(E252,K252)</x:f>
        <x:v>1972</x:v>
      </x:c>
      <x:c r="M252" s="54" t="n">
        <x:f>MAX(E252-K252,0)</x:f>
        <x:v>67</x:v>
      </x:c>
      <x:c r="N252" s="54" t="n">
        <x:f>MAX(K252-L252,0)</x:f>
        <x:v>0</x:v>
      </x:c>
      <x:c r="O252" s="52" t="n">
        <x:v>0.025</x:v>
      </x:c>
      <x:c r="P252" s="54" t="n">
        <x:f>MIN(N252,ROUND(N252*O252,0))</x:f>
        <x:v>0</x:v>
      </x:c>
      <x:c r="Q252" s="54" t="n">
        <x:f>N252-P252</x:f>
        <x:v>0</x:v>
      </x:c>
      <x:c r="R252" s="54" t="n">
        <x:v>208</x:v>
      </x:c>
      <x:c r="S252" s="54" t="n">
        <x:f>MIN(F252,MAX(0,ROUND(D252+R252-V252,0)))</x:f>
        <x:v>1938</x:v>
      </x:c>
      <x:c r="T252" s="52" t="n">
        <x:v>0.9948827684637573</x:v>
      </x:c>
      <x:c r="U252" s="54" t="n">
        <x:f>MIN(F252,MAX(0,ROUND(S252*T252,0)))</x:f>
        <x:v>1928</x:v>
      </x:c>
      <x:c r="V252" s="54" t="n">
        <x:f>AB247</x:f>
        <x:v>0</x:v>
      </x:c>
      <x:c r="W252" s="54" t="n">
        <x:f>U252+V252</x:f>
        <x:v>1928</x:v>
      </x:c>
      <x:c r="X252" s="54" t="n">
        <x:f>MIN(E252,W252)</x:f>
        <x:v>1928</x:v>
      </x:c>
      <x:c r="Y252" s="54" t="n">
        <x:f>MAX(E252-W252,0)</x:f>
        <x:v>111</x:v>
      </x:c>
      <x:c r="Z252" s="54" t="n">
        <x:f>MAX(W252-X252,0)</x:f>
        <x:v>0</x:v>
      </x:c>
      <x:c r="AA252" s="54" t="n">
        <x:f>MIN(Z252,ROUND(Z252*O252,0))</x:f>
        <x:v>0</x:v>
      </x:c>
      <x:c r="AB252" s="54" t="n">
        <x:f>Z252-AA252</x:f>
        <x:v>0</x:v>
      </x:c>
      <x:c r="AC252" s="52" t="n">
        <x:f>IFERROR(ABS(E252-D252)/E252,0)</x:f>
        <x:v>0.15154487493869545</x:v>
      </x:c>
      <x:c r="AD252" s="52" t="n">
        <x:f>IFERROR(L252/E252,1)</x:f>
        <x:v>0.9671407552721922</x:v>
      </x:c>
      <x:c r="AE252" s="52" t="n">
        <x:f>IFERROR(X252/E252,1)</x:f>
        <x:v>0.9455615497793036</x:v>
      </x:c>
      <x:c r="AF252" s="52" t="n">
        <x:f>IFERROR(I252/F252,0)</x:f>
        <x:v>0.7591111111111111</x:v>
      </x:c>
      <x:c r="AG252" s="52" t="n">
        <x:f>IFERROR(U252/F252,0)</x:f>
        <x:v>0.8568888888888889</x:v>
      </x:c>
    </x:row>
    <x:row r="253">
      <x:c r="A253" s="50" t="n">
        <x:v>46212</x:v>
      </x:c>
      <x:c r="B253" s="48" t="str">
        <x:v>Full Cream Milk</x:v>
      </x:c>
      <x:c r="C253" s="48" t="n">
        <x:v>2</x:v>
      </x:c>
      <x:c r="D253" s="54" t="n">
        <x:v>865</x:v>
      </x:c>
      <x:c r="E253" s="54" t="n">
        <x:v>817</x:v>
      </x:c>
      <x:c r="F253" s="54" t="n">
        <x:v>1200</x:v>
      </x:c>
      <x:c r="G253" s="54" t="n">
        <x:f>ROUND(D253*0.97,0)</x:f>
        <x:v>839</x:v>
      </x:c>
      <x:c r="H253" s="52" t="n">
        <x:v>0.9857810345614243</x:v>
      </x:c>
      <x:c r="I253" s="54" t="n">
        <x:f>MIN(F253,ROUND(G253*H253,0))</x:f>
        <x:v>827</x:v>
      </x:c>
      <x:c r="J253" s="54" t="n">
        <x:f>Q248</x:f>
        <x:v>0</x:v>
      </x:c>
      <x:c r="K253" s="54" t="n">
        <x:f>I253+J253</x:f>
        <x:v>827</x:v>
      </x:c>
      <x:c r="L253" s="54" t="n">
        <x:f>MIN(E253,K253)</x:f>
        <x:v>817</x:v>
      </x:c>
      <x:c r="M253" s="54" t="n">
        <x:f>MAX(E253-K253,0)</x:f>
        <x:v>0</x:v>
      </x:c>
      <x:c r="N253" s="54" t="n">
        <x:f>MAX(K253-L253,0)</x:f>
        <x:v>10</x:v>
      </x:c>
      <x:c r="O253" s="52" t="n">
        <x:v>0.03</x:v>
      </x:c>
      <x:c r="P253" s="54" t="n">
        <x:f>MIN(N253,ROUND(N253*O253,0))</x:f>
        <x:v>0</x:v>
      </x:c>
      <x:c r="Q253" s="54" t="n">
        <x:f>N253-P253</x:f>
        <x:v>10</x:v>
      </x:c>
      <x:c r="R253" s="54" t="n">
        <x:v>104</x:v>
      </x:c>
      <x:c r="S253" s="54" t="n">
        <x:f>MIN(F253,MAX(0,ROUND(D253+R253-V253,0)))</x:f>
        <x:v>891</x:v>
      </x:c>
      <x:c r="T253" s="52" t="n">
        <x:v>0.9827656709555869</x:v>
      </x:c>
      <x:c r="U253" s="54" t="n">
        <x:f>MIN(F253,MAX(0,ROUND(S253*T253,0)))</x:f>
        <x:v>876</x:v>
      </x:c>
      <x:c r="V253" s="54" t="n">
        <x:f>AB248</x:f>
        <x:v>78</x:v>
      </x:c>
      <x:c r="W253" s="54" t="n">
        <x:f>U253+V253</x:f>
        <x:v>954</x:v>
      </x:c>
      <x:c r="X253" s="54" t="n">
        <x:f>MIN(E253,W253)</x:f>
        <x:v>817</x:v>
      </x:c>
      <x:c r="Y253" s="54" t="n">
        <x:f>MAX(E253-W253,0)</x:f>
        <x:v>0</x:v>
      </x:c>
      <x:c r="Z253" s="54" t="n">
        <x:f>MAX(W253-X253,0)</x:f>
        <x:v>137</x:v>
      </x:c>
      <x:c r="AA253" s="54" t="n">
        <x:f>MIN(Z253,ROUND(Z253*O253,0))</x:f>
        <x:v>4</x:v>
      </x:c>
      <x:c r="AB253" s="54" t="n">
        <x:f>Z253-AA253</x:f>
        <x:v>133</x:v>
      </x:c>
      <x:c r="AC253" s="52" t="n">
        <x:f>IFERROR(ABS(E253-D253)/E253,0)</x:f>
        <x:v>0.0587515299877601</x:v>
      </x:c>
      <x:c r="AD253" s="52" t="n">
        <x:f>IFERROR(L253/E253,1)</x:f>
        <x:v>1</x:v>
      </x:c>
      <x:c r="AE253" s="52" t="n">
        <x:f>IFERROR(X253/E253,1)</x:f>
        <x:v>1</x:v>
      </x:c>
      <x:c r="AF253" s="52" t="n">
        <x:f>IFERROR(I253/F253,0)</x:f>
        <x:v>0.6891666666666667</x:v>
      </x:c>
      <x:c r="AG253" s="52" t="n">
        <x:f>IFERROR(U253/F253,0)</x:f>
        <x:v>0.73</x:v>
      </x:c>
    </x:row>
    <x:row r="254">
      <x:c r="A254" s="50" t="n">
        <x:v>46212</x:v>
      </x:c>
      <x:c r="B254" s="48" t="str">
        <x:v>Curd</x:v>
      </x:c>
      <x:c r="C254" s="48" t="n">
        <x:v>7</x:v>
      </x:c>
      <x:c r="D254" s="54" t="n">
        <x:v>509</x:v>
      </x:c>
      <x:c r="E254" s="54" t="n">
        <x:v>589</x:v>
      </x:c>
      <x:c r="F254" s="54" t="n">
        <x:v>700</x:v>
      </x:c>
      <x:c r="G254" s="54" t="n">
        <x:f>ROUND(D254*0.97,0)</x:f>
        <x:v>494</x:v>
      </x:c>
      <x:c r="H254" s="52" t="n">
        <x:v>1.0100143904657664</x:v>
      </x:c>
      <x:c r="I254" s="54" t="n">
        <x:f>MIN(F254,ROUND(G254*H254,0))</x:f>
        <x:v>499</x:v>
      </x:c>
      <x:c r="J254" s="54" t="n">
        <x:f>Q249</x:f>
        <x:v>25</x:v>
      </x:c>
      <x:c r="K254" s="54" t="n">
        <x:f>I254+J254</x:f>
        <x:v>524</x:v>
      </x:c>
      <x:c r="L254" s="54" t="n">
        <x:f>MIN(E254,K254)</x:f>
        <x:v>524</x:v>
      </x:c>
      <x:c r="M254" s="54" t="n">
        <x:f>MAX(E254-K254,0)</x:f>
        <x:v>65</x:v>
      </x:c>
      <x:c r="N254" s="54" t="n">
        <x:f>MAX(K254-L254,0)</x:f>
        <x:v>0</x:v>
      </x:c>
      <x:c r="O254" s="52" t="n">
        <x:v>0.018</x:v>
      </x:c>
      <x:c r="P254" s="54" t="n">
        <x:f>MIN(N254,ROUND(N254*O254,0))</x:f>
        <x:v>0</x:v>
      </x:c>
      <x:c r="Q254" s="54" t="n">
        <x:f>N254-P254</x:f>
        <x:v>0</x:v>
      </x:c>
      <x:c r="R254" s="54" t="n">
        <x:v>92</x:v>
      </x:c>
      <x:c r="S254" s="54" t="n">
        <x:f>MIN(F254,MAX(0,ROUND(D254+R254-V254,0)))</x:f>
        <x:v>465</x:v>
      </x:c>
      <x:c r="T254" s="52" t="n">
        <x:v>1.0105668397047871</x:v>
      </x:c>
      <x:c r="U254" s="54" t="n">
        <x:f>MIN(F254,MAX(0,ROUND(S254*T254,0)))</x:f>
        <x:v>470</x:v>
      </x:c>
      <x:c r="V254" s="54" t="n">
        <x:f>AB249</x:f>
        <x:v>136</x:v>
      </x:c>
      <x:c r="W254" s="54" t="n">
        <x:f>U254+V254</x:f>
        <x:v>606</x:v>
      </x:c>
      <x:c r="X254" s="54" t="n">
        <x:f>MIN(E254,W254)</x:f>
        <x:v>589</x:v>
      </x:c>
      <x:c r="Y254" s="54" t="n">
        <x:f>MAX(E254-W254,0)</x:f>
        <x:v>0</x:v>
      </x:c>
      <x:c r="Z254" s="54" t="n">
        <x:f>MAX(W254-X254,0)</x:f>
        <x:v>17</x:v>
      </x:c>
      <x:c r="AA254" s="54" t="n">
        <x:f>MIN(Z254,ROUND(Z254*O254,0))</x:f>
        <x:v>0</x:v>
      </x:c>
      <x:c r="AB254" s="54" t="n">
        <x:f>Z254-AA254</x:f>
        <x:v>17</x:v>
      </x:c>
      <x:c r="AC254" s="52" t="n">
        <x:f>IFERROR(ABS(E254-D254)/E254,0)</x:f>
        <x:v>0.13582342954159593</x:v>
      </x:c>
      <x:c r="AD254" s="52" t="n">
        <x:f>IFERROR(L254/E254,1)</x:f>
        <x:v>0.8896434634974533</x:v>
      </x:c>
      <x:c r="AE254" s="52" t="n">
        <x:f>IFERROR(X254/E254,1)</x:f>
        <x:v>1</x:v>
      </x:c>
      <x:c r="AF254" s="52" t="n">
        <x:f>IFERROR(I254/F254,0)</x:f>
        <x:v>0.7128571428571429</x:v>
      </x:c>
      <x:c r="AG254" s="52" t="n">
        <x:f>IFERROR(U254/F254,0)</x:f>
        <x:v>0.6714285714285714</x:v>
      </x:c>
    </x:row>
    <x:row r="255">
      <x:c r="A255" s="50" t="n">
        <x:v>46212</x:v>
      </x:c>
      <x:c r="B255" s="48" t="str">
        <x:v>Lassi</x:v>
      </x:c>
      <x:c r="C255" s="48" t="n">
        <x:v>7</x:v>
      </x:c>
      <x:c r="D255" s="54" t="n">
        <x:v>407</x:v>
      </x:c>
      <x:c r="E255" s="54" t="n">
        <x:v>334</x:v>
      </x:c>
      <x:c r="F255" s="54" t="n">
        <x:v>560</x:v>
      </x:c>
      <x:c r="G255" s="54" t="n">
        <x:f>ROUND(D255*0.97,0)</x:f>
        <x:v>395</x:v>
      </x:c>
      <x:c r="H255" s="52" t="n">
        <x:v>0.9892112252237043</x:v>
      </x:c>
      <x:c r="I255" s="54" t="n">
        <x:f>MIN(F255,ROUND(G255*H255,0))</x:f>
        <x:v>391</x:v>
      </x:c>
      <x:c r="J255" s="54" t="n">
        <x:f>Q250</x:f>
        <x:v>0</x:v>
      </x:c>
      <x:c r="K255" s="54" t="n">
        <x:f>I255+J255</x:f>
        <x:v>391</x:v>
      </x:c>
      <x:c r="L255" s="54" t="n">
        <x:f>MIN(E255,K255)</x:f>
        <x:v>334</x:v>
      </x:c>
      <x:c r="M255" s="54" t="n">
        <x:f>MAX(E255-K255,0)</x:f>
        <x:v>0</x:v>
      </x:c>
      <x:c r="N255" s="54" t="n">
        <x:f>MAX(K255-L255,0)</x:f>
        <x:v>57</x:v>
      </x:c>
      <x:c r="O255" s="52" t="n">
        <x:v>0.02</x:v>
      </x:c>
      <x:c r="P255" s="54" t="n">
        <x:f>MIN(N255,ROUND(N255*O255,0))</x:f>
        <x:v>1</x:v>
      </x:c>
      <x:c r="Q255" s="54" t="n">
        <x:f>N255-P255</x:f>
        <x:v>56</x:v>
      </x:c>
      <x:c r="R255" s="54" t="n">
        <x:v>73</x:v>
      </x:c>
      <x:c r="S255" s="54" t="n">
        <x:f>MIN(F255,MAX(0,ROUND(D255+R255-V255,0)))</x:f>
        <x:v>456</x:v>
      </x:c>
      <x:c r="T255" s="52" t="n">
        <x:v>0.9956560372862401</x:v>
      </x:c>
      <x:c r="U255" s="54" t="n">
        <x:f>MIN(F255,MAX(0,ROUND(S255*T255,0)))</x:f>
        <x:v>454</x:v>
      </x:c>
      <x:c r="V255" s="54" t="n">
        <x:f>AB250</x:f>
        <x:v>24</x:v>
      </x:c>
      <x:c r="W255" s="54" t="n">
        <x:f>U255+V255</x:f>
        <x:v>478</x:v>
      </x:c>
      <x:c r="X255" s="54" t="n">
        <x:f>MIN(E255,W255)</x:f>
        <x:v>334</x:v>
      </x:c>
      <x:c r="Y255" s="54" t="n">
        <x:f>MAX(E255-W255,0)</x:f>
        <x:v>0</x:v>
      </x:c>
      <x:c r="Z255" s="54" t="n">
        <x:f>MAX(W255-X255,0)</x:f>
        <x:v>144</x:v>
      </x:c>
      <x:c r="AA255" s="54" t="n">
        <x:f>MIN(Z255,ROUND(Z255*O255,0))</x:f>
        <x:v>3</x:v>
      </x:c>
      <x:c r="AB255" s="54" t="n">
        <x:f>Z255-AA255</x:f>
        <x:v>141</x:v>
      </x:c>
      <x:c r="AC255" s="52" t="n">
        <x:f>IFERROR(ABS(E255-D255)/E255,0)</x:f>
        <x:v>0.218562874251497</x:v>
      </x:c>
      <x:c r="AD255" s="52" t="n">
        <x:f>IFERROR(L255/E255,1)</x:f>
        <x:v>1</x:v>
      </x:c>
      <x:c r="AE255" s="52" t="n">
        <x:f>IFERROR(X255/E255,1)</x:f>
        <x:v>1</x:v>
      </x:c>
      <x:c r="AF255" s="52" t="n">
        <x:f>IFERROR(I255/F255,0)</x:f>
        <x:v>0.6982142857142857</x:v>
      </x:c>
      <x:c r="AG255" s="52" t="n">
        <x:f>IFERROR(U255/F255,0)</x:f>
        <x:v>0.8107142857142857</x:v>
      </x:c>
    </x:row>
    <x:row r="256">
      <x:c r="A256" s="50" t="n">
        <x:v>46212</x:v>
      </x:c>
      <x:c r="B256" s="48" t="str">
        <x:v>Paneer</x:v>
      </x:c>
      <x:c r="C256" s="48" t="n">
        <x:v>5</x:v>
      </x:c>
      <x:c r="D256" s="54" t="n">
        <x:v>163</x:v>
      </x:c>
      <x:c r="E256" s="54" t="n">
        <x:v>191</x:v>
      </x:c>
      <x:c r="F256" s="54" t="n">
        <x:v>230</x:v>
      </x:c>
      <x:c r="G256" s="54" t="n">
        <x:f>ROUND(D256*0.97,0)</x:f>
        <x:v>158</x:v>
      </x:c>
      <x:c r="H256" s="52" t="n">
        <x:v>1.0010011431355599</x:v>
      </x:c>
      <x:c r="I256" s="54" t="n">
        <x:f>MIN(F256,ROUND(G256*H256,0))</x:f>
        <x:v>158</x:v>
      </x:c>
      <x:c r="J256" s="54" t="n">
        <x:f>Q251</x:f>
        <x:v>0</x:v>
      </x:c>
      <x:c r="K256" s="54" t="n">
        <x:f>I256+J256</x:f>
        <x:v>158</x:v>
      </x:c>
      <x:c r="L256" s="54" t="n">
        <x:f>MIN(E256,K256)</x:f>
        <x:v>158</x:v>
      </x:c>
      <x:c r="M256" s="54" t="n">
        <x:f>MAX(E256-K256,0)</x:f>
        <x:v>33</x:v>
      </x:c>
      <x:c r="N256" s="54" t="n">
        <x:f>MAX(K256-L256,0)</x:f>
        <x:v>0</x:v>
      </x:c>
      <x:c r="O256" s="52" t="n">
        <x:v>0.025</x:v>
      </x:c>
      <x:c r="P256" s="54" t="n">
        <x:f>MIN(N256,ROUND(N256*O256,0))</x:f>
        <x:v>0</x:v>
      </x:c>
      <x:c r="Q256" s="54" t="n">
        <x:f>N256-P256</x:f>
        <x:v>0</x:v>
      </x:c>
      <x:c r="R256" s="54" t="n">
        <x:v>33</x:v>
      </x:c>
      <x:c r="S256" s="54" t="n">
        <x:f>MIN(F256,MAX(0,ROUND(D256+R256-V256,0)))</x:f>
        <x:v>170</x:v>
      </x:c>
      <x:c r="T256" s="52" t="n">
        <x:v>1.00597485748846</x:v>
      </x:c>
      <x:c r="U256" s="54" t="n">
        <x:f>MIN(F256,MAX(0,ROUND(S256*T256,0)))</x:f>
        <x:v>171</x:v>
      </x:c>
      <x:c r="V256" s="54" t="n">
        <x:f>AB251</x:f>
        <x:v>26</x:v>
      </x:c>
      <x:c r="W256" s="54" t="n">
        <x:f>U256+V256</x:f>
        <x:v>197</x:v>
      </x:c>
      <x:c r="X256" s="54" t="n">
        <x:f>MIN(E256,W256)</x:f>
        <x:v>191</x:v>
      </x:c>
      <x:c r="Y256" s="54" t="n">
        <x:f>MAX(E256-W256,0)</x:f>
        <x:v>0</x:v>
      </x:c>
      <x:c r="Z256" s="54" t="n">
        <x:f>MAX(W256-X256,0)</x:f>
        <x:v>6</x:v>
      </x:c>
      <x:c r="AA256" s="54" t="n">
        <x:f>MIN(Z256,ROUND(Z256*O256,0))</x:f>
        <x:v>0</x:v>
      </x:c>
      <x:c r="AB256" s="54" t="n">
        <x:f>Z256-AA256</x:f>
        <x:v>6</x:v>
      </x:c>
      <x:c r="AC256" s="52" t="n">
        <x:f>IFERROR(ABS(E256-D256)/E256,0)</x:f>
        <x:v>0.14659685863874344</x:v>
      </x:c>
      <x:c r="AD256" s="52" t="n">
        <x:f>IFERROR(L256/E256,1)</x:f>
        <x:v>0.8272251308900523</x:v>
      </x:c>
      <x:c r="AE256" s="52" t="n">
        <x:f>IFERROR(X256/E256,1)</x:f>
        <x:v>1</x:v>
      </x:c>
      <x:c r="AF256" s="52" t="n">
        <x:f>IFERROR(I256/F256,0)</x:f>
        <x:v>0.6869565217391305</x:v>
      </x:c>
      <x:c r="AG256" s="52" t="n">
        <x:f>IFERROR(U256/F256,0)</x:f>
        <x:v>0.7434782608695653</x:v>
      </x:c>
    </x:row>
    <x:row r="257">
      <x:c r="A257" s="50" t="n">
        <x:v>46213</x:v>
      </x:c>
      <x:c r="B257" s="48" t="str">
        <x:v>Toned Milk</x:v>
      </x:c>
      <x:c r="C257" s="48" t="n">
        <x:v>2</x:v>
      </x:c>
      <x:c r="D257" s="54" t="n">
        <x:v>1800</x:v>
      </x:c>
      <x:c r="E257" s="54" t="n">
        <x:v>1496</x:v>
      </x:c>
      <x:c r="F257" s="54" t="n">
        <x:v>2250</x:v>
      </x:c>
      <x:c r="G257" s="54" t="n">
        <x:f>ROUND(D257*0.97,0)</x:f>
        <x:v>1746</x:v>
      </x:c>
      <x:c r="H257" s="52" t="n">
        <x:v>0.9828966818932293</x:v>
      </x:c>
      <x:c r="I257" s="54" t="n">
        <x:f>MIN(F257,ROUND(G257*H257,0))</x:f>
        <x:v>1716</x:v>
      </x:c>
      <x:c r="J257" s="54" t="n">
        <x:f>Q252</x:f>
        <x:v>0</x:v>
      </x:c>
      <x:c r="K257" s="54" t="n">
        <x:f>I257+J257</x:f>
        <x:v>1716</x:v>
      </x:c>
      <x:c r="L257" s="54" t="n">
        <x:f>MIN(E257,K257)</x:f>
        <x:v>1496</x:v>
      </x:c>
      <x:c r="M257" s="54" t="n">
        <x:f>MAX(E257-K257,0)</x:f>
        <x:v>0</x:v>
      </x:c>
      <x:c r="N257" s="54" t="n">
        <x:f>MAX(K257-L257,0)</x:f>
        <x:v>220</x:v>
      </x:c>
      <x:c r="O257" s="52" t="n">
        <x:v>0.025</x:v>
      </x:c>
      <x:c r="P257" s="54" t="n">
        <x:f>MIN(N257,ROUND(N257*O257,0))</x:f>
        <x:v>6</x:v>
      </x:c>
      <x:c r="Q257" s="54" t="n">
        <x:f>N257-P257</x:f>
        <x:v>214</x:v>
      </x:c>
      <x:c r="R257" s="54" t="n">
        <x:v>216</x:v>
      </x:c>
      <x:c r="S257" s="54" t="n">
        <x:f>MIN(F257,MAX(0,ROUND(D257+R257-V257,0)))</x:f>
        <x:v>2016</x:v>
      </x:c>
      <x:c r="T257" s="52" t="n">
        <x:v>1.0050236958739598</x:v>
      </x:c>
      <x:c r="U257" s="54" t="n">
        <x:f>MIN(F257,MAX(0,ROUND(S257*T257,0)))</x:f>
        <x:v>2026</x:v>
      </x:c>
      <x:c r="V257" s="54" t="n">
        <x:f>AB252</x:f>
        <x:v>0</x:v>
      </x:c>
      <x:c r="W257" s="54" t="n">
        <x:f>U257+V257</x:f>
        <x:v>2026</x:v>
      </x:c>
      <x:c r="X257" s="54" t="n">
        <x:f>MIN(E257,W257)</x:f>
        <x:v>1496</x:v>
      </x:c>
      <x:c r="Y257" s="54" t="n">
        <x:f>MAX(E257-W257,0)</x:f>
        <x:v>0</x:v>
      </x:c>
      <x:c r="Z257" s="54" t="n">
        <x:f>MAX(W257-X257,0)</x:f>
        <x:v>530</x:v>
      </x:c>
      <x:c r="AA257" s="54" t="n">
        <x:f>MIN(Z257,ROUND(Z257*O257,0))</x:f>
        <x:v>13</x:v>
      </x:c>
      <x:c r="AB257" s="54" t="n">
        <x:f>Z257-AA257</x:f>
        <x:v>517</x:v>
      </x:c>
      <x:c r="AC257" s="52" t="n">
        <x:f>IFERROR(ABS(E257-D257)/E257,0)</x:f>
        <x:v>0.20320855614973263</x:v>
      </x:c>
      <x:c r="AD257" s="52" t="n">
        <x:f>IFERROR(L257/E257,1)</x:f>
        <x:v>1</x:v>
      </x:c>
      <x:c r="AE257" s="52" t="n">
        <x:f>IFERROR(X257/E257,1)</x:f>
        <x:v>1</x:v>
      </x:c>
      <x:c r="AF257" s="52" t="n">
        <x:f>IFERROR(I257/F257,0)</x:f>
        <x:v>0.7626666666666667</x:v>
      </x:c>
      <x:c r="AG257" s="52" t="n">
        <x:f>IFERROR(U257/F257,0)</x:f>
        <x:v>0.9004444444444445</x:v>
      </x:c>
    </x:row>
    <x:row r="258">
      <x:c r="A258" s="50" t="n">
        <x:v>46213</x:v>
      </x:c>
      <x:c r="B258" s="48" t="str">
        <x:v>Full Cream Milk</x:v>
      </x:c>
      <x:c r="C258" s="48" t="n">
        <x:v>2</x:v>
      </x:c>
      <x:c r="D258" s="54" t="n">
        <x:v>900</x:v>
      </x:c>
      <x:c r="E258" s="54" t="n">
        <x:v>740</x:v>
      </x:c>
      <x:c r="F258" s="54" t="n">
        <x:v>1200</x:v>
      </x:c>
      <x:c r="G258" s="54" t="n">
        <x:f>ROUND(D258*0.97,0)</x:f>
        <x:v>873</x:v>
      </x:c>
      <x:c r="H258" s="52" t="n">
        <x:v>0.9975204175712932</x:v>
      </x:c>
      <x:c r="I258" s="54" t="n">
        <x:f>MIN(F258,ROUND(G258*H258,0))</x:f>
        <x:v>871</x:v>
      </x:c>
      <x:c r="J258" s="54" t="n">
        <x:f>Q253</x:f>
        <x:v>10</x:v>
      </x:c>
      <x:c r="K258" s="54" t="n">
        <x:f>I258+J258</x:f>
        <x:v>881</x:v>
      </x:c>
      <x:c r="L258" s="54" t="n">
        <x:f>MIN(E258,K258)</x:f>
        <x:v>740</x:v>
      </x:c>
      <x:c r="M258" s="54" t="n">
        <x:f>MAX(E258-K258,0)</x:f>
        <x:v>0</x:v>
      </x:c>
      <x:c r="N258" s="54" t="n">
        <x:f>MAX(K258-L258,0)</x:f>
        <x:v>141</x:v>
      </x:c>
      <x:c r="O258" s="52" t="n">
        <x:v>0.03</x:v>
      </x:c>
      <x:c r="P258" s="54" t="n">
        <x:f>MIN(N258,ROUND(N258*O258,0))</x:f>
        <x:v>4</x:v>
      </x:c>
      <x:c r="Q258" s="54" t="n">
        <x:f>N258-P258</x:f>
        <x:v>137</x:v>
      </x:c>
      <x:c r="R258" s="54" t="n">
        <x:v>108</x:v>
      </x:c>
      <x:c r="S258" s="54" t="n">
        <x:f>MIN(F258,MAX(0,ROUND(D258+R258-V258,0)))</x:f>
        <x:v>875</x:v>
      </x:c>
      <x:c r="T258" s="52" t="n">
        <x:v>0.9966450050226084</x:v>
      </x:c>
      <x:c r="U258" s="54" t="n">
        <x:f>MIN(F258,MAX(0,ROUND(S258*T258,0)))</x:f>
        <x:v>872</x:v>
      </x:c>
      <x:c r="V258" s="54" t="n">
        <x:f>AB253</x:f>
        <x:v>133</x:v>
      </x:c>
      <x:c r="W258" s="54" t="n">
        <x:f>U258+V258</x:f>
        <x:v>1005</x:v>
      </x:c>
      <x:c r="X258" s="54" t="n">
        <x:f>MIN(E258,W258)</x:f>
        <x:v>740</x:v>
      </x:c>
      <x:c r="Y258" s="54" t="n">
        <x:f>MAX(E258-W258,0)</x:f>
        <x:v>0</x:v>
      </x:c>
      <x:c r="Z258" s="54" t="n">
        <x:f>MAX(W258-X258,0)</x:f>
        <x:v>265</x:v>
      </x:c>
      <x:c r="AA258" s="54" t="n">
        <x:f>MIN(Z258,ROUND(Z258*O258,0))</x:f>
        <x:v>8</x:v>
      </x:c>
      <x:c r="AB258" s="54" t="n">
        <x:f>Z258-AA258</x:f>
        <x:v>257</x:v>
      </x:c>
      <x:c r="AC258" s="52" t="n">
        <x:f>IFERROR(ABS(E258-D258)/E258,0)</x:f>
        <x:v>0.21621621621621623</x:v>
      </x:c>
      <x:c r="AD258" s="52" t="n">
        <x:f>IFERROR(L258/E258,1)</x:f>
        <x:v>1</x:v>
      </x:c>
      <x:c r="AE258" s="52" t="n">
        <x:f>IFERROR(X258/E258,1)</x:f>
        <x:v>1</x:v>
      </x:c>
      <x:c r="AF258" s="52" t="n">
        <x:f>IFERROR(I258/F258,0)</x:f>
        <x:v>0.7258333333333333</x:v>
      </x:c>
      <x:c r="AG258" s="52" t="n">
        <x:f>IFERROR(U258/F258,0)</x:f>
        <x:v>0.7266666666666667</x:v>
      </x:c>
    </x:row>
    <x:row r="259">
      <x:c r="A259" s="50" t="n">
        <x:v>46213</x:v>
      </x:c>
      <x:c r="B259" s="48" t="str">
        <x:v>Curd</x:v>
      </x:c>
      <x:c r="C259" s="48" t="n">
        <x:v>7</x:v>
      </x:c>
      <x:c r="D259" s="54" t="n">
        <x:v>529</x:v>
      </x:c>
      <x:c r="E259" s="54" t="n">
        <x:v>466</x:v>
      </x:c>
      <x:c r="F259" s="54" t="n">
        <x:v>700</x:v>
      </x:c>
      <x:c r="G259" s="54" t="n">
        <x:f>ROUND(D259*0.97,0)</x:f>
        <x:v>513</x:v>
      </x:c>
      <x:c r="H259" s="52" t="n">
        <x:v>0.9973423750183953</x:v>
      </x:c>
      <x:c r="I259" s="54" t="n">
        <x:f>MIN(F259,ROUND(G259*H259,0))</x:f>
        <x:v>512</x:v>
      </x:c>
      <x:c r="J259" s="54" t="n">
        <x:f>Q254</x:f>
        <x:v>0</x:v>
      </x:c>
      <x:c r="K259" s="54" t="n">
        <x:f>I259+J259</x:f>
        <x:v>512</x:v>
      </x:c>
      <x:c r="L259" s="54" t="n">
        <x:f>MIN(E259,K259)</x:f>
        <x:v>466</x:v>
      </x:c>
      <x:c r="M259" s="54" t="n">
        <x:f>MAX(E259-K259,0)</x:f>
        <x:v>0</x:v>
      </x:c>
      <x:c r="N259" s="54" t="n">
        <x:f>MAX(K259-L259,0)</x:f>
        <x:v>46</x:v>
      </x:c>
      <x:c r="O259" s="52" t="n">
        <x:v>0.018</x:v>
      </x:c>
      <x:c r="P259" s="54" t="n">
        <x:f>MIN(N259,ROUND(N259*O259,0))</x:f>
        <x:v>1</x:v>
      </x:c>
      <x:c r="Q259" s="54" t="n">
        <x:f>N259-P259</x:f>
        <x:v>45</x:v>
      </x:c>
      <x:c r="R259" s="54" t="n">
        <x:v>95</x:v>
      </x:c>
      <x:c r="S259" s="54" t="n">
        <x:f>MIN(F259,MAX(0,ROUND(D259+R259-V259,0)))</x:f>
        <x:v>607</x:v>
      </x:c>
      <x:c r="T259" s="52" t="n">
        <x:v>1.00600640403332</x:v>
      </x:c>
      <x:c r="U259" s="54" t="n">
        <x:f>MIN(F259,MAX(0,ROUND(S259*T259,0)))</x:f>
        <x:v>611</x:v>
      </x:c>
      <x:c r="V259" s="54" t="n">
        <x:f>AB254</x:f>
        <x:v>17</x:v>
      </x:c>
      <x:c r="W259" s="54" t="n">
        <x:f>U259+V259</x:f>
        <x:v>628</x:v>
      </x:c>
      <x:c r="X259" s="54" t="n">
        <x:f>MIN(E259,W259)</x:f>
        <x:v>466</x:v>
      </x:c>
      <x:c r="Y259" s="54" t="n">
        <x:f>MAX(E259-W259,0)</x:f>
        <x:v>0</x:v>
      </x:c>
      <x:c r="Z259" s="54" t="n">
        <x:f>MAX(W259-X259,0)</x:f>
        <x:v>162</x:v>
      </x:c>
      <x:c r="AA259" s="54" t="n">
        <x:f>MIN(Z259,ROUND(Z259*O259,0))</x:f>
        <x:v>3</x:v>
      </x:c>
      <x:c r="AB259" s="54" t="n">
        <x:f>Z259-AA259</x:f>
        <x:v>159</x:v>
      </x:c>
      <x:c r="AC259" s="52" t="n">
        <x:f>IFERROR(ABS(E259-D259)/E259,0)</x:f>
        <x:v>0.1351931330472103</x:v>
      </x:c>
      <x:c r="AD259" s="52" t="n">
        <x:f>IFERROR(L259/E259,1)</x:f>
        <x:v>1</x:v>
      </x:c>
      <x:c r="AE259" s="52" t="n">
        <x:f>IFERROR(X259/E259,1)</x:f>
        <x:v>1</x:v>
      </x:c>
      <x:c r="AF259" s="52" t="n">
        <x:f>IFERROR(I259/F259,0)</x:f>
        <x:v>0.7314285714285714</x:v>
      </x:c>
      <x:c r="AG259" s="52" t="n">
        <x:f>IFERROR(U259/F259,0)</x:f>
        <x:v>0.8728571428571429</x:v>
      </x:c>
    </x:row>
    <x:row r="260">
      <x:c r="A260" s="50" t="n">
        <x:v>46213</x:v>
      </x:c>
      <x:c r="B260" s="48" t="str">
        <x:v>Lassi</x:v>
      </x:c>
      <x:c r="C260" s="48" t="n">
        <x:v>7</x:v>
      </x:c>
      <x:c r="D260" s="54" t="n">
        <x:v>423</x:v>
      </x:c>
      <x:c r="E260" s="54" t="n">
        <x:v>452</x:v>
      </x:c>
      <x:c r="F260" s="54" t="n">
        <x:v>560</x:v>
      </x:c>
      <x:c r="G260" s="54" t="n">
        <x:f>ROUND(D260*0.97,0)</x:f>
        <x:v>410</x:v>
      </x:c>
      <x:c r="H260" s="52" t="n">
        <x:v>0.9990511315865912</x:v>
      </x:c>
      <x:c r="I260" s="54" t="n">
        <x:f>MIN(F260,ROUND(G260*H260,0))</x:f>
        <x:v>410</x:v>
      </x:c>
      <x:c r="J260" s="54" t="n">
        <x:f>Q255</x:f>
        <x:v>56</x:v>
      </x:c>
      <x:c r="K260" s="54" t="n">
        <x:f>I260+J260</x:f>
        <x:v>466</x:v>
      </x:c>
      <x:c r="L260" s="54" t="n">
        <x:f>MIN(E260,K260)</x:f>
        <x:v>452</x:v>
      </x:c>
      <x:c r="M260" s="54" t="n">
        <x:f>MAX(E260-K260,0)</x:f>
        <x:v>0</x:v>
      </x:c>
      <x:c r="N260" s="54" t="n">
        <x:f>MAX(K260-L260,0)</x:f>
        <x:v>14</x:v>
      </x:c>
      <x:c r="O260" s="52" t="n">
        <x:v>0.02</x:v>
      </x:c>
      <x:c r="P260" s="54" t="n">
        <x:f>MIN(N260,ROUND(N260*O260,0))</x:f>
        <x:v>0</x:v>
      </x:c>
      <x:c r="Q260" s="54" t="n">
        <x:f>N260-P260</x:f>
        <x:v>14</x:v>
      </x:c>
      <x:c r="R260" s="54" t="n">
        <x:v>76</x:v>
      </x:c>
      <x:c r="S260" s="54" t="n">
        <x:f>MIN(F260,MAX(0,ROUND(D260+R260-V260,0)))</x:f>
        <x:v>358</x:v>
      </x:c>
      <x:c r="T260" s="52" t="n">
        <x:v>0.9977160035419501</x:v>
      </x:c>
      <x:c r="U260" s="54" t="n">
        <x:f>MIN(F260,MAX(0,ROUND(S260*T260,0)))</x:f>
        <x:v>357</x:v>
      </x:c>
      <x:c r="V260" s="54" t="n">
        <x:f>AB255</x:f>
        <x:v>141</x:v>
      </x:c>
      <x:c r="W260" s="54" t="n">
        <x:f>U260+V260</x:f>
        <x:v>498</x:v>
      </x:c>
      <x:c r="X260" s="54" t="n">
        <x:f>MIN(E260,W260)</x:f>
        <x:v>452</x:v>
      </x:c>
      <x:c r="Y260" s="54" t="n">
        <x:f>MAX(E260-W260,0)</x:f>
        <x:v>0</x:v>
      </x:c>
      <x:c r="Z260" s="54" t="n">
        <x:f>MAX(W260-X260,0)</x:f>
        <x:v>46</x:v>
      </x:c>
      <x:c r="AA260" s="54" t="n">
        <x:f>MIN(Z260,ROUND(Z260*O260,0))</x:f>
        <x:v>1</x:v>
      </x:c>
      <x:c r="AB260" s="54" t="n">
        <x:f>Z260-AA260</x:f>
        <x:v>45</x:v>
      </x:c>
      <x:c r="AC260" s="52" t="n">
        <x:f>IFERROR(ABS(E260-D260)/E260,0)</x:f>
        <x:v>0.06415929203539823</x:v>
      </x:c>
      <x:c r="AD260" s="52" t="n">
        <x:f>IFERROR(L260/E260,1)</x:f>
        <x:v>1</x:v>
      </x:c>
      <x:c r="AE260" s="52" t="n">
        <x:f>IFERROR(X260/E260,1)</x:f>
        <x:v>1</x:v>
      </x:c>
      <x:c r="AF260" s="52" t="n">
        <x:f>IFERROR(I260/F260,0)</x:f>
        <x:v>0.7321428571428571</x:v>
      </x:c>
      <x:c r="AG260" s="52" t="n">
        <x:f>IFERROR(U260/F260,0)</x:f>
        <x:v>0.6375</x:v>
      </x:c>
    </x:row>
    <x:row r="261">
      <x:c r="A261" s="50" t="n">
        <x:v>46213</x:v>
      </x:c>
      <x:c r="B261" s="48" t="str">
        <x:v>Paneer</x:v>
      </x:c>
      <x:c r="C261" s="48" t="n">
        <x:v>5</x:v>
      </x:c>
      <x:c r="D261" s="54" t="n">
        <x:v>169</x:v>
      </x:c>
      <x:c r="E261" s="54" t="n">
        <x:v>198</x:v>
      </x:c>
      <x:c r="F261" s="54" t="n">
        <x:v>230</x:v>
      </x:c>
      <x:c r="G261" s="54" t="n">
        <x:f>ROUND(D261*0.97,0)</x:f>
        <x:v>164</x:v>
      </x:c>
      <x:c r="H261" s="52" t="n">
        <x:v>1.014797011213399</x:v>
      </x:c>
      <x:c r="I261" s="54" t="n">
        <x:f>MIN(F261,ROUND(G261*H261,0))</x:f>
        <x:v>166</x:v>
      </x:c>
      <x:c r="J261" s="54" t="n">
        <x:f>Q256</x:f>
        <x:v>0</x:v>
      </x:c>
      <x:c r="K261" s="54" t="n">
        <x:f>I261+J261</x:f>
        <x:v>166</x:v>
      </x:c>
      <x:c r="L261" s="54" t="n">
        <x:f>MIN(E261,K261)</x:f>
        <x:v>166</x:v>
      </x:c>
      <x:c r="M261" s="54" t="n">
        <x:f>MAX(E261-K261,0)</x:f>
        <x:v>32</x:v>
      </x:c>
      <x:c r="N261" s="54" t="n">
        <x:f>MAX(K261-L261,0)</x:f>
        <x:v>0</x:v>
      </x:c>
      <x:c r="O261" s="52" t="n">
        <x:v>0.025</x:v>
      </x:c>
      <x:c r="P261" s="54" t="n">
        <x:f>MIN(N261,ROUND(N261*O261,0))</x:f>
        <x:v>0</x:v>
      </x:c>
      <x:c r="Q261" s="54" t="n">
        <x:f>N261-P261</x:f>
        <x:v>0</x:v>
      </x:c>
      <x:c r="R261" s="54" t="n">
        <x:v>34</x:v>
      </x:c>
      <x:c r="S261" s="54" t="n">
        <x:f>MIN(F261,MAX(0,ROUND(D261+R261-V261,0)))</x:f>
        <x:v>197</x:v>
      </x:c>
      <x:c r="T261" s="52" t="n">
        <x:v>0.9813327172435391</x:v>
      </x:c>
      <x:c r="U261" s="54" t="n">
        <x:f>MIN(F261,MAX(0,ROUND(S261*T261,0)))</x:f>
        <x:v>193</x:v>
      </x:c>
      <x:c r="V261" s="54" t="n">
        <x:f>AB256</x:f>
        <x:v>6</x:v>
      </x:c>
      <x:c r="W261" s="54" t="n">
        <x:f>U261+V261</x:f>
        <x:v>199</x:v>
      </x:c>
      <x:c r="X261" s="54" t="n">
        <x:f>MIN(E261,W261)</x:f>
        <x:v>198</x:v>
      </x:c>
      <x:c r="Y261" s="54" t="n">
        <x:f>MAX(E261-W261,0)</x:f>
        <x:v>0</x:v>
      </x:c>
      <x:c r="Z261" s="54" t="n">
        <x:f>MAX(W261-X261,0)</x:f>
        <x:v>1</x:v>
      </x:c>
      <x:c r="AA261" s="54" t="n">
        <x:f>MIN(Z261,ROUND(Z261*O261,0))</x:f>
        <x:v>0</x:v>
      </x:c>
      <x:c r="AB261" s="54" t="n">
        <x:f>Z261-AA261</x:f>
        <x:v>1</x:v>
      </x:c>
      <x:c r="AC261" s="52" t="n">
        <x:f>IFERROR(ABS(E261-D261)/E261,0)</x:f>
        <x:v>0.14646464646464646</x:v>
      </x:c>
      <x:c r="AD261" s="52" t="n">
        <x:f>IFERROR(L261/E261,1)</x:f>
        <x:v>0.8383838383838383</x:v>
      </x:c>
      <x:c r="AE261" s="52" t="n">
        <x:f>IFERROR(X261/E261,1)</x:f>
        <x:v>1</x:v>
      </x:c>
      <x:c r="AF261" s="52" t="n">
        <x:f>IFERROR(I261/F261,0)</x:f>
        <x:v>0.7217391304347827</x:v>
      </x:c>
      <x:c r="AG261" s="52" t="n">
        <x:f>IFERROR(U261/F261,0)</x:f>
        <x:v>0.8391304347826087</x:v>
      </x:c>
    </x:row>
    <x:row r="262">
      <x:c r="A262" s="50" t="n">
        <x:v>46214</x:v>
      </x:c>
      <x:c r="B262" s="48" t="str">
        <x:v>Toned Milk</x:v>
      </x:c>
      <x:c r="C262" s="48" t="n">
        <x:v>2</x:v>
      </x:c>
      <x:c r="D262" s="54" t="n">
        <x:v>1973</x:v>
      </x:c>
      <x:c r="E262" s="54" t="n">
        <x:v>2162</x:v>
      </x:c>
      <x:c r="F262" s="54" t="n">
        <x:v>2250</x:v>
      </x:c>
      <x:c r="G262" s="54" t="n">
        <x:f>ROUND(D262*0.97,0)</x:f>
        <x:v>1914</x:v>
      </x:c>
      <x:c r="H262" s="52" t="n">
        <x:v>1.007162484644903</x:v>
      </x:c>
      <x:c r="I262" s="54" t="n">
        <x:f>MIN(F262,ROUND(G262*H262,0))</x:f>
        <x:v>1928</x:v>
      </x:c>
      <x:c r="J262" s="54" t="n">
        <x:f>Q257</x:f>
        <x:v>214</x:v>
      </x:c>
      <x:c r="K262" s="54" t="n">
        <x:f>I262+J262</x:f>
        <x:v>2142</x:v>
      </x:c>
      <x:c r="L262" s="54" t="n">
        <x:f>MIN(E262,K262)</x:f>
        <x:v>2142</x:v>
      </x:c>
      <x:c r="M262" s="54" t="n">
        <x:f>MAX(E262-K262,0)</x:f>
        <x:v>20</x:v>
      </x:c>
      <x:c r="N262" s="54" t="n">
        <x:f>MAX(K262-L262,0)</x:f>
        <x:v>0</x:v>
      </x:c>
      <x:c r="O262" s="52" t="n">
        <x:v>0.025</x:v>
      </x:c>
      <x:c r="P262" s="54" t="n">
        <x:f>MIN(N262,ROUND(N262*O262,0))</x:f>
        <x:v>0</x:v>
      </x:c>
      <x:c r="Q262" s="54" t="n">
        <x:f>N262-P262</x:f>
        <x:v>0</x:v>
      </x:c>
      <x:c r="R262" s="54" t="n">
        <x:v>237</x:v>
      </x:c>
      <x:c r="S262" s="54" t="n">
        <x:f>MIN(F262,MAX(0,ROUND(D262+R262-V262,0)))</x:f>
        <x:v>1693</x:v>
      </x:c>
      <x:c r="T262" s="52" t="n">
        <x:v>0.9943474237445544</x:v>
      </x:c>
      <x:c r="U262" s="54" t="n">
        <x:f>MIN(F262,MAX(0,ROUND(S262*T262,0)))</x:f>
        <x:v>1683</x:v>
      </x:c>
      <x:c r="V262" s="54" t="n">
        <x:f>AB257</x:f>
        <x:v>517</x:v>
      </x:c>
      <x:c r="W262" s="54" t="n">
        <x:f>U262+V262</x:f>
        <x:v>2200</x:v>
      </x:c>
      <x:c r="X262" s="54" t="n">
        <x:f>MIN(E262,W262)</x:f>
        <x:v>2162</x:v>
      </x:c>
      <x:c r="Y262" s="54" t="n">
        <x:f>MAX(E262-W262,0)</x:f>
        <x:v>0</x:v>
      </x:c>
      <x:c r="Z262" s="54" t="n">
        <x:f>MAX(W262-X262,0)</x:f>
        <x:v>38</x:v>
      </x:c>
      <x:c r="AA262" s="54" t="n">
        <x:f>MIN(Z262,ROUND(Z262*O262,0))</x:f>
        <x:v>1</x:v>
      </x:c>
      <x:c r="AB262" s="54" t="n">
        <x:f>Z262-AA262</x:f>
        <x:v>37</x:v>
      </x:c>
      <x:c r="AC262" s="52" t="n">
        <x:f>IFERROR(ABS(E262-D262)/E262,0)</x:f>
        <x:v>0.08741905642923219</x:v>
      </x:c>
      <x:c r="AD262" s="52" t="n">
        <x:f>IFERROR(L262/E262,1)</x:f>
        <x:v>0.9907493061979649</x:v>
      </x:c>
      <x:c r="AE262" s="52" t="n">
        <x:f>IFERROR(X262/E262,1)</x:f>
        <x:v>1</x:v>
      </x:c>
      <x:c r="AF262" s="52" t="n">
        <x:f>IFERROR(I262/F262,0)</x:f>
        <x:v>0.8568888888888889</x:v>
      </x:c>
      <x:c r="AG262" s="52" t="n">
        <x:f>IFERROR(U262/F262,0)</x:f>
        <x:v>0.748</x:v>
      </x:c>
    </x:row>
    <x:row r="263">
      <x:c r="A263" s="50" t="n">
        <x:v>46214</x:v>
      </x:c>
      <x:c r="B263" s="48" t="str">
        <x:v>Full Cream Milk</x:v>
      </x:c>
      <x:c r="C263" s="48" t="n">
        <x:v>2</x:v>
      </x:c>
      <x:c r="D263" s="54" t="n">
        <x:v>987</x:v>
      </x:c>
      <x:c r="E263" s="54" t="n">
        <x:v>945</x:v>
      </x:c>
      <x:c r="F263" s="54" t="n">
        <x:v>1200</x:v>
      </x:c>
      <x:c r="G263" s="54" t="n">
        <x:f>ROUND(D263*0.97,0)</x:f>
        <x:v>957</x:v>
      </x:c>
      <x:c r="H263" s="52" t="n">
        <x:v>0.9838974947341229</x:v>
      </x:c>
      <x:c r="I263" s="54" t="n">
        <x:f>MIN(F263,ROUND(G263*H263,0))</x:f>
        <x:v>942</x:v>
      </x:c>
      <x:c r="J263" s="54" t="n">
        <x:f>Q258</x:f>
        <x:v>137</x:v>
      </x:c>
      <x:c r="K263" s="54" t="n">
        <x:f>I263+J263</x:f>
        <x:v>1079</x:v>
      </x:c>
      <x:c r="L263" s="54" t="n">
        <x:f>MIN(E263,K263)</x:f>
        <x:v>945</x:v>
      </x:c>
      <x:c r="M263" s="54" t="n">
        <x:f>MAX(E263-K263,0)</x:f>
        <x:v>0</x:v>
      </x:c>
      <x:c r="N263" s="54" t="n">
        <x:f>MAX(K263-L263,0)</x:f>
        <x:v>134</x:v>
      </x:c>
      <x:c r="O263" s="52" t="n">
        <x:v>0.03</x:v>
      </x:c>
      <x:c r="P263" s="54" t="n">
        <x:f>MIN(N263,ROUND(N263*O263,0))</x:f>
        <x:v>4</x:v>
      </x:c>
      <x:c r="Q263" s="54" t="n">
        <x:f>N263-P263</x:f>
        <x:v>130</x:v>
      </x:c>
      <x:c r="R263" s="54" t="n">
        <x:v>118</x:v>
      </x:c>
      <x:c r="S263" s="54" t="n">
        <x:f>MIN(F263,MAX(0,ROUND(D263+R263-V263,0)))</x:f>
        <x:v>848</x:v>
      </x:c>
      <x:c r="T263" s="52" t="n">
        <x:v>0.9966759063098292</x:v>
      </x:c>
      <x:c r="U263" s="54" t="n">
        <x:f>MIN(F263,MAX(0,ROUND(S263*T263,0)))</x:f>
        <x:v>845</x:v>
      </x:c>
      <x:c r="V263" s="54" t="n">
        <x:f>AB258</x:f>
        <x:v>257</x:v>
      </x:c>
      <x:c r="W263" s="54" t="n">
        <x:f>U263+V263</x:f>
        <x:v>1102</x:v>
      </x:c>
      <x:c r="X263" s="54" t="n">
        <x:f>MIN(E263,W263)</x:f>
        <x:v>945</x:v>
      </x:c>
      <x:c r="Y263" s="54" t="n">
        <x:f>MAX(E263-W263,0)</x:f>
        <x:v>0</x:v>
      </x:c>
      <x:c r="Z263" s="54" t="n">
        <x:f>MAX(W263-X263,0)</x:f>
        <x:v>157</x:v>
      </x:c>
      <x:c r="AA263" s="54" t="n">
        <x:f>MIN(Z263,ROUND(Z263*O263,0))</x:f>
        <x:v>5</x:v>
      </x:c>
      <x:c r="AB263" s="54" t="n">
        <x:f>Z263-AA263</x:f>
        <x:v>152</x:v>
      </x:c>
      <x:c r="AC263" s="52" t="n">
        <x:f>IFERROR(ABS(E263-D263)/E263,0)</x:f>
        <x:v>0.044444444444444446</x:v>
      </x:c>
      <x:c r="AD263" s="52" t="n">
        <x:f>IFERROR(L263/E263,1)</x:f>
        <x:v>1</x:v>
      </x:c>
      <x:c r="AE263" s="52" t="n">
        <x:f>IFERROR(X263/E263,1)</x:f>
        <x:v>1</x:v>
      </x:c>
      <x:c r="AF263" s="52" t="n">
        <x:f>IFERROR(I263/F263,0)</x:f>
        <x:v>0.785</x:v>
      </x:c>
      <x:c r="AG263" s="52" t="n">
        <x:f>IFERROR(U263/F263,0)</x:f>
        <x:v>0.7041666666666667</x:v>
      </x:c>
    </x:row>
    <x:row r="264">
      <x:c r="A264" s="50" t="n">
        <x:v>46214</x:v>
      </x:c>
      <x:c r="B264" s="48" t="str">
        <x:v>Curd</x:v>
      </x:c>
      <x:c r="C264" s="48" t="n">
        <x:v>7</x:v>
      </x:c>
      <x:c r="D264" s="54" t="n">
        <x:v>580</x:v>
      </x:c>
      <x:c r="E264" s="54" t="n">
        <x:v>583</x:v>
      </x:c>
      <x:c r="F264" s="54" t="n">
        <x:v>700</x:v>
      </x:c>
      <x:c r="G264" s="54" t="n">
        <x:f>ROUND(D264*0.97,0)</x:f>
        <x:v>563</x:v>
      </x:c>
      <x:c r="H264" s="52" t="n">
        <x:v>1.0032093089737621</x:v>
      </x:c>
      <x:c r="I264" s="54" t="n">
        <x:f>MIN(F264,ROUND(G264*H264,0))</x:f>
        <x:v>565</x:v>
      </x:c>
      <x:c r="J264" s="54" t="n">
        <x:f>Q259</x:f>
        <x:v>45</x:v>
      </x:c>
      <x:c r="K264" s="54" t="n">
        <x:f>I264+J264</x:f>
        <x:v>610</x:v>
      </x:c>
      <x:c r="L264" s="54" t="n">
        <x:f>MIN(E264,K264)</x:f>
        <x:v>583</x:v>
      </x:c>
      <x:c r="M264" s="54" t="n">
        <x:f>MAX(E264-K264,0)</x:f>
        <x:v>0</x:v>
      </x:c>
      <x:c r="N264" s="54" t="n">
        <x:f>MAX(K264-L264,0)</x:f>
        <x:v>27</x:v>
      </x:c>
      <x:c r="O264" s="52" t="n">
        <x:v>0.018</x:v>
      </x:c>
      <x:c r="P264" s="54" t="n">
        <x:f>MIN(N264,ROUND(N264*O264,0))</x:f>
        <x:v>0</x:v>
      </x:c>
      <x:c r="Q264" s="54" t="n">
        <x:f>N264-P264</x:f>
        <x:v>27</x:v>
      </x:c>
      <x:c r="R264" s="54" t="n">
        <x:v>104</x:v>
      </x:c>
      <x:c r="S264" s="54" t="n">
        <x:f>MIN(F264,MAX(0,ROUND(D264+R264-V264,0)))</x:f>
        <x:v>525</x:v>
      </x:c>
      <x:c r="T264" s="52" t="n">
        <x:v>0.9981210119527206</x:v>
      </x:c>
      <x:c r="U264" s="54" t="n">
        <x:f>MIN(F264,MAX(0,ROUND(S264*T264,0)))</x:f>
        <x:v>524</x:v>
      </x:c>
      <x:c r="V264" s="54" t="n">
        <x:f>AB259</x:f>
        <x:v>159</x:v>
      </x:c>
      <x:c r="W264" s="54" t="n">
        <x:f>U264+V264</x:f>
        <x:v>683</x:v>
      </x:c>
      <x:c r="X264" s="54" t="n">
        <x:f>MIN(E264,W264)</x:f>
        <x:v>583</x:v>
      </x:c>
      <x:c r="Y264" s="54" t="n">
        <x:f>MAX(E264-W264,0)</x:f>
        <x:v>0</x:v>
      </x:c>
      <x:c r="Z264" s="54" t="n">
        <x:f>MAX(W264-X264,0)</x:f>
        <x:v>100</x:v>
      </x:c>
      <x:c r="AA264" s="54" t="n">
        <x:f>MIN(Z264,ROUND(Z264*O264,0))</x:f>
        <x:v>2</x:v>
      </x:c>
      <x:c r="AB264" s="54" t="n">
        <x:f>Z264-AA264</x:f>
        <x:v>98</x:v>
      </x:c>
      <x:c r="AC264" s="52" t="n">
        <x:f>IFERROR(ABS(E264-D264)/E264,0)</x:f>
        <x:v>0.005145797598627788</x:v>
      </x:c>
      <x:c r="AD264" s="52" t="n">
        <x:f>IFERROR(L264/E264,1)</x:f>
        <x:v>1</x:v>
      </x:c>
      <x:c r="AE264" s="52" t="n">
        <x:f>IFERROR(X264/E264,1)</x:f>
        <x:v>1</x:v>
      </x:c>
      <x:c r="AF264" s="52" t="n">
        <x:f>IFERROR(I264/F264,0)</x:f>
        <x:v>0.8071428571428572</x:v>
      </x:c>
      <x:c r="AG264" s="52" t="n">
        <x:f>IFERROR(U264/F264,0)</x:f>
        <x:v>0.7485714285714286</x:v>
      </x:c>
    </x:row>
    <x:row r="265">
      <x:c r="A265" s="50" t="n">
        <x:v>46214</x:v>
      </x:c>
      <x:c r="B265" s="48" t="str">
        <x:v>Lassi</x:v>
      </x:c>
      <x:c r="C265" s="48" t="n">
        <x:v>7</x:v>
      </x:c>
      <x:c r="D265" s="54" t="n">
        <x:v>460</x:v>
      </x:c>
      <x:c r="E265" s="54" t="n">
        <x:v>433</x:v>
      </x:c>
      <x:c r="F265" s="54" t="n">
        <x:v>560</x:v>
      </x:c>
      <x:c r="G265" s="54" t="n">
        <x:f>ROUND(D265*0.97,0)</x:f>
        <x:v>446</x:v>
      </x:c>
      <x:c r="H265" s="52" t="n">
        <x:v>0.9989227014860987</x:v>
      </x:c>
      <x:c r="I265" s="54" t="n">
        <x:f>MIN(F265,ROUND(G265*H265,0))</x:f>
        <x:v>446</x:v>
      </x:c>
      <x:c r="J265" s="54" t="n">
        <x:f>Q260</x:f>
        <x:v>14</x:v>
      </x:c>
      <x:c r="K265" s="54" t="n">
        <x:f>I265+J265</x:f>
        <x:v>460</x:v>
      </x:c>
      <x:c r="L265" s="54" t="n">
        <x:f>MIN(E265,K265)</x:f>
        <x:v>433</x:v>
      </x:c>
      <x:c r="M265" s="54" t="n">
        <x:f>MAX(E265-K265,0)</x:f>
        <x:v>0</x:v>
      </x:c>
      <x:c r="N265" s="54" t="n">
        <x:f>MAX(K265-L265,0)</x:f>
        <x:v>27</x:v>
      </x:c>
      <x:c r="O265" s="52" t="n">
        <x:v>0.02</x:v>
      </x:c>
      <x:c r="P265" s="54" t="n">
        <x:f>MIN(N265,ROUND(N265*O265,0))</x:f>
        <x:v>1</x:v>
      </x:c>
      <x:c r="Q265" s="54" t="n">
        <x:f>N265-P265</x:f>
        <x:v>26</x:v>
      </x:c>
      <x:c r="R265" s="54" t="n">
        <x:v>83</x:v>
      </x:c>
      <x:c r="S265" s="54" t="n">
        <x:f>MIN(F265,MAX(0,ROUND(D265+R265-V265,0)))</x:f>
        <x:v>498</x:v>
      </x:c>
      <x:c r="T265" s="52" t="n">
        <x:v>0.9901682384530354</x:v>
      </x:c>
      <x:c r="U265" s="54" t="n">
        <x:f>MIN(F265,MAX(0,ROUND(S265*T265,0)))</x:f>
        <x:v>493</x:v>
      </x:c>
      <x:c r="V265" s="54" t="n">
        <x:f>AB260</x:f>
        <x:v>45</x:v>
      </x:c>
      <x:c r="W265" s="54" t="n">
        <x:f>U265+V265</x:f>
        <x:v>538</x:v>
      </x:c>
      <x:c r="X265" s="54" t="n">
        <x:f>MIN(E265,W265)</x:f>
        <x:v>433</x:v>
      </x:c>
      <x:c r="Y265" s="54" t="n">
        <x:f>MAX(E265-W265,0)</x:f>
        <x:v>0</x:v>
      </x:c>
      <x:c r="Z265" s="54" t="n">
        <x:f>MAX(W265-X265,0)</x:f>
        <x:v>105</x:v>
      </x:c>
      <x:c r="AA265" s="54" t="n">
        <x:f>MIN(Z265,ROUND(Z265*O265,0))</x:f>
        <x:v>2</x:v>
      </x:c>
      <x:c r="AB265" s="54" t="n">
        <x:f>Z265-AA265</x:f>
        <x:v>103</x:v>
      </x:c>
      <x:c r="AC265" s="52" t="n">
        <x:f>IFERROR(ABS(E265-D265)/E265,0)</x:f>
        <x:v>0.06235565819861432</x:v>
      </x:c>
      <x:c r="AD265" s="52" t="n">
        <x:f>IFERROR(L265/E265,1)</x:f>
        <x:v>1</x:v>
      </x:c>
      <x:c r="AE265" s="52" t="n">
        <x:f>IFERROR(X265/E265,1)</x:f>
        <x:v>1</x:v>
      </x:c>
      <x:c r="AF265" s="52" t="n">
        <x:f>IFERROR(I265/F265,0)</x:f>
        <x:v>0.7964285714285714</x:v>
      </x:c>
      <x:c r="AG265" s="52" t="n">
        <x:f>IFERROR(U265/F265,0)</x:f>
        <x:v>0.8803571428571428</x:v>
      </x:c>
    </x:row>
    <x:row r="266">
      <x:c r="A266" s="50" t="n">
        <x:v>46214</x:v>
      </x:c>
      <x:c r="B266" s="48" t="str">
        <x:v>Paneer</x:v>
      </x:c>
      <x:c r="C266" s="48" t="n">
        <x:v>5</x:v>
      </x:c>
      <x:c r="D266" s="54" t="n">
        <x:v>182</x:v>
      </x:c>
      <x:c r="E266" s="54" t="n">
        <x:v>165</x:v>
      </x:c>
      <x:c r="F266" s="54" t="n">
        <x:v>230</x:v>
      </x:c>
      <x:c r="G266" s="54" t="n">
        <x:f>ROUND(D266*0.97,0)</x:f>
        <x:v>177</x:v>
      </x:c>
      <x:c r="H266" s="52" t="n">
        <x:v>1.003646094556482</x:v>
      </x:c>
      <x:c r="I266" s="54" t="n">
        <x:f>MIN(F266,ROUND(G266*H266,0))</x:f>
        <x:v>178</x:v>
      </x:c>
      <x:c r="J266" s="54" t="n">
        <x:f>Q261</x:f>
        <x:v>0</x:v>
      </x:c>
      <x:c r="K266" s="54" t="n">
        <x:f>I266+J266</x:f>
        <x:v>178</x:v>
      </x:c>
      <x:c r="L266" s="54" t="n">
        <x:f>MIN(E266,K266)</x:f>
        <x:v>165</x:v>
      </x:c>
      <x:c r="M266" s="54" t="n">
        <x:f>MAX(E266-K266,0)</x:f>
        <x:v>0</x:v>
      </x:c>
      <x:c r="N266" s="54" t="n">
        <x:f>MAX(K266-L266,0)</x:f>
        <x:v>13</x:v>
      </x:c>
      <x:c r="O266" s="52" t="n">
        <x:v>0.025</x:v>
      </x:c>
      <x:c r="P266" s="54" t="n">
        <x:f>MIN(N266,ROUND(N266*O266,0))</x:f>
        <x:v>0</x:v>
      </x:c>
      <x:c r="Q266" s="54" t="n">
        <x:f>N266-P266</x:f>
        <x:v>13</x:v>
      </x:c>
      <x:c r="R266" s="54" t="n">
        <x:v>36</x:v>
      </x:c>
      <x:c r="S266" s="54" t="n">
        <x:f>MIN(F266,MAX(0,ROUND(D266+R266-V266,0)))</x:f>
        <x:v>217</x:v>
      </x:c>
      <x:c r="T266" s="52" t="n">
        <x:v>0.9897960700814903</x:v>
      </x:c>
      <x:c r="U266" s="54" t="n">
        <x:f>MIN(F266,MAX(0,ROUND(S266*T266,0)))</x:f>
        <x:v>215</x:v>
      </x:c>
      <x:c r="V266" s="54" t="n">
        <x:f>AB261</x:f>
        <x:v>1</x:v>
      </x:c>
      <x:c r="W266" s="54" t="n">
        <x:f>U266+V266</x:f>
        <x:v>216</x:v>
      </x:c>
      <x:c r="X266" s="54" t="n">
        <x:f>MIN(E266,W266)</x:f>
        <x:v>165</x:v>
      </x:c>
      <x:c r="Y266" s="54" t="n">
        <x:f>MAX(E266-W266,0)</x:f>
        <x:v>0</x:v>
      </x:c>
      <x:c r="Z266" s="54" t="n">
        <x:f>MAX(W266-X266,0)</x:f>
        <x:v>51</x:v>
      </x:c>
      <x:c r="AA266" s="54" t="n">
        <x:f>MIN(Z266,ROUND(Z266*O266,0))</x:f>
        <x:v>1</x:v>
      </x:c>
      <x:c r="AB266" s="54" t="n">
        <x:f>Z266-AA266</x:f>
        <x:v>50</x:v>
      </x:c>
      <x:c r="AC266" s="52" t="n">
        <x:f>IFERROR(ABS(E266-D266)/E266,0)</x:f>
        <x:v>0.10303030303030303</x:v>
      </x:c>
      <x:c r="AD266" s="52" t="n">
        <x:f>IFERROR(L266/E266,1)</x:f>
        <x:v>1</x:v>
      </x:c>
      <x:c r="AE266" s="52" t="n">
        <x:f>IFERROR(X266/E266,1)</x:f>
        <x:v>1</x:v>
      </x:c>
      <x:c r="AF266" s="52" t="n">
        <x:f>IFERROR(I266/F266,0)</x:f>
        <x:v>0.7739130434782608</x:v>
      </x:c>
      <x:c r="AG266" s="52" t="n">
        <x:f>IFERROR(U266/F266,0)</x:f>
        <x:v>0.9347826086956522</x:v>
      </x:c>
    </x:row>
    <x:row r="267">
      <x:c r="A267" s="50" t="n">
        <x:v>46215</x:v>
      </x:c>
      <x:c r="B267" s="48" t="str">
        <x:v>Toned Milk</x:v>
      </x:c>
      <x:c r="C267" s="48" t="n">
        <x:v>2</x:v>
      </x:c>
      <x:c r="D267" s="54" t="n">
        <x:v>1939</x:v>
      </x:c>
      <x:c r="E267" s="54" t="n">
        <x:v>2090</x:v>
      </x:c>
      <x:c r="F267" s="54" t="n">
        <x:v>2250</x:v>
      </x:c>
      <x:c r="G267" s="54" t="n">
        <x:f>ROUND(D267*0.97,0)</x:f>
        <x:v>1881</x:v>
      </x:c>
      <x:c r="H267" s="52" t="n">
        <x:v>1.0045718327415134</x:v>
      </x:c>
      <x:c r="I267" s="54" t="n">
        <x:f>MIN(F267,ROUND(G267*H267,0))</x:f>
        <x:v>1890</x:v>
      </x:c>
      <x:c r="J267" s="54" t="n">
        <x:f>Q262</x:f>
        <x:v>0</x:v>
      </x:c>
      <x:c r="K267" s="54" t="n">
        <x:f>I267+J267</x:f>
        <x:v>1890</x:v>
      </x:c>
      <x:c r="L267" s="54" t="n">
        <x:f>MIN(E267,K267)</x:f>
        <x:v>1890</x:v>
      </x:c>
      <x:c r="M267" s="54" t="n">
        <x:f>MAX(E267-K267,0)</x:f>
        <x:v>200</x:v>
      </x:c>
      <x:c r="N267" s="54" t="n">
        <x:f>MAX(K267-L267,0)</x:f>
        <x:v>0</x:v>
      </x:c>
      <x:c r="O267" s="52" t="n">
        <x:v>0.025</x:v>
      </x:c>
      <x:c r="P267" s="54" t="n">
        <x:f>MIN(N267,ROUND(N267*O267,0))</x:f>
        <x:v>0</x:v>
      </x:c>
      <x:c r="Q267" s="54" t="n">
        <x:f>N267-P267</x:f>
        <x:v>0</x:v>
      </x:c>
      <x:c r="R267" s="54" t="n">
        <x:v>233</x:v>
      </x:c>
      <x:c r="S267" s="54" t="n">
        <x:f>MIN(F267,MAX(0,ROUND(D267+R267-V267,0)))</x:f>
        <x:v>2135</x:v>
      </x:c>
      <x:c r="T267" s="52" t="n">
        <x:v>0.9886513150059683</x:v>
      </x:c>
      <x:c r="U267" s="54" t="n">
        <x:f>MIN(F267,MAX(0,ROUND(S267*T267,0)))</x:f>
        <x:v>2111</x:v>
      </x:c>
      <x:c r="V267" s="54" t="n">
        <x:f>AB262</x:f>
        <x:v>37</x:v>
      </x:c>
      <x:c r="W267" s="54" t="n">
        <x:f>U267+V267</x:f>
        <x:v>2148</x:v>
      </x:c>
      <x:c r="X267" s="54" t="n">
        <x:f>MIN(E267,W267)</x:f>
        <x:v>2090</x:v>
      </x:c>
      <x:c r="Y267" s="54" t="n">
        <x:f>MAX(E267-W267,0)</x:f>
        <x:v>0</x:v>
      </x:c>
      <x:c r="Z267" s="54" t="n">
        <x:f>MAX(W267-X267,0)</x:f>
        <x:v>58</x:v>
      </x:c>
      <x:c r="AA267" s="54" t="n">
        <x:f>MIN(Z267,ROUND(Z267*O267,0))</x:f>
        <x:v>1</x:v>
      </x:c>
      <x:c r="AB267" s="54" t="n">
        <x:f>Z267-AA267</x:f>
        <x:v>57</x:v>
      </x:c>
      <x:c r="AC267" s="52" t="n">
        <x:f>IFERROR(ABS(E267-D267)/E267,0)</x:f>
        <x:v>0.0722488038277512</x:v>
      </x:c>
      <x:c r="AD267" s="52" t="n">
        <x:f>IFERROR(L267/E267,1)</x:f>
        <x:v>0.9043062200956937</x:v>
      </x:c>
      <x:c r="AE267" s="52" t="n">
        <x:f>IFERROR(X267/E267,1)</x:f>
        <x:v>1</x:v>
      </x:c>
      <x:c r="AF267" s="52" t="n">
        <x:f>IFERROR(I267/F267,0)</x:f>
        <x:v>0.84</x:v>
      </x:c>
      <x:c r="AG267" s="52" t="n">
        <x:f>IFERROR(U267/F267,0)</x:f>
        <x:v>0.9382222222222222</x:v>
      </x:c>
    </x:row>
    <x:row r="268">
      <x:c r="A268" s="50" t="n">
        <x:v>46215</x:v>
      </x:c>
      <x:c r="B268" s="48" t="str">
        <x:v>Full Cream Milk</x:v>
      </x:c>
      <x:c r="C268" s="48" t="n">
        <x:v>2</x:v>
      </x:c>
      <x:c r="D268" s="54" t="n">
        <x:v>970</x:v>
      </x:c>
      <x:c r="E268" s="54" t="n">
        <x:v>1045</x:v>
      </x:c>
      <x:c r="F268" s="54" t="n">
        <x:v>1200</x:v>
      </x:c>
      <x:c r="G268" s="54" t="n">
        <x:f>ROUND(D268*0.97,0)</x:f>
        <x:v>941</x:v>
      </x:c>
      <x:c r="H268" s="52" t="n">
        <x:v>0.9839108755182575</x:v>
      </x:c>
      <x:c r="I268" s="54" t="n">
        <x:f>MIN(F268,ROUND(G268*H268,0))</x:f>
        <x:v>926</x:v>
      </x:c>
      <x:c r="J268" s="54" t="n">
        <x:f>Q263</x:f>
        <x:v>130</x:v>
      </x:c>
      <x:c r="K268" s="54" t="n">
        <x:f>I268+J268</x:f>
        <x:v>1056</x:v>
      </x:c>
      <x:c r="L268" s="54" t="n">
        <x:f>MIN(E268,K268)</x:f>
        <x:v>1045</x:v>
      </x:c>
      <x:c r="M268" s="54" t="n">
        <x:f>MAX(E268-K268,0)</x:f>
        <x:v>0</x:v>
      </x:c>
      <x:c r="N268" s="54" t="n">
        <x:f>MAX(K268-L268,0)</x:f>
        <x:v>11</x:v>
      </x:c>
      <x:c r="O268" s="52" t="n">
        <x:v>0.03</x:v>
      </x:c>
      <x:c r="P268" s="54" t="n">
        <x:f>MIN(N268,ROUND(N268*O268,0))</x:f>
        <x:v>0</x:v>
      </x:c>
      <x:c r="Q268" s="54" t="n">
        <x:f>N268-P268</x:f>
        <x:v>11</x:v>
      </x:c>
      <x:c r="R268" s="54" t="n">
        <x:v>116</x:v>
      </x:c>
      <x:c r="S268" s="54" t="n">
        <x:f>MIN(F268,MAX(0,ROUND(D268+R268-V268,0)))</x:f>
        <x:v>934</x:v>
      </x:c>
      <x:c r="T268" s="52" t="n">
        <x:v>1.0098826167858403</x:v>
      </x:c>
      <x:c r="U268" s="54" t="n">
        <x:f>MIN(F268,MAX(0,ROUND(S268*T268,0)))</x:f>
        <x:v>943</x:v>
      </x:c>
      <x:c r="V268" s="54" t="n">
        <x:f>AB263</x:f>
        <x:v>152</x:v>
      </x:c>
      <x:c r="W268" s="54" t="n">
        <x:f>U268+V268</x:f>
        <x:v>1095</x:v>
      </x:c>
      <x:c r="X268" s="54" t="n">
        <x:f>MIN(E268,W268)</x:f>
        <x:v>1045</x:v>
      </x:c>
      <x:c r="Y268" s="54" t="n">
        <x:f>MAX(E268-W268,0)</x:f>
        <x:v>0</x:v>
      </x:c>
      <x:c r="Z268" s="54" t="n">
        <x:f>MAX(W268-X268,0)</x:f>
        <x:v>50</x:v>
      </x:c>
      <x:c r="AA268" s="54" t="n">
        <x:f>MIN(Z268,ROUND(Z268*O268,0))</x:f>
        <x:v>2</x:v>
      </x:c>
      <x:c r="AB268" s="54" t="n">
        <x:f>Z268-AA268</x:f>
        <x:v>48</x:v>
      </x:c>
      <x:c r="AC268" s="52" t="n">
        <x:f>IFERROR(ABS(E268-D268)/E268,0)</x:f>
        <x:v>0.07177033492822966</x:v>
      </x:c>
      <x:c r="AD268" s="52" t="n">
        <x:f>IFERROR(L268/E268,1)</x:f>
        <x:v>1</x:v>
      </x:c>
      <x:c r="AE268" s="52" t="n">
        <x:f>IFERROR(X268/E268,1)</x:f>
        <x:v>1</x:v>
      </x:c>
      <x:c r="AF268" s="52" t="n">
        <x:f>IFERROR(I268/F268,0)</x:f>
        <x:v>0.7716666666666666</x:v>
      </x:c>
      <x:c r="AG268" s="52" t="n">
        <x:f>IFERROR(U268/F268,0)</x:f>
        <x:v>0.7858333333333334</x:v>
      </x:c>
    </x:row>
    <x:row r="269">
      <x:c r="A269" s="50" t="n">
        <x:v>46215</x:v>
      </x:c>
      <x:c r="B269" s="48" t="str">
        <x:v>Curd</x:v>
      </x:c>
      <x:c r="C269" s="48" t="n">
        <x:v>7</x:v>
      </x:c>
      <x:c r="D269" s="54" t="n">
        <x:v>591</x:v>
      </x:c>
      <x:c r="E269" s="54" t="n">
        <x:v>547</x:v>
      </x:c>
      <x:c r="F269" s="54" t="n">
        <x:v>700</x:v>
      </x:c>
      <x:c r="G269" s="54" t="n">
        <x:f>ROUND(D269*0.97,0)</x:f>
        <x:v>573</x:v>
      </x:c>
      <x:c r="H269" s="52" t="n">
        <x:v>0.9898354533642857</x:v>
      </x:c>
      <x:c r="I269" s="54" t="n">
        <x:f>MIN(F269,ROUND(G269*H269,0))</x:f>
        <x:v>567</x:v>
      </x:c>
      <x:c r="J269" s="54" t="n">
        <x:f>Q264</x:f>
        <x:v>27</x:v>
      </x:c>
      <x:c r="K269" s="54" t="n">
        <x:f>I269+J269</x:f>
        <x:v>594</x:v>
      </x:c>
      <x:c r="L269" s="54" t="n">
        <x:f>MIN(E269,K269)</x:f>
        <x:v>547</x:v>
      </x:c>
      <x:c r="M269" s="54" t="n">
        <x:f>MAX(E269-K269,0)</x:f>
        <x:v>0</x:v>
      </x:c>
      <x:c r="N269" s="54" t="n">
        <x:f>MAX(K269-L269,0)</x:f>
        <x:v>47</x:v>
      </x:c>
      <x:c r="O269" s="52" t="n">
        <x:v>0.018</x:v>
      </x:c>
      <x:c r="P269" s="54" t="n">
        <x:f>MIN(N269,ROUND(N269*O269,0))</x:f>
        <x:v>1</x:v>
      </x:c>
      <x:c r="Q269" s="54" t="n">
        <x:f>N269-P269</x:f>
        <x:v>46</x:v>
      </x:c>
      <x:c r="R269" s="54" t="n">
        <x:v>106</x:v>
      </x:c>
      <x:c r="S269" s="54" t="n">
        <x:f>MIN(F269,MAX(0,ROUND(D269+R269-V269,0)))</x:f>
        <x:v>599</x:v>
      </x:c>
      <x:c r="T269" s="52" t="n">
        <x:v>0.9910974504844389</x:v>
      </x:c>
      <x:c r="U269" s="54" t="n">
        <x:f>MIN(F269,MAX(0,ROUND(S269*T269,0)))</x:f>
        <x:v>594</x:v>
      </x:c>
      <x:c r="V269" s="54" t="n">
        <x:f>AB264</x:f>
        <x:v>98</x:v>
      </x:c>
      <x:c r="W269" s="54" t="n">
        <x:f>U269+V269</x:f>
        <x:v>692</x:v>
      </x:c>
      <x:c r="X269" s="54" t="n">
        <x:f>MIN(E269,W269)</x:f>
        <x:v>547</x:v>
      </x:c>
      <x:c r="Y269" s="54" t="n">
        <x:f>MAX(E269-W269,0)</x:f>
        <x:v>0</x:v>
      </x:c>
      <x:c r="Z269" s="54" t="n">
        <x:f>MAX(W269-X269,0)</x:f>
        <x:v>145</x:v>
      </x:c>
      <x:c r="AA269" s="54" t="n">
        <x:f>MIN(Z269,ROUND(Z269*O269,0))</x:f>
        <x:v>3</x:v>
      </x:c>
      <x:c r="AB269" s="54" t="n">
        <x:f>Z269-AA269</x:f>
        <x:v>142</x:v>
      </x:c>
      <x:c r="AC269" s="52" t="n">
        <x:f>IFERROR(ABS(E269-D269)/E269,0)</x:f>
        <x:v>0.08043875685557587</x:v>
      </x:c>
      <x:c r="AD269" s="52" t="n">
        <x:f>IFERROR(L269/E269,1)</x:f>
        <x:v>1</x:v>
      </x:c>
      <x:c r="AE269" s="52" t="n">
        <x:f>IFERROR(X269/E269,1)</x:f>
        <x:v>1</x:v>
      </x:c>
      <x:c r="AF269" s="52" t="n">
        <x:f>IFERROR(I269/F269,0)</x:f>
        <x:v>0.81</x:v>
      </x:c>
      <x:c r="AG269" s="52" t="n">
        <x:f>IFERROR(U269/F269,0)</x:f>
        <x:v>0.8485714285714285</x:v>
      </x:c>
    </x:row>
    <x:row r="270">
      <x:c r="A270" s="50" t="n">
        <x:v>46215</x:v>
      </x:c>
      <x:c r="B270" s="48" t="str">
        <x:v>Lassi</x:v>
      </x:c>
      <x:c r="C270" s="48" t="n">
        <x:v>7</x:v>
      </x:c>
      <x:c r="D270" s="54" t="n">
        <x:v>473</x:v>
      </x:c>
      <x:c r="E270" s="54" t="n">
        <x:v>410</x:v>
      </x:c>
      <x:c r="F270" s="54" t="n">
        <x:v>560</x:v>
      </x:c>
      <x:c r="G270" s="54" t="n">
        <x:f>ROUND(D270*0.97,0)</x:f>
        <x:v>459</x:v>
      </x:c>
      <x:c r="H270" s="52" t="n">
        <x:v>0.9856643557076276</x:v>
      </x:c>
      <x:c r="I270" s="54" t="n">
        <x:f>MIN(F270,ROUND(G270*H270,0))</x:f>
        <x:v>452</x:v>
      </x:c>
      <x:c r="J270" s="54" t="n">
        <x:f>Q265</x:f>
        <x:v>26</x:v>
      </x:c>
      <x:c r="K270" s="54" t="n">
        <x:f>I270+J270</x:f>
        <x:v>478</x:v>
      </x:c>
      <x:c r="L270" s="54" t="n">
        <x:f>MIN(E270,K270)</x:f>
        <x:v>410</x:v>
      </x:c>
      <x:c r="M270" s="54" t="n">
        <x:f>MAX(E270-K270,0)</x:f>
        <x:v>0</x:v>
      </x:c>
      <x:c r="N270" s="54" t="n">
        <x:f>MAX(K270-L270,0)</x:f>
        <x:v>68</x:v>
      </x:c>
      <x:c r="O270" s="52" t="n">
        <x:v>0.02</x:v>
      </x:c>
      <x:c r="P270" s="54" t="n">
        <x:f>MIN(N270,ROUND(N270*O270,0))</x:f>
        <x:v>1</x:v>
      </x:c>
      <x:c r="Q270" s="54" t="n">
        <x:f>N270-P270</x:f>
        <x:v>67</x:v>
      </x:c>
      <x:c r="R270" s="54" t="n">
        <x:v>85</x:v>
      </x:c>
      <x:c r="S270" s="54" t="n">
        <x:f>MIN(F270,MAX(0,ROUND(D270+R270-V270,0)))</x:f>
        <x:v>455</x:v>
      </x:c>
      <x:c r="T270" s="52" t="n">
        <x:v>1.0023453257801818</x:v>
      </x:c>
      <x:c r="U270" s="54" t="n">
        <x:f>MIN(F270,MAX(0,ROUND(S270*T270,0)))</x:f>
        <x:v>456</x:v>
      </x:c>
      <x:c r="V270" s="54" t="n">
        <x:f>AB265</x:f>
        <x:v>103</x:v>
      </x:c>
      <x:c r="W270" s="54" t="n">
        <x:f>U270+V270</x:f>
        <x:v>559</x:v>
      </x:c>
      <x:c r="X270" s="54" t="n">
        <x:f>MIN(E270,W270)</x:f>
        <x:v>410</x:v>
      </x:c>
      <x:c r="Y270" s="54" t="n">
        <x:f>MAX(E270-W270,0)</x:f>
        <x:v>0</x:v>
      </x:c>
      <x:c r="Z270" s="54" t="n">
        <x:f>MAX(W270-X270,0)</x:f>
        <x:v>149</x:v>
      </x:c>
      <x:c r="AA270" s="54" t="n">
        <x:f>MIN(Z270,ROUND(Z270*O270,0))</x:f>
        <x:v>3</x:v>
      </x:c>
      <x:c r="AB270" s="54" t="n">
        <x:f>Z270-AA270</x:f>
        <x:v>146</x:v>
      </x:c>
      <x:c r="AC270" s="52" t="n">
        <x:f>IFERROR(ABS(E270-D270)/E270,0)</x:f>
        <x:v>0.15365853658536585</x:v>
      </x:c>
      <x:c r="AD270" s="52" t="n">
        <x:f>IFERROR(L270/E270,1)</x:f>
        <x:v>1</x:v>
      </x:c>
      <x:c r="AE270" s="52" t="n">
        <x:f>IFERROR(X270/E270,1)</x:f>
        <x:v>1</x:v>
      </x:c>
      <x:c r="AF270" s="52" t="n">
        <x:f>IFERROR(I270/F270,0)</x:f>
        <x:v>0.8071428571428572</x:v>
      </x:c>
      <x:c r="AG270" s="52" t="n">
        <x:f>IFERROR(U270/F270,0)</x:f>
        <x:v>0.8142857142857143</x:v>
      </x:c>
    </x:row>
    <x:row r="271">
      <x:c r="A271" s="50" t="n">
        <x:v>46215</x:v>
      </x:c>
      <x:c r="B271" s="48" t="str">
        <x:v>Paneer</x:v>
      </x:c>
      <x:c r="C271" s="48" t="n">
        <x:v>5</x:v>
      </x:c>
      <x:c r="D271" s="54" t="n">
        <x:v>187</x:v>
      </x:c>
      <x:c r="E271" s="54" t="n">
        <x:v>188</x:v>
      </x:c>
      <x:c r="F271" s="54" t="n">
        <x:v>230</x:v>
      </x:c>
      <x:c r="G271" s="54" t="n">
        <x:f>ROUND(D271*0.97,0)</x:f>
        <x:v>181</x:v>
      </x:c>
      <x:c r="H271" s="52" t="n">
        <x:v>1.019361943803403</x:v>
      </x:c>
      <x:c r="I271" s="54" t="n">
        <x:f>MIN(F271,ROUND(G271*H271,0))</x:f>
        <x:v>185</x:v>
      </x:c>
      <x:c r="J271" s="54" t="n">
        <x:f>Q266</x:f>
        <x:v>13</x:v>
      </x:c>
      <x:c r="K271" s="54" t="n">
        <x:f>I271+J271</x:f>
        <x:v>198</x:v>
      </x:c>
      <x:c r="L271" s="54" t="n">
        <x:f>MIN(E271,K271)</x:f>
        <x:v>188</x:v>
      </x:c>
      <x:c r="M271" s="54" t="n">
        <x:f>MAX(E271-K271,0)</x:f>
        <x:v>0</x:v>
      </x:c>
      <x:c r="N271" s="54" t="n">
        <x:f>MAX(K271-L271,0)</x:f>
        <x:v>10</x:v>
      </x:c>
      <x:c r="O271" s="52" t="n">
        <x:v>0.025</x:v>
      </x:c>
      <x:c r="P271" s="54" t="n">
        <x:f>MIN(N271,ROUND(N271*O271,0))</x:f>
        <x:v>0</x:v>
      </x:c>
      <x:c r="Q271" s="54" t="n">
        <x:f>N271-P271</x:f>
        <x:v>10</x:v>
      </x:c>
      <x:c r="R271" s="54" t="n">
        <x:v>37</x:v>
      </x:c>
      <x:c r="S271" s="54" t="n">
        <x:f>MIN(F271,MAX(0,ROUND(D271+R271-V271,0)))</x:f>
        <x:v>174</x:v>
      </x:c>
      <x:c r="T271" s="52" t="n">
        <x:v>1.005056026351945</x:v>
      </x:c>
      <x:c r="U271" s="54" t="n">
        <x:f>MIN(F271,MAX(0,ROUND(S271*T271,0)))</x:f>
        <x:v>175</x:v>
      </x:c>
      <x:c r="V271" s="54" t="n">
        <x:f>AB266</x:f>
        <x:v>50</x:v>
      </x:c>
      <x:c r="W271" s="54" t="n">
        <x:f>U271+V271</x:f>
        <x:v>225</x:v>
      </x:c>
      <x:c r="X271" s="54" t="n">
        <x:f>MIN(E271,W271)</x:f>
        <x:v>188</x:v>
      </x:c>
      <x:c r="Y271" s="54" t="n">
        <x:f>MAX(E271-W271,0)</x:f>
        <x:v>0</x:v>
      </x:c>
      <x:c r="Z271" s="54" t="n">
        <x:f>MAX(W271-X271,0)</x:f>
        <x:v>37</x:v>
      </x:c>
      <x:c r="AA271" s="54" t="n">
        <x:f>MIN(Z271,ROUND(Z271*O271,0))</x:f>
        <x:v>1</x:v>
      </x:c>
      <x:c r="AB271" s="54" t="n">
        <x:f>Z271-AA271</x:f>
        <x:v>36</x:v>
      </x:c>
      <x:c r="AC271" s="52" t="n">
        <x:f>IFERROR(ABS(E271-D271)/E271,0)</x:f>
        <x:v>0.005319148936170213</x:v>
      </x:c>
      <x:c r="AD271" s="52" t="n">
        <x:f>IFERROR(L271/E271,1)</x:f>
        <x:v>1</x:v>
      </x:c>
      <x:c r="AE271" s="52" t="n">
        <x:f>IFERROR(X271/E271,1)</x:f>
        <x:v>1</x:v>
      </x:c>
      <x:c r="AF271" s="52" t="n">
        <x:f>IFERROR(I271/F271,0)</x:f>
        <x:v>0.8043478260869565</x:v>
      </x:c>
      <x:c r="AG271" s="52" t="n">
        <x:f>IFERROR(U271/F271,0)</x:f>
        <x:v>0.7608695652173914</x:v>
      </x:c>
    </x:row>
    <x:row r="272">
      <x:c r="A272" s="50" t="n">
        <x:v>46216</x:v>
      </x:c>
      <x:c r="B272" s="48" t="str">
        <x:v>Toned Milk</x:v>
      </x:c>
      <x:c r="C272" s="48" t="n">
        <x:v>2</x:v>
      </x:c>
      <x:c r="D272" s="54" t="n">
        <x:v>1663</x:v>
      </x:c>
      <x:c r="E272" s="54" t="n">
        <x:v>1502</x:v>
      </x:c>
      <x:c r="F272" s="54" t="n">
        <x:v>2250</x:v>
      </x:c>
      <x:c r="G272" s="54" t="n">
        <x:f>ROUND(D272*0.97,0)</x:f>
        <x:v>1613</x:v>
      </x:c>
      <x:c r="H272" s="52" t="n">
        <x:v>0.9800145516630968</x:v>
      </x:c>
      <x:c r="I272" s="54" t="n">
        <x:f>MIN(F272,ROUND(G272*H272,0))</x:f>
        <x:v>1581</x:v>
      </x:c>
      <x:c r="J272" s="54" t="n">
        <x:f>Q267</x:f>
        <x:v>0</x:v>
      </x:c>
      <x:c r="K272" s="54" t="n">
        <x:f>I272+J272</x:f>
        <x:v>1581</x:v>
      </x:c>
      <x:c r="L272" s="54" t="n">
        <x:f>MIN(E272,K272)</x:f>
        <x:v>1502</x:v>
      </x:c>
      <x:c r="M272" s="54" t="n">
        <x:f>MAX(E272-K272,0)</x:f>
        <x:v>0</x:v>
      </x:c>
      <x:c r="N272" s="54" t="n">
        <x:f>MAX(K272-L272,0)</x:f>
        <x:v>79</x:v>
      </x:c>
      <x:c r="O272" s="52" t="n">
        <x:v>0.025</x:v>
      </x:c>
      <x:c r="P272" s="54" t="n">
        <x:f>MIN(N272,ROUND(N272*O272,0))</x:f>
        <x:v>2</x:v>
      </x:c>
      <x:c r="Q272" s="54" t="n">
        <x:f>N272-P272</x:f>
        <x:v>77</x:v>
      </x:c>
      <x:c r="R272" s="54" t="n">
        <x:v>200</x:v>
      </x:c>
      <x:c r="S272" s="54" t="n">
        <x:f>MIN(F272,MAX(0,ROUND(D272+R272-V272,0)))</x:f>
        <x:v>1806</x:v>
      </x:c>
      <x:c r="T272" s="52" t="n">
        <x:v>0.998070716189958</x:v>
      </x:c>
      <x:c r="U272" s="54" t="n">
        <x:f>MIN(F272,MAX(0,ROUND(S272*T272,0)))</x:f>
        <x:v>1803</x:v>
      </x:c>
      <x:c r="V272" s="54" t="n">
        <x:f>AB267</x:f>
        <x:v>57</x:v>
      </x:c>
      <x:c r="W272" s="54" t="n">
        <x:f>U272+V272</x:f>
        <x:v>1860</x:v>
      </x:c>
      <x:c r="X272" s="54" t="n">
        <x:f>MIN(E272,W272)</x:f>
        <x:v>1502</x:v>
      </x:c>
      <x:c r="Y272" s="54" t="n">
        <x:f>MAX(E272-W272,0)</x:f>
        <x:v>0</x:v>
      </x:c>
      <x:c r="Z272" s="54" t="n">
        <x:f>MAX(W272-X272,0)</x:f>
        <x:v>358</x:v>
      </x:c>
      <x:c r="AA272" s="54" t="n">
        <x:f>MIN(Z272,ROUND(Z272*O272,0))</x:f>
        <x:v>9</x:v>
      </x:c>
      <x:c r="AB272" s="54" t="n">
        <x:f>Z272-AA272</x:f>
        <x:v>349</x:v>
      </x:c>
      <x:c r="AC272" s="52" t="n">
        <x:f>IFERROR(ABS(E272-D272)/E272,0)</x:f>
        <x:v>0.10719041278295606</x:v>
      </x:c>
      <x:c r="AD272" s="52" t="n">
        <x:f>IFERROR(L272/E272,1)</x:f>
        <x:v>1</x:v>
      </x:c>
      <x:c r="AE272" s="52" t="n">
        <x:f>IFERROR(X272/E272,1)</x:f>
        <x:v>1</x:v>
      </x:c>
      <x:c r="AF272" s="52" t="n">
        <x:f>IFERROR(I272/F272,0)</x:f>
        <x:v>0.7026666666666667</x:v>
      </x:c>
      <x:c r="AG272" s="52" t="n">
        <x:f>IFERROR(U272/F272,0)</x:f>
        <x:v>0.8013333333333333</x:v>
      </x:c>
    </x:row>
    <x:row r="273">
      <x:c r="A273" s="50" t="n">
        <x:v>46216</x:v>
      </x:c>
      <x:c r="B273" s="48" t="str">
        <x:v>Full Cream Milk</x:v>
      </x:c>
      <x:c r="C273" s="48" t="n">
        <x:v>2</x:v>
      </x:c>
      <x:c r="D273" s="54" t="n">
        <x:v>823</x:v>
      </x:c>
      <x:c r="E273" s="54" t="n">
        <x:v>833</x:v>
      </x:c>
      <x:c r="F273" s="54" t="n">
        <x:v>1200</x:v>
      </x:c>
      <x:c r="G273" s="54" t="n">
        <x:f>ROUND(D273*0.97,0)</x:f>
        <x:v>798</x:v>
      </x:c>
      <x:c r="H273" s="52" t="n">
        <x:v>0.9987371482130448</x:v>
      </x:c>
      <x:c r="I273" s="54" t="n">
        <x:f>MIN(F273,ROUND(G273*H273,0))</x:f>
        <x:v>797</x:v>
      </x:c>
      <x:c r="J273" s="54" t="n">
        <x:f>Q268</x:f>
        <x:v>11</x:v>
      </x:c>
      <x:c r="K273" s="54" t="n">
        <x:f>I273+J273</x:f>
        <x:v>808</x:v>
      </x:c>
      <x:c r="L273" s="54" t="n">
        <x:f>MIN(E273,K273)</x:f>
        <x:v>808</x:v>
      </x:c>
      <x:c r="M273" s="54" t="n">
        <x:f>MAX(E273-K273,0)</x:f>
        <x:v>25</x:v>
      </x:c>
      <x:c r="N273" s="54" t="n">
        <x:f>MAX(K273-L273,0)</x:f>
        <x:v>0</x:v>
      </x:c>
      <x:c r="O273" s="52" t="n">
        <x:v>0.03</x:v>
      </x:c>
      <x:c r="P273" s="54" t="n">
        <x:f>MIN(N273,ROUND(N273*O273,0))</x:f>
        <x:v>0</x:v>
      </x:c>
      <x:c r="Q273" s="54" t="n">
        <x:f>N273-P273</x:f>
        <x:v>0</x:v>
      </x:c>
      <x:c r="R273" s="54" t="n">
        <x:v>99</x:v>
      </x:c>
      <x:c r="S273" s="54" t="n">
        <x:f>MIN(F273,MAX(0,ROUND(D273+R273-V273,0)))</x:f>
        <x:v>874</x:v>
      </x:c>
      <x:c r="T273" s="52" t="n">
        <x:v>0.9921028485975959</x:v>
      </x:c>
      <x:c r="U273" s="54" t="n">
        <x:f>MIN(F273,MAX(0,ROUND(S273*T273,0)))</x:f>
        <x:v>867</x:v>
      </x:c>
      <x:c r="V273" s="54" t="n">
        <x:f>AB268</x:f>
        <x:v>48</x:v>
      </x:c>
      <x:c r="W273" s="54" t="n">
        <x:f>U273+V273</x:f>
        <x:v>915</x:v>
      </x:c>
      <x:c r="X273" s="54" t="n">
        <x:f>MIN(E273,W273)</x:f>
        <x:v>833</x:v>
      </x:c>
      <x:c r="Y273" s="54" t="n">
        <x:f>MAX(E273-W273,0)</x:f>
        <x:v>0</x:v>
      </x:c>
      <x:c r="Z273" s="54" t="n">
        <x:f>MAX(W273-X273,0)</x:f>
        <x:v>82</x:v>
      </x:c>
      <x:c r="AA273" s="54" t="n">
        <x:f>MIN(Z273,ROUND(Z273*O273,0))</x:f>
        <x:v>2</x:v>
      </x:c>
      <x:c r="AB273" s="54" t="n">
        <x:f>Z273-AA273</x:f>
        <x:v>80</x:v>
      </x:c>
      <x:c r="AC273" s="52" t="n">
        <x:f>IFERROR(ABS(E273-D273)/E273,0)</x:f>
        <x:v>0.012004801920768308</x:v>
      </x:c>
      <x:c r="AD273" s="52" t="n">
        <x:f>IFERROR(L273/E273,1)</x:f>
        <x:v>0.9699879951980792</x:v>
      </x:c>
      <x:c r="AE273" s="52" t="n">
        <x:f>IFERROR(X273/E273,1)</x:f>
        <x:v>1</x:v>
      </x:c>
      <x:c r="AF273" s="52" t="n">
        <x:f>IFERROR(I273/F273,0)</x:f>
        <x:v>0.6641666666666667</x:v>
      </x:c>
      <x:c r="AG273" s="52" t="n">
        <x:f>IFERROR(U273/F273,0)</x:f>
        <x:v>0.7225</x:v>
      </x:c>
    </x:row>
    <x:row r="274">
      <x:c r="A274" s="50" t="n">
        <x:v>46216</x:v>
      </x:c>
      <x:c r="B274" s="48" t="str">
        <x:v>Curd</x:v>
      </x:c>
      <x:c r="C274" s="48" t="n">
        <x:v>7</x:v>
      </x:c>
      <x:c r="D274" s="54" t="n">
        <x:v>474</x:v>
      </x:c>
      <x:c r="E274" s="54" t="n">
        <x:v>423</x:v>
      </x:c>
      <x:c r="F274" s="54" t="n">
        <x:v>700</x:v>
      </x:c>
      <x:c r="G274" s="54" t="n">
        <x:f>ROUND(D274*0.97,0)</x:f>
        <x:v>460</x:v>
      </x:c>
      <x:c r="H274" s="52" t="n">
        <x:v>0.9926571213607108</x:v>
      </x:c>
      <x:c r="I274" s="54" t="n">
        <x:f>MIN(F274,ROUND(G274*H274,0))</x:f>
        <x:v>457</x:v>
      </x:c>
      <x:c r="J274" s="54" t="n">
        <x:f>Q269</x:f>
        <x:v>46</x:v>
      </x:c>
      <x:c r="K274" s="54" t="n">
        <x:f>I274+J274</x:f>
        <x:v>503</x:v>
      </x:c>
      <x:c r="L274" s="54" t="n">
        <x:f>MIN(E274,K274)</x:f>
        <x:v>423</x:v>
      </x:c>
      <x:c r="M274" s="54" t="n">
        <x:f>MAX(E274-K274,0)</x:f>
        <x:v>0</x:v>
      </x:c>
      <x:c r="N274" s="54" t="n">
        <x:f>MAX(K274-L274,0)</x:f>
        <x:v>80</x:v>
      </x:c>
      <x:c r="O274" s="52" t="n">
        <x:v>0.018</x:v>
      </x:c>
      <x:c r="P274" s="54" t="n">
        <x:f>MIN(N274,ROUND(N274*O274,0))</x:f>
        <x:v>1</x:v>
      </x:c>
      <x:c r="Q274" s="54" t="n">
        <x:f>N274-P274</x:f>
        <x:v>79</x:v>
      </x:c>
      <x:c r="R274" s="54" t="n">
        <x:v>85</x:v>
      </x:c>
      <x:c r="S274" s="54" t="n">
        <x:f>MIN(F274,MAX(0,ROUND(D274+R274-V274,0)))</x:f>
        <x:v>417</x:v>
      </x:c>
      <x:c r="T274" s="52" t="n">
        <x:v>0.9897694328245978</x:v>
      </x:c>
      <x:c r="U274" s="54" t="n">
        <x:f>MIN(F274,MAX(0,ROUND(S274*T274,0)))</x:f>
        <x:v>413</x:v>
      </x:c>
      <x:c r="V274" s="54" t="n">
        <x:f>AB269</x:f>
        <x:v>142</x:v>
      </x:c>
      <x:c r="W274" s="54" t="n">
        <x:f>U274+V274</x:f>
        <x:v>555</x:v>
      </x:c>
      <x:c r="X274" s="54" t="n">
        <x:f>MIN(E274,W274)</x:f>
        <x:v>423</x:v>
      </x:c>
      <x:c r="Y274" s="54" t="n">
        <x:f>MAX(E274-W274,0)</x:f>
        <x:v>0</x:v>
      </x:c>
      <x:c r="Z274" s="54" t="n">
        <x:f>MAX(W274-X274,0)</x:f>
        <x:v>132</x:v>
      </x:c>
      <x:c r="AA274" s="54" t="n">
        <x:f>MIN(Z274,ROUND(Z274*O274,0))</x:f>
        <x:v>2</x:v>
      </x:c>
      <x:c r="AB274" s="54" t="n">
        <x:f>Z274-AA274</x:f>
        <x:v>130</x:v>
      </x:c>
      <x:c r="AC274" s="52" t="n">
        <x:f>IFERROR(ABS(E274-D274)/E274,0)</x:f>
        <x:v>0.12056737588652482</x:v>
      </x:c>
      <x:c r="AD274" s="52" t="n">
        <x:f>IFERROR(L274/E274,1)</x:f>
        <x:v>1</x:v>
      </x:c>
      <x:c r="AE274" s="52" t="n">
        <x:f>IFERROR(X274/E274,1)</x:f>
        <x:v>1</x:v>
      </x:c>
      <x:c r="AF274" s="52" t="n">
        <x:f>IFERROR(I274/F274,0)</x:f>
        <x:v>0.6528571428571428</x:v>
      </x:c>
      <x:c r="AG274" s="52" t="n">
        <x:f>IFERROR(U274/F274,0)</x:f>
        <x:v>0.59</x:v>
      </x:c>
    </x:row>
    <x:row r="275">
      <x:c r="A275" s="50" t="n">
        <x:v>46216</x:v>
      </x:c>
      <x:c r="B275" s="48" t="str">
        <x:v>Lassi</x:v>
      </x:c>
      <x:c r="C275" s="48" t="n">
        <x:v>7</x:v>
      </x:c>
      <x:c r="D275" s="54" t="n">
        <x:v>367</x:v>
      </x:c>
      <x:c r="E275" s="54" t="n">
        <x:v>404</x:v>
      </x:c>
      <x:c r="F275" s="54" t="n">
        <x:v>560</x:v>
      </x:c>
      <x:c r="G275" s="54" t="n">
        <x:f>ROUND(D275*0.97,0)</x:f>
        <x:v>356</x:v>
      </x:c>
      <x:c r="H275" s="52" t="n">
        <x:v>1.0067842827086777</x:v>
      </x:c>
      <x:c r="I275" s="54" t="n">
        <x:f>MIN(F275,ROUND(G275*H275,0))</x:f>
        <x:v>358</x:v>
      </x:c>
      <x:c r="J275" s="54" t="n">
        <x:f>Q270</x:f>
        <x:v>67</x:v>
      </x:c>
      <x:c r="K275" s="54" t="n">
        <x:f>I275+J275</x:f>
        <x:v>425</x:v>
      </x:c>
      <x:c r="L275" s="54" t="n">
        <x:f>MIN(E275,K275)</x:f>
        <x:v>404</x:v>
      </x:c>
      <x:c r="M275" s="54" t="n">
        <x:f>MAX(E275-K275,0)</x:f>
        <x:v>0</x:v>
      </x:c>
      <x:c r="N275" s="54" t="n">
        <x:f>MAX(K275-L275,0)</x:f>
        <x:v>21</x:v>
      </x:c>
      <x:c r="O275" s="52" t="n">
        <x:v>0.02</x:v>
      </x:c>
      <x:c r="P275" s="54" t="n">
        <x:f>MIN(N275,ROUND(N275*O275,0))</x:f>
        <x:v>0</x:v>
      </x:c>
      <x:c r="Q275" s="54" t="n">
        <x:f>N275-P275</x:f>
        <x:v>21</x:v>
      </x:c>
      <x:c r="R275" s="54" t="n">
        <x:v>66</x:v>
      </x:c>
      <x:c r="S275" s="54" t="n">
        <x:f>MIN(F275,MAX(0,ROUND(D275+R275-V275,0)))</x:f>
        <x:v>287</x:v>
      </x:c>
      <x:c r="T275" s="52" t="n">
        <x:v>1.017289801964157</x:v>
      </x:c>
      <x:c r="U275" s="54" t="n">
        <x:f>MIN(F275,MAX(0,ROUND(S275*T275,0)))</x:f>
        <x:v>292</x:v>
      </x:c>
      <x:c r="V275" s="54" t="n">
        <x:f>AB270</x:f>
        <x:v>146</x:v>
      </x:c>
      <x:c r="W275" s="54" t="n">
        <x:f>U275+V275</x:f>
        <x:v>438</x:v>
      </x:c>
      <x:c r="X275" s="54" t="n">
        <x:f>MIN(E275,W275)</x:f>
        <x:v>404</x:v>
      </x:c>
      <x:c r="Y275" s="54" t="n">
        <x:f>MAX(E275-W275,0)</x:f>
        <x:v>0</x:v>
      </x:c>
      <x:c r="Z275" s="54" t="n">
        <x:f>MAX(W275-X275,0)</x:f>
        <x:v>34</x:v>
      </x:c>
      <x:c r="AA275" s="54" t="n">
        <x:f>MIN(Z275,ROUND(Z275*O275,0))</x:f>
        <x:v>1</x:v>
      </x:c>
      <x:c r="AB275" s="54" t="n">
        <x:f>Z275-AA275</x:f>
        <x:v>33</x:v>
      </x:c>
      <x:c r="AC275" s="52" t="n">
        <x:f>IFERROR(ABS(E275-D275)/E275,0)</x:f>
        <x:v>0.09158415841584158</x:v>
      </x:c>
      <x:c r="AD275" s="52" t="n">
        <x:f>IFERROR(L275/E275,1)</x:f>
        <x:v>1</x:v>
      </x:c>
      <x:c r="AE275" s="52" t="n">
        <x:f>IFERROR(X275/E275,1)</x:f>
        <x:v>1</x:v>
      </x:c>
      <x:c r="AF275" s="52" t="n">
        <x:f>IFERROR(I275/F275,0)</x:f>
        <x:v>0.6392857142857142</x:v>
      </x:c>
      <x:c r="AG275" s="52" t="n">
        <x:f>IFERROR(U275/F275,0)</x:f>
        <x:v>0.5214285714285715</x:v>
      </x:c>
    </x:row>
    <x:row r="276">
      <x:c r="A276" s="50" t="n">
        <x:v>46216</x:v>
      </x:c>
      <x:c r="B276" s="48" t="str">
        <x:v>Paneer</x:v>
      </x:c>
      <x:c r="C276" s="48" t="n">
        <x:v>5</x:v>
      </x:c>
      <x:c r="D276" s="54" t="n">
        <x:v>150</x:v>
      </x:c>
      <x:c r="E276" s="54" t="n">
        <x:v>131</x:v>
      </x:c>
      <x:c r="F276" s="54" t="n">
        <x:v>230</x:v>
      </x:c>
      <x:c r="G276" s="54" t="n">
        <x:f>ROUND(D276*0.97,0)</x:f>
        <x:v>146</x:v>
      </x:c>
      <x:c r="H276" s="52" t="n">
        <x:v>0.9993443545903403</x:v>
      </x:c>
      <x:c r="I276" s="54" t="n">
        <x:f>MIN(F276,ROUND(G276*H276,0))</x:f>
        <x:v>146</x:v>
      </x:c>
      <x:c r="J276" s="54" t="n">
        <x:f>Q271</x:f>
        <x:v>10</x:v>
      </x:c>
      <x:c r="K276" s="54" t="n">
        <x:f>I276+J276</x:f>
        <x:v>156</x:v>
      </x:c>
      <x:c r="L276" s="54" t="n">
        <x:f>MIN(E276,K276)</x:f>
        <x:v>131</x:v>
      </x:c>
      <x:c r="M276" s="54" t="n">
        <x:f>MAX(E276-K276,0)</x:f>
        <x:v>0</x:v>
      </x:c>
      <x:c r="N276" s="54" t="n">
        <x:f>MAX(K276-L276,0)</x:f>
        <x:v>25</x:v>
      </x:c>
      <x:c r="O276" s="52" t="n">
        <x:v>0.025</x:v>
      </x:c>
      <x:c r="P276" s="54" t="n">
        <x:f>MIN(N276,ROUND(N276*O276,0))</x:f>
        <x:v>1</x:v>
      </x:c>
      <x:c r="Q276" s="54" t="n">
        <x:f>N276-P276</x:f>
        <x:v>24</x:v>
      </x:c>
      <x:c r="R276" s="54" t="n">
        <x:v>30</x:v>
      </x:c>
      <x:c r="S276" s="54" t="n">
        <x:f>MIN(F276,MAX(0,ROUND(D276+R276-V276,0)))</x:f>
        <x:v>144</x:v>
      </x:c>
      <x:c r="T276" s="52" t="n">
        <x:v>0.9981336646853013</x:v>
      </x:c>
      <x:c r="U276" s="54" t="n">
        <x:f>MIN(F276,MAX(0,ROUND(S276*T276,0)))</x:f>
        <x:v>144</x:v>
      </x:c>
      <x:c r="V276" s="54" t="n">
        <x:f>AB271</x:f>
        <x:v>36</x:v>
      </x:c>
      <x:c r="W276" s="54" t="n">
        <x:f>U276+V276</x:f>
        <x:v>180</x:v>
      </x:c>
      <x:c r="X276" s="54" t="n">
        <x:f>MIN(E276,W276)</x:f>
        <x:v>131</x:v>
      </x:c>
      <x:c r="Y276" s="54" t="n">
        <x:f>MAX(E276-W276,0)</x:f>
        <x:v>0</x:v>
      </x:c>
      <x:c r="Z276" s="54" t="n">
        <x:f>MAX(W276-X276,0)</x:f>
        <x:v>49</x:v>
      </x:c>
      <x:c r="AA276" s="54" t="n">
        <x:f>MIN(Z276,ROUND(Z276*O276,0))</x:f>
        <x:v>1</x:v>
      </x:c>
      <x:c r="AB276" s="54" t="n">
        <x:f>Z276-AA276</x:f>
        <x:v>48</x:v>
      </x:c>
      <x:c r="AC276" s="52" t="n">
        <x:f>IFERROR(ABS(E276-D276)/E276,0)</x:f>
        <x:v>0.1450381679389313</x:v>
      </x:c>
      <x:c r="AD276" s="52" t="n">
        <x:f>IFERROR(L276/E276,1)</x:f>
        <x:v>1</x:v>
      </x:c>
      <x:c r="AE276" s="52" t="n">
        <x:f>IFERROR(X276/E276,1)</x:f>
        <x:v>1</x:v>
      </x:c>
      <x:c r="AF276" s="52" t="n">
        <x:f>IFERROR(I276/F276,0)</x:f>
        <x:v>0.6347826086956522</x:v>
      </x:c>
      <x:c r="AG276" s="52" t="n">
        <x:f>IFERROR(U276/F276,0)</x:f>
        <x:v>0.6260869565217392</x:v>
      </x:c>
    </x:row>
    <x:row r="277">
      <x:c r="A277" s="50" t="n">
        <x:v>46217</x:v>
      </x:c>
      <x:c r="B277" s="48" t="str">
        <x:v>Toned Milk</x:v>
      </x:c>
      <x:c r="C277" s="48" t="n">
        <x:v>2</x:v>
      </x:c>
      <x:c r="D277" s="54" t="n">
        <x:v>1698</x:v>
      </x:c>
      <x:c r="E277" s="54" t="n">
        <x:v>1819</x:v>
      </x:c>
      <x:c r="F277" s="54" t="n">
        <x:v>2250</x:v>
      </x:c>
      <x:c r="G277" s="54" t="n">
        <x:f>ROUND(D277*0.97,0)</x:f>
        <x:v>1647</x:v>
      </x:c>
      <x:c r="H277" s="52" t="n">
        <x:v>1.0077113803686957</x:v>
      </x:c>
      <x:c r="I277" s="54" t="n">
        <x:f>MIN(F277,ROUND(G277*H277,0))</x:f>
        <x:v>1660</x:v>
      </x:c>
      <x:c r="J277" s="54" t="n">
        <x:f>Q272</x:f>
        <x:v>77</x:v>
      </x:c>
      <x:c r="K277" s="54" t="n">
        <x:f>I277+J277</x:f>
        <x:v>1737</x:v>
      </x:c>
      <x:c r="L277" s="54" t="n">
        <x:f>MIN(E277,K277)</x:f>
        <x:v>1737</x:v>
      </x:c>
      <x:c r="M277" s="54" t="n">
        <x:f>MAX(E277-K277,0)</x:f>
        <x:v>82</x:v>
      </x:c>
      <x:c r="N277" s="54" t="n">
        <x:f>MAX(K277-L277,0)</x:f>
        <x:v>0</x:v>
      </x:c>
      <x:c r="O277" s="52" t="n">
        <x:v>0.025</x:v>
      </x:c>
      <x:c r="P277" s="54" t="n">
        <x:f>MIN(N277,ROUND(N277*O277,0))</x:f>
        <x:v>0</x:v>
      </x:c>
      <x:c r="Q277" s="54" t="n">
        <x:f>N277-P277</x:f>
        <x:v>0</x:v>
      </x:c>
      <x:c r="R277" s="54" t="n">
        <x:v>204</x:v>
      </x:c>
      <x:c r="S277" s="54" t="n">
        <x:f>MIN(F277,MAX(0,ROUND(D277+R277-V277,0)))</x:f>
        <x:v>1553</x:v>
      </x:c>
      <x:c r="T277" s="52" t="n">
        <x:v>1.0164952877885685</x:v>
      </x:c>
      <x:c r="U277" s="54" t="n">
        <x:f>MIN(F277,MAX(0,ROUND(S277*T277,0)))</x:f>
        <x:v>1579</x:v>
      </x:c>
      <x:c r="V277" s="54" t="n">
        <x:f>AB272</x:f>
        <x:v>349</x:v>
      </x:c>
      <x:c r="W277" s="54" t="n">
        <x:f>U277+V277</x:f>
        <x:v>1928</x:v>
      </x:c>
      <x:c r="X277" s="54" t="n">
        <x:f>MIN(E277,W277)</x:f>
        <x:v>1819</x:v>
      </x:c>
      <x:c r="Y277" s="54" t="n">
        <x:f>MAX(E277-W277,0)</x:f>
        <x:v>0</x:v>
      </x:c>
      <x:c r="Z277" s="54" t="n">
        <x:f>MAX(W277-X277,0)</x:f>
        <x:v>109</x:v>
      </x:c>
      <x:c r="AA277" s="54" t="n">
        <x:f>MIN(Z277,ROUND(Z277*O277,0))</x:f>
        <x:v>3</x:v>
      </x:c>
      <x:c r="AB277" s="54" t="n">
        <x:f>Z277-AA277</x:f>
        <x:v>106</x:v>
      </x:c>
      <x:c r="AC277" s="52" t="n">
        <x:f>IFERROR(ABS(E277-D277)/E277,0)</x:f>
        <x:v>0.06652006597031336</x:v>
      </x:c>
      <x:c r="AD277" s="52" t="n">
        <x:f>IFERROR(L277/E277,1)</x:f>
        <x:v>0.9549202858713579</x:v>
      </x:c>
      <x:c r="AE277" s="52" t="n">
        <x:f>IFERROR(X277/E277,1)</x:f>
        <x:v>1</x:v>
      </x:c>
      <x:c r="AF277" s="52" t="n">
        <x:f>IFERROR(I277/F277,0)</x:f>
        <x:v>0.7377777777777778</x:v>
      </x:c>
      <x:c r="AG277" s="52" t="n">
        <x:f>IFERROR(U277/F277,0)</x:f>
        <x:v>0.7017777777777777</x:v>
      </x:c>
    </x:row>
    <x:row r="278">
      <x:c r="A278" s="50" t="n">
        <x:v>46217</x:v>
      </x:c>
      <x:c r="B278" s="48" t="str">
        <x:v>Full Cream Milk</x:v>
      </x:c>
      <x:c r="C278" s="48" t="n">
        <x:v>2</x:v>
      </x:c>
      <x:c r="D278" s="54" t="n">
        <x:v>849</x:v>
      </x:c>
      <x:c r="E278" s="54" t="n">
        <x:v>988</x:v>
      </x:c>
      <x:c r="F278" s="54" t="n">
        <x:v>1200</x:v>
      </x:c>
      <x:c r="G278" s="54" t="n">
        <x:f>ROUND(D278*0.97,0)</x:f>
        <x:v>824</x:v>
      </x:c>
      <x:c r="H278" s="52" t="n">
        <x:v>1.002857886551761</x:v>
      </x:c>
      <x:c r="I278" s="54" t="n">
        <x:f>MIN(F278,ROUND(G278*H278,0))</x:f>
        <x:v>826</x:v>
      </x:c>
      <x:c r="J278" s="54" t="n">
        <x:f>Q273</x:f>
        <x:v>0</x:v>
      </x:c>
      <x:c r="K278" s="54" t="n">
        <x:f>I278+J278</x:f>
        <x:v>826</x:v>
      </x:c>
      <x:c r="L278" s="54" t="n">
        <x:f>MIN(E278,K278)</x:f>
        <x:v>826</x:v>
      </x:c>
      <x:c r="M278" s="54" t="n">
        <x:f>MAX(E278-K278,0)</x:f>
        <x:v>162</x:v>
      </x:c>
      <x:c r="N278" s="54" t="n">
        <x:f>MAX(K278-L278,0)</x:f>
        <x:v>0</x:v>
      </x:c>
      <x:c r="O278" s="52" t="n">
        <x:v>0.03</x:v>
      </x:c>
      <x:c r="P278" s="54" t="n">
        <x:f>MIN(N278,ROUND(N278*O278,0))</x:f>
        <x:v>0</x:v>
      </x:c>
      <x:c r="Q278" s="54" t="n">
        <x:f>N278-P278</x:f>
        <x:v>0</x:v>
      </x:c>
      <x:c r="R278" s="54" t="n">
        <x:v>102</x:v>
      </x:c>
      <x:c r="S278" s="54" t="n">
        <x:f>MIN(F278,MAX(0,ROUND(D278+R278-V278,0)))</x:f>
        <x:v>871</x:v>
      </x:c>
      <x:c r="T278" s="52" t="n">
        <x:v>1.0168450321998366</x:v>
      </x:c>
      <x:c r="U278" s="54" t="n">
        <x:f>MIN(F278,MAX(0,ROUND(S278*T278,0)))</x:f>
        <x:v>886</x:v>
      </x:c>
      <x:c r="V278" s="54" t="n">
        <x:f>AB273</x:f>
        <x:v>80</x:v>
      </x:c>
      <x:c r="W278" s="54" t="n">
        <x:f>U278+V278</x:f>
        <x:v>966</x:v>
      </x:c>
      <x:c r="X278" s="54" t="n">
        <x:f>MIN(E278,W278)</x:f>
        <x:v>966</x:v>
      </x:c>
      <x:c r="Y278" s="54" t="n">
        <x:f>MAX(E278-W278,0)</x:f>
        <x:v>22</x:v>
      </x:c>
      <x:c r="Z278" s="54" t="n">
        <x:f>MAX(W278-X278,0)</x:f>
        <x:v>0</x:v>
      </x:c>
      <x:c r="AA278" s="54" t="n">
        <x:f>MIN(Z278,ROUND(Z278*O278,0))</x:f>
        <x:v>0</x:v>
      </x:c>
      <x:c r="AB278" s="54" t="n">
        <x:f>Z278-AA278</x:f>
        <x:v>0</x:v>
      </x:c>
      <x:c r="AC278" s="52" t="n">
        <x:f>IFERROR(ABS(E278-D278)/E278,0)</x:f>
        <x:v>0.14068825910931174</x:v>
      </x:c>
      <x:c r="AD278" s="52" t="n">
        <x:f>IFERROR(L278/E278,1)</x:f>
        <x:v>0.8360323886639676</x:v>
      </x:c>
      <x:c r="AE278" s="52" t="n">
        <x:f>IFERROR(X278/E278,1)</x:f>
        <x:v>0.9777327935222672</x:v>
      </x:c>
      <x:c r="AF278" s="52" t="n">
        <x:f>IFERROR(I278/F278,0)</x:f>
        <x:v>0.6883333333333334</x:v>
      </x:c>
      <x:c r="AG278" s="52" t="n">
        <x:f>IFERROR(U278/F278,0)</x:f>
        <x:v>0.7383333333333333</x:v>
      </x:c>
    </x:row>
    <x:row r="279">
      <x:c r="A279" s="50" t="n">
        <x:v>46217</x:v>
      </x:c>
      <x:c r="B279" s="48" t="str">
        <x:v>Curd</x:v>
      </x:c>
      <x:c r="C279" s="48" t="n">
        <x:v>7</x:v>
      </x:c>
      <x:c r="D279" s="54" t="n">
        <x:v>489</x:v>
      </x:c>
      <x:c r="E279" s="54" t="n">
        <x:v>568</x:v>
      </x:c>
      <x:c r="F279" s="54" t="n">
        <x:v>700</x:v>
      </x:c>
      <x:c r="G279" s="54" t="n">
        <x:f>ROUND(D279*0.97,0)</x:f>
        <x:v>474</x:v>
      </x:c>
      <x:c r="H279" s="52" t="n">
        <x:v>1.006409391026545</x:v>
      </x:c>
      <x:c r="I279" s="54" t="n">
        <x:f>MIN(F279,ROUND(G279*H279,0))</x:f>
        <x:v>477</x:v>
      </x:c>
      <x:c r="J279" s="54" t="n">
        <x:f>Q274</x:f>
        <x:v>79</x:v>
      </x:c>
      <x:c r="K279" s="54" t="n">
        <x:f>I279+J279</x:f>
        <x:v>556</x:v>
      </x:c>
      <x:c r="L279" s="54" t="n">
        <x:f>MIN(E279,K279)</x:f>
        <x:v>556</x:v>
      </x:c>
      <x:c r="M279" s="54" t="n">
        <x:f>MAX(E279-K279,0)</x:f>
        <x:v>12</x:v>
      </x:c>
      <x:c r="N279" s="54" t="n">
        <x:f>MAX(K279-L279,0)</x:f>
        <x:v>0</x:v>
      </x:c>
      <x:c r="O279" s="52" t="n">
        <x:v>0.018</x:v>
      </x:c>
      <x:c r="P279" s="54" t="n">
        <x:f>MIN(N279,ROUND(N279*O279,0))</x:f>
        <x:v>0</x:v>
      </x:c>
      <x:c r="Q279" s="54" t="n">
        <x:f>N279-P279</x:f>
        <x:v>0</x:v>
      </x:c>
      <x:c r="R279" s="54" t="n">
        <x:v>88</x:v>
      </x:c>
      <x:c r="S279" s="54" t="n">
        <x:f>MIN(F279,MAX(0,ROUND(D279+R279-V279,0)))</x:f>
        <x:v>447</x:v>
      </x:c>
      <x:c r="T279" s="52" t="n">
        <x:v>0.9951115938772017</x:v>
      </x:c>
      <x:c r="U279" s="54" t="n">
        <x:f>MIN(F279,MAX(0,ROUND(S279*T279,0)))</x:f>
        <x:v>445</x:v>
      </x:c>
      <x:c r="V279" s="54" t="n">
        <x:f>AB274</x:f>
        <x:v>130</x:v>
      </x:c>
      <x:c r="W279" s="54" t="n">
        <x:f>U279+V279</x:f>
        <x:v>575</x:v>
      </x:c>
      <x:c r="X279" s="54" t="n">
        <x:f>MIN(E279,W279)</x:f>
        <x:v>568</x:v>
      </x:c>
      <x:c r="Y279" s="54" t="n">
        <x:f>MAX(E279-W279,0)</x:f>
        <x:v>0</x:v>
      </x:c>
      <x:c r="Z279" s="54" t="n">
        <x:f>MAX(W279-X279,0)</x:f>
        <x:v>7</x:v>
      </x:c>
      <x:c r="AA279" s="54" t="n">
        <x:f>MIN(Z279,ROUND(Z279*O279,0))</x:f>
        <x:v>0</x:v>
      </x:c>
      <x:c r="AB279" s="54" t="n">
        <x:f>Z279-AA279</x:f>
        <x:v>7</x:v>
      </x:c>
      <x:c r="AC279" s="52" t="n">
        <x:f>IFERROR(ABS(E279-D279)/E279,0)</x:f>
        <x:v>0.13908450704225353</x:v>
      </x:c>
      <x:c r="AD279" s="52" t="n">
        <x:f>IFERROR(L279/E279,1)</x:f>
        <x:v>0.9788732394366197</x:v>
      </x:c>
      <x:c r="AE279" s="52" t="n">
        <x:f>IFERROR(X279/E279,1)</x:f>
        <x:v>1</x:v>
      </x:c>
      <x:c r="AF279" s="52" t="n">
        <x:f>IFERROR(I279/F279,0)</x:f>
        <x:v>0.6814285714285714</x:v>
      </x:c>
      <x:c r="AG279" s="52" t="n">
        <x:f>IFERROR(U279/F279,0)</x:f>
        <x:v>0.6357142857142857</x:v>
      </x:c>
    </x:row>
    <x:row r="280">
      <x:c r="A280" s="50" t="n">
        <x:v>46217</x:v>
      </x:c>
      <x:c r="B280" s="48" t="str">
        <x:v>Lassi</x:v>
      </x:c>
      <x:c r="C280" s="48" t="n">
        <x:v>7</x:v>
      </x:c>
      <x:c r="D280" s="54" t="n">
        <x:v>383</x:v>
      </x:c>
      <x:c r="E280" s="54" t="n">
        <x:v>341</x:v>
      </x:c>
      <x:c r="F280" s="54" t="n">
        <x:v>560</x:v>
      </x:c>
      <x:c r="G280" s="54" t="n">
        <x:f>ROUND(D280*0.97,0)</x:f>
        <x:v>372</x:v>
      </x:c>
      <x:c r="H280" s="52" t="n">
        <x:v>0.992723193403575</x:v>
      </x:c>
      <x:c r="I280" s="54" t="n">
        <x:f>MIN(F280,ROUND(G280*H280,0))</x:f>
        <x:v>369</x:v>
      </x:c>
      <x:c r="J280" s="54" t="n">
        <x:f>Q275</x:f>
        <x:v>21</x:v>
      </x:c>
      <x:c r="K280" s="54" t="n">
        <x:f>I280+J280</x:f>
        <x:v>390</x:v>
      </x:c>
      <x:c r="L280" s="54" t="n">
        <x:f>MIN(E280,K280)</x:f>
        <x:v>341</x:v>
      </x:c>
      <x:c r="M280" s="54" t="n">
        <x:f>MAX(E280-K280,0)</x:f>
        <x:v>0</x:v>
      </x:c>
      <x:c r="N280" s="54" t="n">
        <x:f>MAX(K280-L280,0)</x:f>
        <x:v>49</x:v>
      </x:c>
      <x:c r="O280" s="52" t="n">
        <x:v>0.02</x:v>
      </x:c>
      <x:c r="P280" s="54" t="n">
        <x:f>MIN(N280,ROUND(N280*O280,0))</x:f>
        <x:v>1</x:v>
      </x:c>
      <x:c r="Q280" s="54" t="n">
        <x:f>N280-P280</x:f>
        <x:v>48</x:v>
      </x:c>
      <x:c r="R280" s="54" t="n">
        <x:v>69</x:v>
      </x:c>
      <x:c r="S280" s="54" t="n">
        <x:f>MIN(F280,MAX(0,ROUND(D280+R280-V280,0)))</x:f>
        <x:v>419</x:v>
      </x:c>
      <x:c r="T280" s="52" t="n">
        <x:v>1.0052797551820232</x:v>
      </x:c>
      <x:c r="U280" s="54" t="n">
        <x:f>MIN(F280,MAX(0,ROUND(S280*T280,0)))</x:f>
        <x:v>421</x:v>
      </x:c>
      <x:c r="V280" s="54" t="n">
        <x:f>AB275</x:f>
        <x:v>33</x:v>
      </x:c>
      <x:c r="W280" s="54" t="n">
        <x:f>U280+V280</x:f>
        <x:v>454</x:v>
      </x:c>
      <x:c r="X280" s="54" t="n">
        <x:f>MIN(E280,W280)</x:f>
        <x:v>341</x:v>
      </x:c>
      <x:c r="Y280" s="54" t="n">
        <x:f>MAX(E280-W280,0)</x:f>
        <x:v>0</x:v>
      </x:c>
      <x:c r="Z280" s="54" t="n">
        <x:f>MAX(W280-X280,0)</x:f>
        <x:v>113</x:v>
      </x:c>
      <x:c r="AA280" s="54" t="n">
        <x:f>MIN(Z280,ROUND(Z280*O280,0))</x:f>
        <x:v>2</x:v>
      </x:c>
      <x:c r="AB280" s="54" t="n">
        <x:f>Z280-AA280</x:f>
        <x:v>111</x:v>
      </x:c>
      <x:c r="AC280" s="52" t="n">
        <x:f>IFERROR(ABS(E280-D280)/E280,0)</x:f>
        <x:v>0.12316715542521994</x:v>
      </x:c>
      <x:c r="AD280" s="52" t="n">
        <x:f>IFERROR(L280/E280,1)</x:f>
        <x:v>1</x:v>
      </x:c>
      <x:c r="AE280" s="52" t="n">
        <x:f>IFERROR(X280/E280,1)</x:f>
        <x:v>1</x:v>
      </x:c>
      <x:c r="AF280" s="52" t="n">
        <x:f>IFERROR(I280/F280,0)</x:f>
        <x:v>0.6589285714285714</x:v>
      </x:c>
      <x:c r="AG280" s="52" t="n">
        <x:f>IFERROR(U280/F280,0)</x:f>
        <x:v>0.7517857142857143</x:v>
      </x:c>
    </x:row>
    <x:row r="281">
      <x:c r="A281" s="50" t="n">
        <x:v>46217</x:v>
      </x:c>
      <x:c r="B281" s="48" t="str">
        <x:v>Paneer</x:v>
      </x:c>
      <x:c r="C281" s="48" t="n">
        <x:v>5</x:v>
      </x:c>
      <x:c r="D281" s="54" t="n">
        <x:v>155</x:v>
      </x:c>
      <x:c r="E281" s="54" t="n">
        <x:v>163</x:v>
      </x:c>
      <x:c r="F281" s="54" t="n">
        <x:v>230</x:v>
      </x:c>
      <x:c r="G281" s="54" t="n">
        <x:f>ROUND(D281*0.97,0)</x:f>
        <x:v>150</x:v>
      </x:c>
      <x:c r="H281" s="52" t="n">
        <x:v>1.0074700092180857</x:v>
      </x:c>
      <x:c r="I281" s="54" t="n">
        <x:f>MIN(F281,ROUND(G281*H281,0))</x:f>
        <x:v>151</x:v>
      </x:c>
      <x:c r="J281" s="54" t="n">
        <x:f>Q276</x:f>
        <x:v>24</x:v>
      </x:c>
      <x:c r="K281" s="54" t="n">
        <x:f>I281+J281</x:f>
        <x:v>175</x:v>
      </x:c>
      <x:c r="L281" s="54" t="n">
        <x:f>MIN(E281,K281)</x:f>
        <x:v>163</x:v>
      </x:c>
      <x:c r="M281" s="54" t="n">
        <x:f>MAX(E281-K281,0)</x:f>
        <x:v>0</x:v>
      </x:c>
      <x:c r="N281" s="54" t="n">
        <x:f>MAX(K281-L281,0)</x:f>
        <x:v>12</x:v>
      </x:c>
      <x:c r="O281" s="52" t="n">
        <x:v>0.025</x:v>
      </x:c>
      <x:c r="P281" s="54" t="n">
        <x:f>MIN(N281,ROUND(N281*O281,0))</x:f>
        <x:v>0</x:v>
      </x:c>
      <x:c r="Q281" s="54" t="n">
        <x:f>N281-P281</x:f>
        <x:v>12</x:v>
      </x:c>
      <x:c r="R281" s="54" t="n">
        <x:v>31</x:v>
      </x:c>
      <x:c r="S281" s="54" t="n">
        <x:f>MIN(F281,MAX(0,ROUND(D281+R281-V281,0)))</x:f>
        <x:v>138</x:v>
      </x:c>
      <x:c r="T281" s="52" t="n">
        <x:v>0.9982078070567462</x:v>
      </x:c>
      <x:c r="U281" s="54" t="n">
        <x:f>MIN(F281,MAX(0,ROUND(S281*T281,0)))</x:f>
        <x:v>138</x:v>
      </x:c>
      <x:c r="V281" s="54" t="n">
        <x:f>AB276</x:f>
        <x:v>48</x:v>
      </x:c>
      <x:c r="W281" s="54" t="n">
        <x:f>U281+V281</x:f>
        <x:v>186</x:v>
      </x:c>
      <x:c r="X281" s="54" t="n">
        <x:f>MIN(E281,W281)</x:f>
        <x:v>163</x:v>
      </x:c>
      <x:c r="Y281" s="54" t="n">
        <x:f>MAX(E281-W281,0)</x:f>
        <x:v>0</x:v>
      </x:c>
      <x:c r="Z281" s="54" t="n">
        <x:f>MAX(W281-X281,0)</x:f>
        <x:v>23</x:v>
      </x:c>
      <x:c r="AA281" s="54" t="n">
        <x:f>MIN(Z281,ROUND(Z281*O281,0))</x:f>
        <x:v>1</x:v>
      </x:c>
      <x:c r="AB281" s="54" t="n">
        <x:f>Z281-AA281</x:f>
        <x:v>22</x:v>
      </x:c>
      <x:c r="AC281" s="52" t="n">
        <x:f>IFERROR(ABS(E281-D281)/E281,0)</x:f>
        <x:v>0.049079754601226995</x:v>
      </x:c>
      <x:c r="AD281" s="52" t="n">
        <x:f>IFERROR(L281/E281,1)</x:f>
        <x:v>1</x:v>
      </x:c>
      <x:c r="AE281" s="52" t="n">
        <x:f>IFERROR(X281/E281,1)</x:f>
        <x:v>1</x:v>
      </x:c>
      <x:c r="AF281" s="52" t="n">
        <x:f>IFERROR(I281/F281,0)</x:f>
        <x:v>0.6565217391304348</x:v>
      </x:c>
      <x:c r="AG281" s="52" t="n">
        <x:f>IFERROR(U281/F281,0)</x:f>
        <x:v>0.6</x:v>
      </x:c>
    </x:row>
    <x:row r="282">
      <x:c r="A282" s="50" t="n">
        <x:v>46218</x:v>
      </x:c>
      <x:c r="B282" s="48" t="str">
        <x:v>Toned Milk</x:v>
      </x:c>
      <x:c r="C282" s="48" t="n">
        <x:v>2</x:v>
      </x:c>
      <x:c r="D282" s="54" t="n">
        <x:v>1716</x:v>
      </x:c>
      <x:c r="E282" s="54" t="n">
        <x:v>1867</x:v>
      </x:c>
      <x:c r="F282" s="54" t="n">
        <x:v>2250</x:v>
      </x:c>
      <x:c r="G282" s="54" t="n">
        <x:f>ROUND(D282*0.97,0)</x:f>
        <x:v>1665</x:v>
      </x:c>
      <x:c r="H282" s="52" t="n">
        <x:v>1.0118134222599384</x:v>
      </x:c>
      <x:c r="I282" s="54" t="n">
        <x:f>MIN(F282,ROUND(G282*H282,0))</x:f>
        <x:v>1685</x:v>
      </x:c>
      <x:c r="J282" s="54" t="n">
        <x:f>Q277</x:f>
        <x:v>0</x:v>
      </x:c>
      <x:c r="K282" s="54" t="n">
        <x:f>I282+J282</x:f>
        <x:v>1685</x:v>
      </x:c>
      <x:c r="L282" s="54" t="n">
        <x:f>MIN(E282,K282)</x:f>
        <x:v>1685</x:v>
      </x:c>
      <x:c r="M282" s="54" t="n">
        <x:f>MAX(E282-K282,0)</x:f>
        <x:v>182</x:v>
      </x:c>
      <x:c r="N282" s="54" t="n">
        <x:f>MAX(K282-L282,0)</x:f>
        <x:v>0</x:v>
      </x:c>
      <x:c r="O282" s="52" t="n">
        <x:v>0.025</x:v>
      </x:c>
      <x:c r="P282" s="54" t="n">
        <x:f>MIN(N282,ROUND(N282*O282,0))</x:f>
        <x:v>0</x:v>
      </x:c>
      <x:c r="Q282" s="54" t="n">
        <x:f>N282-P282</x:f>
        <x:v>0</x:v>
      </x:c>
      <x:c r="R282" s="54" t="n">
        <x:v>206</x:v>
      </x:c>
      <x:c r="S282" s="54" t="n">
        <x:f>MIN(F282,MAX(0,ROUND(D282+R282-V282,0)))</x:f>
        <x:v>1816</x:v>
      </x:c>
      <x:c r="T282" s="52" t="n">
        <x:v>1.0163821594413662</x:v>
      </x:c>
      <x:c r="U282" s="54" t="n">
        <x:f>MIN(F282,MAX(0,ROUND(S282*T282,0)))</x:f>
        <x:v>1846</x:v>
      </x:c>
      <x:c r="V282" s="54" t="n">
        <x:f>AB277</x:f>
        <x:v>106</x:v>
      </x:c>
      <x:c r="W282" s="54" t="n">
        <x:f>U282+V282</x:f>
        <x:v>1952</x:v>
      </x:c>
      <x:c r="X282" s="54" t="n">
        <x:f>MIN(E282,W282)</x:f>
        <x:v>1867</x:v>
      </x:c>
      <x:c r="Y282" s="54" t="n">
        <x:f>MAX(E282-W282,0)</x:f>
        <x:v>0</x:v>
      </x:c>
      <x:c r="Z282" s="54" t="n">
        <x:f>MAX(W282-X282,0)</x:f>
        <x:v>85</x:v>
      </x:c>
      <x:c r="AA282" s="54" t="n">
        <x:f>MIN(Z282,ROUND(Z282*O282,0))</x:f>
        <x:v>2</x:v>
      </x:c>
      <x:c r="AB282" s="54" t="n">
        <x:f>Z282-AA282</x:f>
        <x:v>83</x:v>
      </x:c>
      <x:c r="AC282" s="52" t="n">
        <x:f>IFERROR(ABS(E282-D282)/E282,0)</x:f>
        <x:v>0.080878414568827</x:v>
      </x:c>
      <x:c r="AD282" s="52" t="n">
        <x:f>IFERROR(L282/E282,1)</x:f>
        <x:v>0.9025174076057847</x:v>
      </x:c>
      <x:c r="AE282" s="52" t="n">
        <x:f>IFERROR(X282/E282,1)</x:f>
        <x:v>1</x:v>
      </x:c>
      <x:c r="AF282" s="52" t="n">
        <x:f>IFERROR(I282/F282,0)</x:f>
        <x:v>0.7488888888888889</x:v>
      </x:c>
      <x:c r="AG282" s="52" t="n">
        <x:f>IFERROR(U282/F282,0)</x:f>
        <x:v>0.8204444444444444</x:v>
      </x:c>
    </x:row>
    <x:row r="283">
      <x:c r="A283" s="50" t="n">
        <x:v>46218</x:v>
      </x:c>
      <x:c r="B283" s="48" t="str">
        <x:v>Full Cream Milk</x:v>
      </x:c>
      <x:c r="C283" s="48" t="n">
        <x:v>2</x:v>
      </x:c>
      <x:c r="D283" s="54" t="n">
        <x:v>858</x:v>
      </x:c>
      <x:c r="E283" s="54" t="n">
        <x:v>898</x:v>
      </x:c>
      <x:c r="F283" s="54" t="n">
        <x:v>1200</x:v>
      </x:c>
      <x:c r="G283" s="54" t="n">
        <x:f>ROUND(D283*0.97,0)</x:f>
        <x:v>832</x:v>
      </x:c>
      <x:c r="H283" s="52" t="n">
        <x:v>1.0060978844211026</x:v>
      </x:c>
      <x:c r="I283" s="54" t="n">
        <x:f>MIN(F283,ROUND(G283*H283,0))</x:f>
        <x:v>837</x:v>
      </x:c>
      <x:c r="J283" s="54" t="n">
        <x:f>Q278</x:f>
        <x:v>0</x:v>
      </x:c>
      <x:c r="K283" s="54" t="n">
        <x:f>I283+J283</x:f>
        <x:v>837</x:v>
      </x:c>
      <x:c r="L283" s="54" t="n">
        <x:f>MIN(E283,K283)</x:f>
        <x:v>837</x:v>
      </x:c>
      <x:c r="M283" s="54" t="n">
        <x:f>MAX(E283-K283,0)</x:f>
        <x:v>61</x:v>
      </x:c>
      <x:c r="N283" s="54" t="n">
        <x:f>MAX(K283-L283,0)</x:f>
        <x:v>0</x:v>
      </x:c>
      <x:c r="O283" s="52" t="n">
        <x:v>0.03</x:v>
      </x:c>
      <x:c r="P283" s="54" t="n">
        <x:f>MIN(N283,ROUND(N283*O283,0))</x:f>
        <x:v>0</x:v>
      </x:c>
      <x:c r="Q283" s="54" t="n">
        <x:f>N283-P283</x:f>
        <x:v>0</x:v>
      </x:c>
      <x:c r="R283" s="54" t="n">
        <x:v>103</x:v>
      </x:c>
      <x:c r="S283" s="54" t="n">
        <x:f>MIN(F283,MAX(0,ROUND(D283+R283-V283,0)))</x:f>
        <x:v>961</x:v>
      </x:c>
      <x:c r="T283" s="52" t="n">
        <x:v>0.9898440271844877</x:v>
      </x:c>
      <x:c r="U283" s="54" t="n">
        <x:f>MIN(F283,MAX(0,ROUND(S283*T283,0)))</x:f>
        <x:v>951</x:v>
      </x:c>
      <x:c r="V283" s="54" t="n">
        <x:f>AB278</x:f>
        <x:v>0</x:v>
      </x:c>
      <x:c r="W283" s="54" t="n">
        <x:f>U283+V283</x:f>
        <x:v>951</x:v>
      </x:c>
      <x:c r="X283" s="54" t="n">
        <x:f>MIN(E283,W283)</x:f>
        <x:v>898</x:v>
      </x:c>
      <x:c r="Y283" s="54" t="n">
        <x:f>MAX(E283-W283,0)</x:f>
        <x:v>0</x:v>
      </x:c>
      <x:c r="Z283" s="54" t="n">
        <x:f>MAX(W283-X283,0)</x:f>
        <x:v>53</x:v>
      </x:c>
      <x:c r="AA283" s="54" t="n">
        <x:f>MIN(Z283,ROUND(Z283*O283,0))</x:f>
        <x:v>2</x:v>
      </x:c>
      <x:c r="AB283" s="54" t="n">
        <x:f>Z283-AA283</x:f>
        <x:v>51</x:v>
      </x:c>
      <x:c r="AC283" s="52" t="n">
        <x:f>IFERROR(ABS(E283-D283)/E283,0)</x:f>
        <x:v>0.044543429844097995</x:v>
      </x:c>
      <x:c r="AD283" s="52" t="n">
        <x:f>IFERROR(L283/E283,1)</x:f>
        <x:v>0.9320712694877505</x:v>
      </x:c>
      <x:c r="AE283" s="52" t="n">
        <x:f>IFERROR(X283/E283,1)</x:f>
        <x:v>1</x:v>
      </x:c>
      <x:c r="AF283" s="52" t="n">
        <x:f>IFERROR(I283/F283,0)</x:f>
        <x:v>0.6975</x:v>
      </x:c>
      <x:c r="AG283" s="52" t="n">
        <x:f>IFERROR(U283/F283,0)</x:f>
        <x:v>0.7925</x:v>
      </x:c>
    </x:row>
    <x:row r="284">
      <x:c r="A284" s="50" t="n">
        <x:v>46218</x:v>
      </x:c>
      <x:c r="B284" s="48" t="str">
        <x:v>Curd</x:v>
      </x:c>
      <x:c r="C284" s="48" t="n">
        <x:v>7</x:v>
      </x:c>
      <x:c r="D284" s="54" t="n">
        <x:v>500</x:v>
      </x:c>
      <x:c r="E284" s="54" t="n">
        <x:v>502</x:v>
      </x:c>
      <x:c r="F284" s="54" t="n">
        <x:v>700</x:v>
      </x:c>
      <x:c r="G284" s="54" t="n">
        <x:f>ROUND(D284*0.97,0)</x:f>
        <x:v>485</x:v>
      </x:c>
      <x:c r="H284" s="52" t="n">
        <x:v>0.9969699525576847</x:v>
      </x:c>
      <x:c r="I284" s="54" t="n">
        <x:f>MIN(F284,ROUND(G284*H284,0))</x:f>
        <x:v>484</x:v>
      </x:c>
      <x:c r="J284" s="54" t="n">
        <x:f>Q279</x:f>
        <x:v>0</x:v>
      </x:c>
      <x:c r="K284" s="54" t="n">
        <x:f>I284+J284</x:f>
        <x:v>484</x:v>
      </x:c>
      <x:c r="L284" s="54" t="n">
        <x:f>MIN(E284,K284)</x:f>
        <x:v>484</x:v>
      </x:c>
      <x:c r="M284" s="54" t="n">
        <x:f>MAX(E284-K284,0)</x:f>
        <x:v>18</x:v>
      </x:c>
      <x:c r="N284" s="54" t="n">
        <x:f>MAX(K284-L284,0)</x:f>
        <x:v>0</x:v>
      </x:c>
      <x:c r="O284" s="52" t="n">
        <x:v>0.018</x:v>
      </x:c>
      <x:c r="P284" s="54" t="n">
        <x:f>MIN(N284,ROUND(N284*O284,0))</x:f>
        <x:v>0</x:v>
      </x:c>
      <x:c r="Q284" s="54" t="n">
        <x:f>N284-P284</x:f>
        <x:v>0</x:v>
      </x:c>
      <x:c r="R284" s="54" t="n">
        <x:v>90</x:v>
      </x:c>
      <x:c r="S284" s="54" t="n">
        <x:f>MIN(F284,MAX(0,ROUND(D284+R284-V284,0)))</x:f>
        <x:v>583</x:v>
      </x:c>
      <x:c r="T284" s="52" t="n">
        <x:v>1.0034696483973162</x:v>
      </x:c>
      <x:c r="U284" s="54" t="n">
        <x:f>MIN(F284,MAX(0,ROUND(S284*T284,0)))</x:f>
        <x:v>585</x:v>
      </x:c>
      <x:c r="V284" s="54" t="n">
        <x:f>AB279</x:f>
        <x:v>7</x:v>
      </x:c>
      <x:c r="W284" s="54" t="n">
        <x:f>U284+V284</x:f>
        <x:v>592</x:v>
      </x:c>
      <x:c r="X284" s="54" t="n">
        <x:f>MIN(E284,W284)</x:f>
        <x:v>502</x:v>
      </x:c>
      <x:c r="Y284" s="54" t="n">
        <x:f>MAX(E284-W284,0)</x:f>
        <x:v>0</x:v>
      </x:c>
      <x:c r="Z284" s="54" t="n">
        <x:f>MAX(W284-X284,0)</x:f>
        <x:v>90</x:v>
      </x:c>
      <x:c r="AA284" s="54" t="n">
        <x:f>MIN(Z284,ROUND(Z284*O284,0))</x:f>
        <x:v>2</x:v>
      </x:c>
      <x:c r="AB284" s="54" t="n">
        <x:f>Z284-AA284</x:f>
        <x:v>88</x:v>
      </x:c>
      <x:c r="AC284" s="52" t="n">
        <x:f>IFERROR(ABS(E284-D284)/E284,0)</x:f>
        <x:v>0.00398406374501992</x:v>
      </x:c>
      <x:c r="AD284" s="52" t="n">
        <x:f>IFERROR(L284/E284,1)</x:f>
        <x:v>0.9641434262948207</x:v>
      </x:c>
      <x:c r="AE284" s="52" t="n">
        <x:f>IFERROR(X284/E284,1)</x:f>
        <x:v>1</x:v>
      </x:c>
      <x:c r="AF284" s="52" t="n">
        <x:f>IFERROR(I284/F284,0)</x:f>
        <x:v>0.6914285714285714</x:v>
      </x:c>
      <x:c r="AG284" s="52" t="n">
        <x:f>IFERROR(U284/F284,0)</x:f>
        <x:v>0.8357142857142857</x:v>
      </x:c>
    </x:row>
    <x:row r="285">
      <x:c r="A285" s="50" t="n">
        <x:v>46218</x:v>
      </x:c>
      <x:c r="B285" s="48" t="str">
        <x:v>Lassi</x:v>
      </x:c>
      <x:c r="C285" s="48" t="n">
        <x:v>7</x:v>
      </x:c>
      <x:c r="D285" s="54" t="n">
        <x:v>400</x:v>
      </x:c>
      <x:c r="E285" s="54" t="n">
        <x:v>462</x:v>
      </x:c>
      <x:c r="F285" s="54" t="n">
        <x:v>560</x:v>
      </x:c>
      <x:c r="G285" s="54" t="n">
        <x:f>ROUND(D285*0.97,0)</x:f>
        <x:v>388</x:v>
      </x:c>
      <x:c r="H285" s="52" t="n">
        <x:v>0.9998654302842754</x:v>
      </x:c>
      <x:c r="I285" s="54" t="n">
        <x:f>MIN(F285,ROUND(G285*H285,0))</x:f>
        <x:v>388</x:v>
      </x:c>
      <x:c r="J285" s="54" t="n">
        <x:f>Q280</x:f>
        <x:v>48</x:v>
      </x:c>
      <x:c r="K285" s="54" t="n">
        <x:f>I285+J285</x:f>
        <x:v>436</x:v>
      </x:c>
      <x:c r="L285" s="54" t="n">
        <x:f>MIN(E285,K285)</x:f>
        <x:v>436</x:v>
      </x:c>
      <x:c r="M285" s="54" t="n">
        <x:f>MAX(E285-K285,0)</x:f>
        <x:v>26</x:v>
      </x:c>
      <x:c r="N285" s="54" t="n">
        <x:f>MAX(K285-L285,0)</x:f>
        <x:v>0</x:v>
      </x:c>
      <x:c r="O285" s="52" t="n">
        <x:v>0.02</x:v>
      </x:c>
      <x:c r="P285" s="54" t="n">
        <x:f>MIN(N285,ROUND(N285*O285,0))</x:f>
        <x:v>0</x:v>
      </x:c>
      <x:c r="Q285" s="54" t="n">
        <x:f>N285-P285</x:f>
        <x:v>0</x:v>
      </x:c>
      <x:c r="R285" s="54" t="n">
        <x:v>72</x:v>
      </x:c>
      <x:c r="S285" s="54" t="n">
        <x:f>MIN(F285,MAX(0,ROUND(D285+R285-V285,0)))</x:f>
        <x:v>361</x:v>
      </x:c>
      <x:c r="T285" s="52" t="n">
        <x:v>0.996242567252177</x:v>
      </x:c>
      <x:c r="U285" s="54" t="n">
        <x:f>MIN(F285,MAX(0,ROUND(S285*T285,0)))</x:f>
        <x:v>360</x:v>
      </x:c>
      <x:c r="V285" s="54" t="n">
        <x:f>AB280</x:f>
        <x:v>111</x:v>
      </x:c>
      <x:c r="W285" s="54" t="n">
        <x:f>U285+V285</x:f>
        <x:v>471</x:v>
      </x:c>
      <x:c r="X285" s="54" t="n">
        <x:f>MIN(E285,W285)</x:f>
        <x:v>462</x:v>
      </x:c>
      <x:c r="Y285" s="54" t="n">
        <x:f>MAX(E285-W285,0)</x:f>
        <x:v>0</x:v>
      </x:c>
      <x:c r="Z285" s="54" t="n">
        <x:f>MAX(W285-X285,0)</x:f>
        <x:v>9</x:v>
      </x:c>
      <x:c r="AA285" s="54" t="n">
        <x:f>MIN(Z285,ROUND(Z285*O285,0))</x:f>
        <x:v>0</x:v>
      </x:c>
      <x:c r="AB285" s="54" t="n">
        <x:f>Z285-AA285</x:f>
        <x:v>9</x:v>
      </x:c>
      <x:c r="AC285" s="52" t="n">
        <x:f>IFERROR(ABS(E285-D285)/E285,0)</x:f>
        <x:v>0.1341991341991342</x:v>
      </x:c>
      <x:c r="AD285" s="52" t="n">
        <x:f>IFERROR(L285/E285,1)</x:f>
        <x:v>0.9437229437229437</x:v>
      </x:c>
      <x:c r="AE285" s="52" t="n">
        <x:f>IFERROR(X285/E285,1)</x:f>
        <x:v>1</x:v>
      </x:c>
      <x:c r="AF285" s="52" t="n">
        <x:f>IFERROR(I285/F285,0)</x:f>
        <x:v>0.6928571428571428</x:v>
      </x:c>
      <x:c r="AG285" s="52" t="n">
        <x:f>IFERROR(U285/F285,0)</x:f>
        <x:v>0.6428571428571429</x:v>
      </x:c>
    </x:row>
    <x:row r="286">
      <x:c r="A286" s="50" t="n">
        <x:v>46218</x:v>
      </x:c>
      <x:c r="B286" s="48" t="str">
        <x:v>Paneer</x:v>
      </x:c>
      <x:c r="C286" s="48" t="n">
        <x:v>5</x:v>
      </x:c>
      <x:c r="D286" s="54" t="n">
        <x:v>160</x:v>
      </x:c>
      <x:c r="E286" s="54" t="n">
        <x:v>175</x:v>
      </x:c>
      <x:c r="F286" s="54" t="n">
        <x:v>230</x:v>
      </x:c>
      <x:c r="G286" s="54" t="n">
        <x:f>ROUND(D286*0.97,0)</x:f>
        <x:v>155</x:v>
      </x:c>
      <x:c r="H286" s="52" t="n">
        <x:v>0.9977854454217684</x:v>
      </x:c>
      <x:c r="I286" s="54" t="n">
        <x:f>MIN(F286,ROUND(G286*H286,0))</x:f>
        <x:v>155</x:v>
      </x:c>
      <x:c r="J286" s="54" t="n">
        <x:f>Q281</x:f>
        <x:v>12</x:v>
      </x:c>
      <x:c r="K286" s="54" t="n">
        <x:f>I286+J286</x:f>
        <x:v>167</x:v>
      </x:c>
      <x:c r="L286" s="54" t="n">
        <x:f>MIN(E286,K286)</x:f>
        <x:v>167</x:v>
      </x:c>
      <x:c r="M286" s="54" t="n">
        <x:f>MAX(E286-K286,0)</x:f>
        <x:v>8</x:v>
      </x:c>
      <x:c r="N286" s="54" t="n">
        <x:f>MAX(K286-L286,0)</x:f>
        <x:v>0</x:v>
      </x:c>
      <x:c r="O286" s="52" t="n">
        <x:v>0.025</x:v>
      </x:c>
      <x:c r="P286" s="54" t="n">
        <x:f>MIN(N286,ROUND(N286*O286,0))</x:f>
        <x:v>0</x:v>
      </x:c>
      <x:c r="Q286" s="54" t="n">
        <x:f>N286-P286</x:f>
        <x:v>0</x:v>
      </x:c>
      <x:c r="R286" s="54" t="n">
        <x:v>32</x:v>
      </x:c>
      <x:c r="S286" s="54" t="n">
        <x:f>MIN(F286,MAX(0,ROUND(D286+R286-V286,0)))</x:f>
        <x:v>170</x:v>
      </x:c>
      <x:c r="T286" s="52" t="n">
        <x:v>0.9803641959122329</x:v>
      </x:c>
      <x:c r="U286" s="54" t="n">
        <x:f>MIN(F286,MAX(0,ROUND(S286*T286,0)))</x:f>
        <x:v>167</x:v>
      </x:c>
      <x:c r="V286" s="54" t="n">
        <x:f>AB281</x:f>
        <x:v>22</x:v>
      </x:c>
      <x:c r="W286" s="54" t="n">
        <x:f>U286+V286</x:f>
        <x:v>189</x:v>
      </x:c>
      <x:c r="X286" s="54" t="n">
        <x:f>MIN(E286,W286)</x:f>
        <x:v>175</x:v>
      </x:c>
      <x:c r="Y286" s="54" t="n">
        <x:f>MAX(E286-W286,0)</x:f>
        <x:v>0</x:v>
      </x:c>
      <x:c r="Z286" s="54" t="n">
        <x:f>MAX(W286-X286,0)</x:f>
        <x:v>14</x:v>
      </x:c>
      <x:c r="AA286" s="54" t="n">
        <x:f>MIN(Z286,ROUND(Z286*O286,0))</x:f>
        <x:v>0</x:v>
      </x:c>
      <x:c r="AB286" s="54" t="n">
        <x:f>Z286-AA286</x:f>
        <x:v>14</x:v>
      </x:c>
      <x:c r="AC286" s="52" t="n">
        <x:f>IFERROR(ABS(E286-D286)/E286,0)</x:f>
        <x:v>0.08571428571428572</x:v>
      </x:c>
      <x:c r="AD286" s="52" t="n">
        <x:f>IFERROR(L286/E286,1)</x:f>
        <x:v>0.9542857142857143</x:v>
      </x:c>
      <x:c r="AE286" s="52" t="n">
        <x:f>IFERROR(X286/E286,1)</x:f>
        <x:v>1</x:v>
      </x:c>
      <x:c r="AF286" s="52" t="n">
        <x:f>IFERROR(I286/F286,0)</x:f>
        <x:v>0.6739130434782609</x:v>
      </x:c>
      <x:c r="AG286" s="52" t="n">
        <x:f>IFERROR(U286/F286,0)</x:f>
        <x:v>0.7260869565217392</x:v>
      </x:c>
    </x:row>
    <x:row r="287">
      <x:c r="A287" s="50" t="n">
        <x:v>46219</x:v>
      </x:c>
      <x:c r="B287" s="48" t="str">
        <x:v>Toned Milk</x:v>
      </x:c>
      <x:c r="C287" s="48" t="n">
        <x:v>2</x:v>
      </x:c>
      <x:c r="D287" s="54" t="n">
        <x:v>1734</x:v>
      </x:c>
      <x:c r="E287" s="54" t="n">
        <x:v>1979</x:v>
      </x:c>
      <x:c r="F287" s="54" t="n">
        <x:v>2250</x:v>
      </x:c>
      <x:c r="G287" s="54" t="n">
        <x:f>ROUND(D287*0.97,0)</x:f>
        <x:v>1682</x:v>
      </x:c>
      <x:c r="H287" s="52" t="n">
        <x:v>1.0060213954617943</x:v>
      </x:c>
      <x:c r="I287" s="54" t="n">
        <x:f>MIN(F287,ROUND(G287*H287,0))</x:f>
        <x:v>1692</x:v>
      </x:c>
      <x:c r="J287" s="54" t="n">
        <x:f>Q282</x:f>
        <x:v>0</x:v>
      </x:c>
      <x:c r="K287" s="54" t="n">
        <x:f>I287+J287</x:f>
        <x:v>1692</x:v>
      </x:c>
      <x:c r="L287" s="54" t="n">
        <x:f>MIN(E287,K287)</x:f>
        <x:v>1692</x:v>
      </x:c>
      <x:c r="M287" s="54" t="n">
        <x:f>MAX(E287-K287,0)</x:f>
        <x:v>287</x:v>
      </x:c>
      <x:c r="N287" s="54" t="n">
        <x:f>MAX(K287-L287,0)</x:f>
        <x:v>0</x:v>
      </x:c>
      <x:c r="O287" s="52" t="n">
        <x:v>0.025</x:v>
      </x:c>
      <x:c r="P287" s="54" t="n">
        <x:f>MIN(N287,ROUND(N287*O287,0))</x:f>
        <x:v>0</x:v>
      </x:c>
      <x:c r="Q287" s="54" t="n">
        <x:f>N287-P287</x:f>
        <x:v>0</x:v>
      </x:c>
      <x:c r="R287" s="54" t="n">
        <x:v>208</x:v>
      </x:c>
      <x:c r="S287" s="54" t="n">
        <x:f>MIN(F287,MAX(0,ROUND(D287+R287-V287,0)))</x:f>
        <x:v>1859</x:v>
      </x:c>
      <x:c r="T287" s="52" t="n">
        <x:v>0.9940126476197555</x:v>
      </x:c>
      <x:c r="U287" s="54" t="n">
        <x:f>MIN(F287,MAX(0,ROUND(S287*T287,0)))</x:f>
        <x:v>1848</x:v>
      </x:c>
      <x:c r="V287" s="54" t="n">
        <x:f>AB282</x:f>
        <x:v>83</x:v>
      </x:c>
      <x:c r="W287" s="54" t="n">
        <x:f>U287+V287</x:f>
        <x:v>1931</x:v>
      </x:c>
      <x:c r="X287" s="54" t="n">
        <x:f>MIN(E287,W287)</x:f>
        <x:v>1931</x:v>
      </x:c>
      <x:c r="Y287" s="54" t="n">
        <x:f>MAX(E287-W287,0)</x:f>
        <x:v>48</x:v>
      </x:c>
      <x:c r="Z287" s="54" t="n">
        <x:f>MAX(W287-X287,0)</x:f>
        <x:v>0</x:v>
      </x:c>
      <x:c r="AA287" s="54" t="n">
        <x:f>MIN(Z287,ROUND(Z287*O287,0))</x:f>
        <x:v>0</x:v>
      </x:c>
      <x:c r="AB287" s="54" t="n">
        <x:f>Z287-AA287</x:f>
        <x:v>0</x:v>
      </x:c>
      <x:c r="AC287" s="52" t="n">
        <x:f>IFERROR(ABS(E287-D287)/E287,0)</x:f>
        <x:v>0.12379989893885801</x:v>
      </x:c>
      <x:c r="AD287" s="52" t="n">
        <x:f>IFERROR(L287/E287,1)</x:f>
        <x:v>0.8549772612430521</x:v>
      </x:c>
      <x:c r="AE287" s="52" t="n">
        <x:f>IFERROR(X287/E287,1)</x:f>
        <x:v>0.9757453259221829</x:v>
      </x:c>
      <x:c r="AF287" s="52" t="n">
        <x:f>IFERROR(I287/F287,0)</x:f>
        <x:v>0.752</x:v>
      </x:c>
      <x:c r="AG287" s="52" t="n">
        <x:f>IFERROR(U287/F287,0)</x:f>
        <x:v>0.8213333333333334</x:v>
      </x:c>
    </x:row>
    <x:row r="288">
      <x:c r="A288" s="50" t="n">
        <x:v>46219</x:v>
      </x:c>
      <x:c r="B288" s="48" t="str">
        <x:v>Full Cream Milk</x:v>
      </x:c>
      <x:c r="C288" s="48" t="n">
        <x:v>2</x:v>
      </x:c>
      <x:c r="D288" s="54" t="n">
        <x:v>867</x:v>
      </x:c>
      <x:c r="E288" s="54" t="n">
        <x:v>906</x:v>
      </x:c>
      <x:c r="F288" s="54" t="n">
        <x:v>1200</x:v>
      </x:c>
      <x:c r="G288" s="54" t="n">
        <x:f>ROUND(D288*0.97,0)</x:f>
        <x:v>841</x:v>
      </x:c>
      <x:c r="H288" s="52" t="n">
        <x:v>0.9917255287932337</x:v>
      </x:c>
      <x:c r="I288" s="54" t="n">
        <x:f>MIN(F288,ROUND(G288*H288,0))</x:f>
        <x:v>834</x:v>
      </x:c>
      <x:c r="J288" s="54" t="n">
        <x:f>Q283</x:f>
        <x:v>0</x:v>
      </x:c>
      <x:c r="K288" s="54" t="n">
        <x:f>I288+J288</x:f>
        <x:v>834</x:v>
      </x:c>
      <x:c r="L288" s="54" t="n">
        <x:f>MIN(E288,K288)</x:f>
        <x:v>834</x:v>
      </x:c>
      <x:c r="M288" s="54" t="n">
        <x:f>MAX(E288-K288,0)</x:f>
        <x:v>72</x:v>
      </x:c>
      <x:c r="N288" s="54" t="n">
        <x:f>MAX(K288-L288,0)</x:f>
        <x:v>0</x:v>
      </x:c>
      <x:c r="O288" s="52" t="n">
        <x:v>0.03</x:v>
      </x:c>
      <x:c r="P288" s="54" t="n">
        <x:f>MIN(N288,ROUND(N288*O288,0))</x:f>
        <x:v>0</x:v>
      </x:c>
      <x:c r="Q288" s="54" t="n">
        <x:f>N288-P288</x:f>
        <x:v>0</x:v>
      </x:c>
      <x:c r="R288" s="54" t="n">
        <x:v>104</x:v>
      </x:c>
      <x:c r="S288" s="54" t="n">
        <x:f>MIN(F288,MAX(0,ROUND(D288+R288-V288,0)))</x:f>
        <x:v>920</x:v>
      </x:c>
      <x:c r="T288" s="52" t="n">
        <x:v>1.0031315524859254</x:v>
      </x:c>
      <x:c r="U288" s="54" t="n">
        <x:f>MIN(F288,MAX(0,ROUND(S288*T288,0)))</x:f>
        <x:v>923</x:v>
      </x:c>
      <x:c r="V288" s="54" t="n">
        <x:f>AB283</x:f>
        <x:v>51</x:v>
      </x:c>
      <x:c r="W288" s="54" t="n">
        <x:f>U288+V288</x:f>
        <x:v>974</x:v>
      </x:c>
      <x:c r="X288" s="54" t="n">
        <x:f>MIN(E288,W288)</x:f>
        <x:v>906</x:v>
      </x:c>
      <x:c r="Y288" s="54" t="n">
        <x:f>MAX(E288-W288,0)</x:f>
        <x:v>0</x:v>
      </x:c>
      <x:c r="Z288" s="54" t="n">
        <x:f>MAX(W288-X288,0)</x:f>
        <x:v>68</x:v>
      </x:c>
      <x:c r="AA288" s="54" t="n">
        <x:f>MIN(Z288,ROUND(Z288*O288,0))</x:f>
        <x:v>2</x:v>
      </x:c>
      <x:c r="AB288" s="54" t="n">
        <x:f>Z288-AA288</x:f>
        <x:v>66</x:v>
      </x:c>
      <x:c r="AC288" s="52" t="n">
        <x:f>IFERROR(ABS(E288-D288)/E288,0)</x:f>
        <x:v>0.04304635761589404</x:v>
      </x:c>
      <x:c r="AD288" s="52" t="n">
        <x:f>IFERROR(L288/E288,1)</x:f>
        <x:v>0.9205298013245033</x:v>
      </x:c>
      <x:c r="AE288" s="52" t="n">
        <x:f>IFERROR(X288/E288,1)</x:f>
        <x:v>1</x:v>
      </x:c>
      <x:c r="AF288" s="52" t="n">
        <x:f>IFERROR(I288/F288,0)</x:f>
        <x:v>0.695</x:v>
      </x:c>
      <x:c r="AG288" s="52" t="n">
        <x:f>IFERROR(U288/F288,0)</x:f>
        <x:v>0.7691666666666667</x:v>
      </x:c>
    </x:row>
    <x:row r="289">
      <x:c r="A289" s="50" t="n">
        <x:v>46219</x:v>
      </x:c>
      <x:c r="B289" s="48" t="str">
        <x:v>Curd</x:v>
      </x:c>
      <x:c r="C289" s="48" t="n">
        <x:v>7</x:v>
      </x:c>
      <x:c r="D289" s="54" t="n">
        <x:v>510</x:v>
      </x:c>
      <x:c r="E289" s="54" t="n">
        <x:v>574</x:v>
      </x:c>
      <x:c r="F289" s="54" t="n">
        <x:v>700</x:v>
      </x:c>
      <x:c r="G289" s="54" t="n">
        <x:f>ROUND(D289*0.97,0)</x:f>
        <x:v>495</x:v>
      </x:c>
      <x:c r="H289" s="52" t="n">
        <x:v>1.0195037510121676</x:v>
      </x:c>
      <x:c r="I289" s="54" t="n">
        <x:f>MIN(F289,ROUND(G289*H289,0))</x:f>
        <x:v>505</x:v>
      </x:c>
      <x:c r="J289" s="54" t="n">
        <x:f>Q284</x:f>
        <x:v>0</x:v>
      </x:c>
      <x:c r="K289" s="54" t="n">
        <x:f>I289+J289</x:f>
        <x:v>505</x:v>
      </x:c>
      <x:c r="L289" s="54" t="n">
        <x:f>MIN(E289,K289)</x:f>
        <x:v>505</x:v>
      </x:c>
      <x:c r="M289" s="54" t="n">
        <x:f>MAX(E289-K289,0)</x:f>
        <x:v>69</x:v>
      </x:c>
      <x:c r="N289" s="54" t="n">
        <x:f>MAX(K289-L289,0)</x:f>
        <x:v>0</x:v>
      </x:c>
      <x:c r="O289" s="52" t="n">
        <x:v>0.018</x:v>
      </x:c>
      <x:c r="P289" s="54" t="n">
        <x:f>MIN(N289,ROUND(N289*O289,0))</x:f>
        <x:v>0</x:v>
      </x:c>
      <x:c r="Q289" s="54" t="n">
        <x:f>N289-P289</x:f>
        <x:v>0</x:v>
      </x:c>
      <x:c r="R289" s="54" t="n">
        <x:v>92</x:v>
      </x:c>
      <x:c r="S289" s="54" t="n">
        <x:f>MIN(F289,MAX(0,ROUND(D289+R289-V289,0)))</x:f>
        <x:v>514</x:v>
      </x:c>
      <x:c r="T289" s="52" t="n">
        <x:v>1.0129013812420395</x:v>
      </x:c>
      <x:c r="U289" s="54" t="n">
        <x:f>MIN(F289,MAX(0,ROUND(S289*T289,0)))</x:f>
        <x:v>521</x:v>
      </x:c>
      <x:c r="V289" s="54" t="n">
        <x:f>AB284</x:f>
        <x:v>88</x:v>
      </x:c>
      <x:c r="W289" s="54" t="n">
        <x:f>U289+V289</x:f>
        <x:v>609</x:v>
      </x:c>
      <x:c r="X289" s="54" t="n">
        <x:f>MIN(E289,W289)</x:f>
        <x:v>574</x:v>
      </x:c>
      <x:c r="Y289" s="54" t="n">
        <x:f>MAX(E289-W289,0)</x:f>
        <x:v>0</x:v>
      </x:c>
      <x:c r="Z289" s="54" t="n">
        <x:f>MAX(W289-X289,0)</x:f>
        <x:v>35</x:v>
      </x:c>
      <x:c r="AA289" s="54" t="n">
        <x:f>MIN(Z289,ROUND(Z289*O289,0))</x:f>
        <x:v>1</x:v>
      </x:c>
      <x:c r="AB289" s="54" t="n">
        <x:f>Z289-AA289</x:f>
        <x:v>34</x:v>
      </x:c>
      <x:c r="AC289" s="52" t="n">
        <x:f>IFERROR(ABS(E289-D289)/E289,0)</x:f>
        <x:v>0.11149825783972125</x:v>
      </x:c>
      <x:c r="AD289" s="52" t="n">
        <x:f>IFERROR(L289/E289,1)</x:f>
        <x:v>0.8797909407665505</x:v>
      </x:c>
      <x:c r="AE289" s="52" t="n">
        <x:f>IFERROR(X289/E289,1)</x:f>
        <x:v>1</x:v>
      </x:c>
      <x:c r="AF289" s="52" t="n">
        <x:f>IFERROR(I289/F289,0)</x:f>
        <x:v>0.7214285714285714</x:v>
      </x:c>
      <x:c r="AG289" s="52" t="n">
        <x:f>IFERROR(U289/F289,0)</x:f>
        <x:v>0.7442857142857143</x:v>
      </x:c>
    </x:row>
    <x:row r="290">
      <x:c r="A290" s="50" t="n">
        <x:v>46219</x:v>
      </x:c>
      <x:c r="B290" s="48" t="str">
        <x:v>Lassi</x:v>
      </x:c>
      <x:c r="C290" s="48" t="n">
        <x:v>7</x:v>
      </x:c>
      <x:c r="D290" s="54" t="n">
        <x:v>408</x:v>
      </x:c>
      <x:c r="E290" s="54" t="n">
        <x:v>426</x:v>
      </x:c>
      <x:c r="F290" s="54" t="n">
        <x:v>560</x:v>
      </x:c>
      <x:c r="G290" s="54" t="n">
        <x:f>ROUND(D290*0.97,0)</x:f>
        <x:v>396</x:v>
      </x:c>
      <x:c r="H290" s="52" t="n">
        <x:v>0.9916374284805285</x:v>
      </x:c>
      <x:c r="I290" s="54" t="n">
        <x:f>MIN(F290,ROUND(G290*H290,0))</x:f>
        <x:v>393</x:v>
      </x:c>
      <x:c r="J290" s="54" t="n">
        <x:f>Q285</x:f>
        <x:v>0</x:v>
      </x:c>
      <x:c r="K290" s="54" t="n">
        <x:f>I290+J290</x:f>
        <x:v>393</x:v>
      </x:c>
      <x:c r="L290" s="54" t="n">
        <x:f>MIN(E290,K290)</x:f>
        <x:v>393</x:v>
      </x:c>
      <x:c r="M290" s="54" t="n">
        <x:f>MAX(E290-K290,0)</x:f>
        <x:v>33</x:v>
      </x:c>
      <x:c r="N290" s="54" t="n">
        <x:f>MAX(K290-L290,0)</x:f>
        <x:v>0</x:v>
      </x:c>
      <x:c r="O290" s="52" t="n">
        <x:v>0.02</x:v>
      </x:c>
      <x:c r="P290" s="54" t="n">
        <x:f>MIN(N290,ROUND(N290*O290,0))</x:f>
        <x:v>0</x:v>
      </x:c>
      <x:c r="Q290" s="54" t="n">
        <x:f>N290-P290</x:f>
        <x:v>0</x:v>
      </x:c>
      <x:c r="R290" s="54" t="n">
        <x:v>73</x:v>
      </x:c>
      <x:c r="S290" s="54" t="n">
        <x:f>MIN(F290,MAX(0,ROUND(D290+R290-V290,0)))</x:f>
        <x:v>472</x:v>
      </x:c>
      <x:c r="T290" s="52" t="n">
        <x:v>0.9852102145006454</x:v>
      </x:c>
      <x:c r="U290" s="54" t="n">
        <x:f>MIN(F290,MAX(0,ROUND(S290*T290,0)))</x:f>
        <x:v>465</x:v>
      </x:c>
      <x:c r="V290" s="54" t="n">
        <x:f>AB285</x:f>
        <x:v>9</x:v>
      </x:c>
      <x:c r="W290" s="54" t="n">
        <x:f>U290+V290</x:f>
        <x:v>474</x:v>
      </x:c>
      <x:c r="X290" s="54" t="n">
        <x:f>MIN(E290,W290)</x:f>
        <x:v>426</x:v>
      </x:c>
      <x:c r="Y290" s="54" t="n">
        <x:f>MAX(E290-W290,0)</x:f>
        <x:v>0</x:v>
      </x:c>
      <x:c r="Z290" s="54" t="n">
        <x:f>MAX(W290-X290,0)</x:f>
        <x:v>48</x:v>
      </x:c>
      <x:c r="AA290" s="54" t="n">
        <x:f>MIN(Z290,ROUND(Z290*O290,0))</x:f>
        <x:v>1</x:v>
      </x:c>
      <x:c r="AB290" s="54" t="n">
        <x:f>Z290-AA290</x:f>
        <x:v>47</x:v>
      </x:c>
      <x:c r="AC290" s="52" t="n">
        <x:f>IFERROR(ABS(E290-D290)/E290,0)</x:f>
        <x:v>0.04225352112676056</x:v>
      </x:c>
      <x:c r="AD290" s="52" t="n">
        <x:f>IFERROR(L290/E290,1)</x:f>
        <x:v>0.9225352112676056</x:v>
      </x:c>
      <x:c r="AE290" s="52" t="n">
        <x:f>IFERROR(X290/E290,1)</x:f>
        <x:v>1</x:v>
      </x:c>
      <x:c r="AF290" s="52" t="n">
        <x:f>IFERROR(I290/F290,0)</x:f>
        <x:v>0.7017857142857142</x:v>
      </x:c>
      <x:c r="AG290" s="52" t="n">
        <x:f>IFERROR(U290/F290,0)</x:f>
        <x:v>0.8303571428571429</x:v>
      </x:c>
    </x:row>
    <x:row r="291">
      <x:c r="A291" s="50" t="n">
        <x:v>46219</x:v>
      </x:c>
      <x:c r="B291" s="48" t="str">
        <x:v>Paneer</x:v>
      </x:c>
      <x:c r="C291" s="48" t="n">
        <x:v>5</x:v>
      </x:c>
      <x:c r="D291" s="54" t="n">
        <x:v>163</x:v>
      </x:c>
      <x:c r="E291" s="54" t="n">
        <x:v>144</x:v>
      </x:c>
      <x:c r="F291" s="54" t="n">
        <x:v>230</x:v>
      </x:c>
      <x:c r="G291" s="54" t="n">
        <x:f>ROUND(D291*0.97,0)</x:f>
        <x:v>158</x:v>
      </x:c>
      <x:c r="H291" s="52" t="n">
        <x:v>1.0167530397913165</x:v>
      </x:c>
      <x:c r="I291" s="54" t="n">
        <x:f>MIN(F291,ROUND(G291*H291,0))</x:f>
        <x:v>161</x:v>
      </x:c>
      <x:c r="J291" s="54" t="n">
        <x:f>Q286</x:f>
        <x:v>0</x:v>
      </x:c>
      <x:c r="K291" s="54" t="n">
        <x:f>I291+J291</x:f>
        <x:v>161</x:v>
      </x:c>
      <x:c r="L291" s="54" t="n">
        <x:f>MIN(E291,K291)</x:f>
        <x:v>144</x:v>
      </x:c>
      <x:c r="M291" s="54" t="n">
        <x:f>MAX(E291-K291,0)</x:f>
        <x:v>0</x:v>
      </x:c>
      <x:c r="N291" s="54" t="n">
        <x:f>MAX(K291-L291,0)</x:f>
        <x:v>17</x:v>
      </x:c>
      <x:c r="O291" s="52" t="n">
        <x:v>0.025</x:v>
      </x:c>
      <x:c r="P291" s="54" t="n">
        <x:f>MIN(N291,ROUND(N291*O291,0))</x:f>
        <x:v>0</x:v>
      </x:c>
      <x:c r="Q291" s="54" t="n">
        <x:f>N291-P291</x:f>
        <x:v>17</x:v>
      </x:c>
      <x:c r="R291" s="54" t="n">
        <x:v>33</x:v>
      </x:c>
      <x:c r="S291" s="54" t="n">
        <x:f>MIN(F291,MAX(0,ROUND(D291+R291-V291,0)))</x:f>
        <x:v>182</x:v>
      </x:c>
      <x:c r="T291" s="52" t="n">
        <x:v>1.0015606118014178</x:v>
      </x:c>
      <x:c r="U291" s="54" t="n">
        <x:f>MIN(F291,MAX(0,ROUND(S291*T291,0)))</x:f>
        <x:v>182</x:v>
      </x:c>
      <x:c r="V291" s="54" t="n">
        <x:f>AB286</x:f>
        <x:v>14</x:v>
      </x:c>
      <x:c r="W291" s="54" t="n">
        <x:f>U291+V291</x:f>
        <x:v>196</x:v>
      </x:c>
      <x:c r="X291" s="54" t="n">
        <x:f>MIN(E291,W291)</x:f>
        <x:v>144</x:v>
      </x:c>
      <x:c r="Y291" s="54" t="n">
        <x:f>MAX(E291-W291,0)</x:f>
        <x:v>0</x:v>
      </x:c>
      <x:c r="Z291" s="54" t="n">
        <x:f>MAX(W291-X291,0)</x:f>
        <x:v>52</x:v>
      </x:c>
      <x:c r="AA291" s="54" t="n">
        <x:f>MIN(Z291,ROUND(Z291*O291,0))</x:f>
        <x:v>1</x:v>
      </x:c>
      <x:c r="AB291" s="54" t="n">
        <x:f>Z291-AA291</x:f>
        <x:v>51</x:v>
      </x:c>
      <x:c r="AC291" s="52" t="n">
        <x:f>IFERROR(ABS(E291-D291)/E291,0)</x:f>
        <x:v>0.13194444444444445</x:v>
      </x:c>
      <x:c r="AD291" s="52" t="n">
        <x:f>IFERROR(L291/E291,1)</x:f>
        <x:v>1</x:v>
      </x:c>
      <x:c r="AE291" s="52" t="n">
        <x:f>IFERROR(X291/E291,1)</x:f>
        <x:v>1</x:v>
      </x:c>
      <x:c r="AF291" s="52" t="n">
        <x:f>IFERROR(I291/F291,0)</x:f>
        <x:v>0.7</x:v>
      </x:c>
      <x:c r="AG291" s="52" t="n">
        <x:f>IFERROR(U291/F291,0)</x:f>
        <x:v>0.7913043478260869</x:v>
      </x:c>
    </x:row>
    <x:row r="292">
      <x:c r="A292" s="50" t="n">
        <x:v>46220</x:v>
      </x:c>
      <x:c r="B292" s="48" t="str">
        <x:v>Toned Milk</x:v>
      </x:c>
      <x:c r="C292" s="48" t="n">
        <x:v>2</x:v>
      </x:c>
      <x:c r="D292" s="54" t="n">
        <x:v>1804</x:v>
      </x:c>
      <x:c r="E292" s="54" t="n">
        <x:v>1751</x:v>
      </x:c>
      <x:c r="F292" s="54" t="n">
        <x:v>2250</x:v>
      </x:c>
      <x:c r="G292" s="54" t="n">
        <x:f>ROUND(D292*0.97,0)</x:f>
        <x:v>1750</x:v>
      </x:c>
      <x:c r="H292" s="52" t="n">
        <x:v>1.0057747836001956</x:v>
      </x:c>
      <x:c r="I292" s="54" t="n">
        <x:f>MIN(F292,ROUND(G292*H292,0))</x:f>
        <x:v>1760</x:v>
      </x:c>
      <x:c r="J292" s="54" t="n">
        <x:f>Q287</x:f>
        <x:v>0</x:v>
      </x:c>
      <x:c r="K292" s="54" t="n">
        <x:f>I292+J292</x:f>
        <x:v>1760</x:v>
      </x:c>
      <x:c r="L292" s="54" t="n">
        <x:f>MIN(E292,K292)</x:f>
        <x:v>1751</x:v>
      </x:c>
      <x:c r="M292" s="54" t="n">
        <x:f>MAX(E292-K292,0)</x:f>
        <x:v>0</x:v>
      </x:c>
      <x:c r="N292" s="54" t="n">
        <x:f>MAX(K292-L292,0)</x:f>
        <x:v>9</x:v>
      </x:c>
      <x:c r="O292" s="52" t="n">
        <x:v>0.025</x:v>
      </x:c>
      <x:c r="P292" s="54" t="n">
        <x:f>MIN(N292,ROUND(N292*O292,0))</x:f>
        <x:v>0</x:v>
      </x:c>
      <x:c r="Q292" s="54" t="n">
        <x:f>N292-P292</x:f>
        <x:v>9</x:v>
      </x:c>
      <x:c r="R292" s="54" t="n">
        <x:v>216</x:v>
      </x:c>
      <x:c r="S292" s="54" t="n">
        <x:f>MIN(F292,MAX(0,ROUND(D292+R292-V292,0)))</x:f>
        <x:v>2020</x:v>
      </x:c>
      <x:c r="T292" s="52" t="n">
        <x:v>0.9943258346067686</x:v>
      </x:c>
      <x:c r="U292" s="54" t="n">
        <x:f>MIN(F292,MAX(0,ROUND(S292*T292,0)))</x:f>
        <x:v>2009</x:v>
      </x:c>
      <x:c r="V292" s="54" t="n">
        <x:f>AB287</x:f>
        <x:v>0</x:v>
      </x:c>
      <x:c r="W292" s="54" t="n">
        <x:f>U292+V292</x:f>
        <x:v>2009</x:v>
      </x:c>
      <x:c r="X292" s="54" t="n">
        <x:f>MIN(E292,W292)</x:f>
        <x:v>1751</x:v>
      </x:c>
      <x:c r="Y292" s="54" t="n">
        <x:f>MAX(E292-W292,0)</x:f>
        <x:v>0</x:v>
      </x:c>
      <x:c r="Z292" s="54" t="n">
        <x:f>MAX(W292-X292,0)</x:f>
        <x:v>258</x:v>
      </x:c>
      <x:c r="AA292" s="54" t="n">
        <x:f>MIN(Z292,ROUND(Z292*O292,0))</x:f>
        <x:v>6</x:v>
      </x:c>
      <x:c r="AB292" s="54" t="n">
        <x:f>Z292-AA292</x:f>
        <x:v>252</x:v>
      </x:c>
      <x:c r="AC292" s="52" t="n">
        <x:f>IFERROR(ABS(E292-D292)/E292,0)</x:f>
        <x:v>0.03026841804683038</x:v>
      </x:c>
      <x:c r="AD292" s="52" t="n">
        <x:f>IFERROR(L292/E292,1)</x:f>
        <x:v>1</x:v>
      </x:c>
      <x:c r="AE292" s="52" t="n">
        <x:f>IFERROR(X292/E292,1)</x:f>
        <x:v>1</x:v>
      </x:c>
      <x:c r="AF292" s="52" t="n">
        <x:f>IFERROR(I292/F292,0)</x:f>
        <x:v>0.7822222222222223</x:v>
      </x:c>
      <x:c r="AG292" s="52" t="n">
        <x:f>IFERROR(U292/F292,0)</x:f>
        <x:v>0.8928888888888888</x:v>
      </x:c>
    </x:row>
    <x:row r="293">
      <x:c r="A293" s="50" t="n">
        <x:v>46220</x:v>
      </x:c>
      <x:c r="B293" s="48" t="str">
        <x:v>Full Cream Milk</x:v>
      </x:c>
      <x:c r="C293" s="48" t="n">
        <x:v>2</x:v>
      </x:c>
      <x:c r="D293" s="54" t="n">
        <x:v>902</x:v>
      </x:c>
      <x:c r="E293" s="54" t="n">
        <x:v>911</x:v>
      </x:c>
      <x:c r="F293" s="54" t="n">
        <x:v>1200</x:v>
      </x:c>
      <x:c r="G293" s="54" t="n">
        <x:f>ROUND(D293*0.97,0)</x:f>
        <x:v>875</x:v>
      </x:c>
      <x:c r="H293" s="52" t="n">
        <x:v>0.984864339269456</x:v>
      </x:c>
      <x:c r="I293" s="54" t="n">
        <x:f>MIN(F293,ROUND(G293*H293,0))</x:f>
        <x:v>862</x:v>
      </x:c>
      <x:c r="J293" s="54" t="n">
        <x:f>Q288</x:f>
        <x:v>0</x:v>
      </x:c>
      <x:c r="K293" s="54" t="n">
        <x:f>I293+J293</x:f>
        <x:v>862</x:v>
      </x:c>
      <x:c r="L293" s="54" t="n">
        <x:f>MIN(E293,K293)</x:f>
        <x:v>862</x:v>
      </x:c>
      <x:c r="M293" s="54" t="n">
        <x:f>MAX(E293-K293,0)</x:f>
        <x:v>49</x:v>
      </x:c>
      <x:c r="N293" s="54" t="n">
        <x:f>MAX(K293-L293,0)</x:f>
        <x:v>0</x:v>
      </x:c>
      <x:c r="O293" s="52" t="n">
        <x:v>0.03</x:v>
      </x:c>
      <x:c r="P293" s="54" t="n">
        <x:f>MIN(N293,ROUND(N293*O293,0))</x:f>
        <x:v>0</x:v>
      </x:c>
      <x:c r="Q293" s="54" t="n">
        <x:f>N293-P293</x:f>
        <x:v>0</x:v>
      </x:c>
      <x:c r="R293" s="54" t="n">
        <x:v>108</x:v>
      </x:c>
      <x:c r="S293" s="54" t="n">
        <x:f>MIN(F293,MAX(0,ROUND(D293+R293-V293,0)))</x:f>
        <x:v>944</x:v>
      </x:c>
      <x:c r="T293" s="52" t="n">
        <x:v>0.9853885434333123</x:v>
      </x:c>
      <x:c r="U293" s="54" t="n">
        <x:f>MIN(F293,MAX(0,ROUND(S293*T293,0)))</x:f>
        <x:v>930</x:v>
      </x:c>
      <x:c r="V293" s="54" t="n">
        <x:f>AB288</x:f>
        <x:v>66</x:v>
      </x:c>
      <x:c r="W293" s="54" t="n">
        <x:f>U293+V293</x:f>
        <x:v>996</x:v>
      </x:c>
      <x:c r="X293" s="54" t="n">
        <x:f>MIN(E293,W293)</x:f>
        <x:v>911</x:v>
      </x:c>
      <x:c r="Y293" s="54" t="n">
        <x:f>MAX(E293-W293,0)</x:f>
        <x:v>0</x:v>
      </x:c>
      <x:c r="Z293" s="54" t="n">
        <x:f>MAX(W293-X293,0)</x:f>
        <x:v>85</x:v>
      </x:c>
      <x:c r="AA293" s="54" t="n">
        <x:f>MIN(Z293,ROUND(Z293*O293,0))</x:f>
        <x:v>3</x:v>
      </x:c>
      <x:c r="AB293" s="54" t="n">
        <x:f>Z293-AA293</x:f>
        <x:v>82</x:v>
      </x:c>
      <x:c r="AC293" s="52" t="n">
        <x:f>IFERROR(ABS(E293-D293)/E293,0)</x:f>
        <x:v>0.009879253567508232</x:v>
      </x:c>
      <x:c r="AD293" s="52" t="n">
        <x:f>IFERROR(L293/E293,1)</x:f>
        <x:v>0.9462129527991219</x:v>
      </x:c>
      <x:c r="AE293" s="52" t="n">
        <x:f>IFERROR(X293/E293,1)</x:f>
        <x:v>1</x:v>
      </x:c>
      <x:c r="AF293" s="52" t="n">
        <x:f>IFERROR(I293/F293,0)</x:f>
        <x:v>0.7183333333333334</x:v>
      </x:c>
      <x:c r="AG293" s="52" t="n">
        <x:f>IFERROR(U293/F293,0)</x:f>
        <x:v>0.775</x:v>
      </x:c>
    </x:row>
    <x:row r="294">
      <x:c r="A294" s="50" t="n">
        <x:v>46220</x:v>
      </x:c>
      <x:c r="B294" s="48" t="str">
        <x:v>Curd</x:v>
      </x:c>
      <x:c r="C294" s="48" t="n">
        <x:v>7</x:v>
      </x:c>
      <x:c r="D294" s="54" t="n">
        <x:v>531</x:v>
      </x:c>
      <x:c r="E294" s="54" t="n">
        <x:v>477</x:v>
      </x:c>
      <x:c r="F294" s="54" t="n">
        <x:v>700</x:v>
      </x:c>
      <x:c r="G294" s="54" t="n">
        <x:f>ROUND(D294*0.97,0)</x:f>
        <x:v>515</x:v>
      </x:c>
      <x:c r="H294" s="52" t="n">
        <x:v>0.9874647278405171</x:v>
      </x:c>
      <x:c r="I294" s="54" t="n">
        <x:f>MIN(F294,ROUND(G294*H294,0))</x:f>
        <x:v>509</x:v>
      </x:c>
      <x:c r="J294" s="54" t="n">
        <x:f>Q289</x:f>
        <x:v>0</x:v>
      </x:c>
      <x:c r="K294" s="54" t="n">
        <x:f>I294+J294</x:f>
        <x:v>509</x:v>
      </x:c>
      <x:c r="L294" s="54" t="n">
        <x:f>MIN(E294,K294)</x:f>
        <x:v>477</x:v>
      </x:c>
      <x:c r="M294" s="54" t="n">
        <x:f>MAX(E294-K294,0)</x:f>
        <x:v>0</x:v>
      </x:c>
      <x:c r="N294" s="54" t="n">
        <x:f>MAX(K294-L294,0)</x:f>
        <x:v>32</x:v>
      </x:c>
      <x:c r="O294" s="52" t="n">
        <x:v>0.018</x:v>
      </x:c>
      <x:c r="P294" s="54" t="n">
        <x:f>MIN(N294,ROUND(N294*O294,0))</x:f>
        <x:v>1</x:v>
      </x:c>
      <x:c r="Q294" s="54" t="n">
        <x:f>N294-P294</x:f>
        <x:v>31</x:v>
      </x:c>
      <x:c r="R294" s="54" t="n">
        <x:v>96</x:v>
      </x:c>
      <x:c r="S294" s="54" t="n">
        <x:f>MIN(F294,MAX(0,ROUND(D294+R294-V294,0)))</x:f>
        <x:v>593</x:v>
      </x:c>
      <x:c r="T294" s="52" t="n">
        <x:v>1.0187844264724364</x:v>
      </x:c>
      <x:c r="U294" s="54" t="n">
        <x:f>MIN(F294,MAX(0,ROUND(S294*T294,0)))</x:f>
        <x:v>604</x:v>
      </x:c>
      <x:c r="V294" s="54" t="n">
        <x:f>AB289</x:f>
        <x:v>34</x:v>
      </x:c>
      <x:c r="W294" s="54" t="n">
        <x:f>U294+V294</x:f>
        <x:v>638</x:v>
      </x:c>
      <x:c r="X294" s="54" t="n">
        <x:f>MIN(E294,W294)</x:f>
        <x:v>477</x:v>
      </x:c>
      <x:c r="Y294" s="54" t="n">
        <x:f>MAX(E294-W294,0)</x:f>
        <x:v>0</x:v>
      </x:c>
      <x:c r="Z294" s="54" t="n">
        <x:f>MAX(W294-X294,0)</x:f>
        <x:v>161</x:v>
      </x:c>
      <x:c r="AA294" s="54" t="n">
        <x:f>MIN(Z294,ROUND(Z294*O294,0))</x:f>
        <x:v>3</x:v>
      </x:c>
      <x:c r="AB294" s="54" t="n">
        <x:f>Z294-AA294</x:f>
        <x:v>158</x:v>
      </x:c>
      <x:c r="AC294" s="52" t="n">
        <x:f>IFERROR(ABS(E294-D294)/E294,0)</x:f>
        <x:v>0.11320754716981132</x:v>
      </x:c>
      <x:c r="AD294" s="52" t="n">
        <x:f>IFERROR(L294/E294,1)</x:f>
        <x:v>1</x:v>
      </x:c>
      <x:c r="AE294" s="52" t="n">
        <x:f>IFERROR(X294/E294,1)</x:f>
        <x:v>1</x:v>
      </x:c>
      <x:c r="AF294" s="52" t="n">
        <x:f>IFERROR(I294/F294,0)</x:f>
        <x:v>0.7271428571428571</x:v>
      </x:c>
      <x:c r="AG294" s="52" t="n">
        <x:f>IFERROR(U294/F294,0)</x:f>
        <x:v>0.8628571428571429</x:v>
      </x:c>
    </x:row>
    <x:row r="295">
      <x:c r="A295" s="50" t="n">
        <x:v>46220</x:v>
      </x:c>
      <x:c r="B295" s="48" t="str">
        <x:v>Lassi</x:v>
      </x:c>
      <x:c r="C295" s="48" t="n">
        <x:v>7</x:v>
      </x:c>
      <x:c r="D295" s="54" t="n">
        <x:v>424</x:v>
      </x:c>
      <x:c r="E295" s="54" t="n">
        <x:v>476</x:v>
      </x:c>
      <x:c r="F295" s="54" t="n">
        <x:v>560</x:v>
      </x:c>
      <x:c r="G295" s="54" t="n">
        <x:f>ROUND(D295*0.97,0)</x:f>
        <x:v>411</x:v>
      </x:c>
      <x:c r="H295" s="52" t="n">
        <x:v>0.9833159989620935</x:v>
      </x:c>
      <x:c r="I295" s="54" t="n">
        <x:f>MIN(F295,ROUND(G295*H295,0))</x:f>
        <x:v>404</x:v>
      </x:c>
      <x:c r="J295" s="54" t="n">
        <x:f>Q290</x:f>
        <x:v>0</x:v>
      </x:c>
      <x:c r="K295" s="54" t="n">
        <x:f>I295+J295</x:f>
        <x:v>404</x:v>
      </x:c>
      <x:c r="L295" s="54" t="n">
        <x:f>MIN(E295,K295)</x:f>
        <x:v>404</x:v>
      </x:c>
      <x:c r="M295" s="54" t="n">
        <x:f>MAX(E295-K295,0)</x:f>
        <x:v>72</x:v>
      </x:c>
      <x:c r="N295" s="54" t="n">
        <x:f>MAX(K295-L295,0)</x:f>
        <x:v>0</x:v>
      </x:c>
      <x:c r="O295" s="52" t="n">
        <x:v>0.02</x:v>
      </x:c>
      <x:c r="P295" s="54" t="n">
        <x:f>MIN(N295,ROUND(N295*O295,0))</x:f>
        <x:v>0</x:v>
      </x:c>
      <x:c r="Q295" s="54" t="n">
        <x:f>N295-P295</x:f>
        <x:v>0</x:v>
      </x:c>
      <x:c r="R295" s="54" t="n">
        <x:v>76</x:v>
      </x:c>
      <x:c r="S295" s="54" t="n">
        <x:f>MIN(F295,MAX(0,ROUND(D295+R295-V295,0)))</x:f>
        <x:v>453</x:v>
      </x:c>
      <x:c r="T295" s="52" t="n">
        <x:v>0.9972196938806714</x:v>
      </x:c>
      <x:c r="U295" s="54" t="n">
        <x:f>MIN(F295,MAX(0,ROUND(S295*T295,0)))</x:f>
        <x:v>452</x:v>
      </x:c>
      <x:c r="V295" s="54" t="n">
        <x:f>AB290</x:f>
        <x:v>47</x:v>
      </x:c>
      <x:c r="W295" s="54" t="n">
        <x:f>U295+V295</x:f>
        <x:v>499</x:v>
      </x:c>
      <x:c r="X295" s="54" t="n">
        <x:f>MIN(E295,W295)</x:f>
        <x:v>476</x:v>
      </x:c>
      <x:c r="Y295" s="54" t="n">
        <x:f>MAX(E295-W295,0)</x:f>
        <x:v>0</x:v>
      </x:c>
      <x:c r="Z295" s="54" t="n">
        <x:f>MAX(W295-X295,0)</x:f>
        <x:v>23</x:v>
      </x:c>
      <x:c r="AA295" s="54" t="n">
        <x:f>MIN(Z295,ROUND(Z295*O295,0))</x:f>
        <x:v>0</x:v>
      </x:c>
      <x:c r="AB295" s="54" t="n">
        <x:f>Z295-AA295</x:f>
        <x:v>23</x:v>
      </x:c>
      <x:c r="AC295" s="52" t="n">
        <x:f>IFERROR(ABS(E295-D295)/E295,0)</x:f>
        <x:v>0.1092436974789916</x:v>
      </x:c>
      <x:c r="AD295" s="52" t="n">
        <x:f>IFERROR(L295/E295,1)</x:f>
        <x:v>0.8487394957983193</x:v>
      </x:c>
      <x:c r="AE295" s="52" t="n">
        <x:f>IFERROR(X295/E295,1)</x:f>
        <x:v>1</x:v>
      </x:c>
      <x:c r="AF295" s="52" t="n">
        <x:f>IFERROR(I295/F295,0)</x:f>
        <x:v>0.7214285714285714</x:v>
      </x:c>
      <x:c r="AG295" s="52" t="n">
        <x:f>IFERROR(U295/F295,0)</x:f>
        <x:v>0.8071428571428572</x:v>
      </x:c>
    </x:row>
    <x:row r="296">
      <x:c r="A296" s="50" t="n">
        <x:v>46220</x:v>
      </x:c>
      <x:c r="B296" s="48" t="str">
        <x:v>Paneer</x:v>
      </x:c>
      <x:c r="C296" s="48" t="n">
        <x:v>5</x:v>
      </x:c>
      <x:c r="D296" s="54" t="n">
        <x:v>170</x:v>
      </x:c>
      <x:c r="E296" s="54" t="n">
        <x:v>180</x:v>
      </x:c>
      <x:c r="F296" s="54" t="n">
        <x:v>230</x:v>
      </x:c>
      <x:c r="G296" s="54" t="n">
        <x:f>ROUND(D296*0.97,0)</x:f>
        <x:v>165</x:v>
      </x:c>
      <x:c r="H296" s="52" t="n">
        <x:v>1.014228104150003</x:v>
      </x:c>
      <x:c r="I296" s="54" t="n">
        <x:f>MIN(F296,ROUND(G296*H296,0))</x:f>
        <x:v>167</x:v>
      </x:c>
      <x:c r="J296" s="54" t="n">
        <x:f>Q291</x:f>
        <x:v>17</x:v>
      </x:c>
      <x:c r="K296" s="54" t="n">
        <x:f>I296+J296</x:f>
        <x:v>184</x:v>
      </x:c>
      <x:c r="L296" s="54" t="n">
        <x:f>MIN(E296,K296)</x:f>
        <x:v>180</x:v>
      </x:c>
      <x:c r="M296" s="54" t="n">
        <x:f>MAX(E296-K296,0)</x:f>
        <x:v>0</x:v>
      </x:c>
      <x:c r="N296" s="54" t="n">
        <x:f>MAX(K296-L296,0)</x:f>
        <x:v>4</x:v>
      </x:c>
      <x:c r="O296" s="52" t="n">
        <x:v>0.025</x:v>
      </x:c>
      <x:c r="P296" s="54" t="n">
        <x:f>MIN(N296,ROUND(N296*O296,0))</x:f>
        <x:v>0</x:v>
      </x:c>
      <x:c r="Q296" s="54" t="n">
        <x:f>N296-P296</x:f>
        <x:v>4</x:v>
      </x:c>
      <x:c r="R296" s="54" t="n">
        <x:v>34</x:v>
      </x:c>
      <x:c r="S296" s="54" t="n">
        <x:f>MIN(F296,MAX(0,ROUND(D296+R296-V296,0)))</x:f>
        <x:v>153</x:v>
      </x:c>
      <x:c r="T296" s="52" t="n">
        <x:v>1.0196204666884532</x:v>
      </x:c>
      <x:c r="U296" s="54" t="n">
        <x:f>MIN(F296,MAX(0,ROUND(S296*T296,0)))</x:f>
        <x:v>156</x:v>
      </x:c>
      <x:c r="V296" s="54" t="n">
        <x:f>AB291</x:f>
        <x:v>51</x:v>
      </x:c>
      <x:c r="W296" s="54" t="n">
        <x:f>U296+V296</x:f>
        <x:v>207</x:v>
      </x:c>
      <x:c r="X296" s="54" t="n">
        <x:f>MIN(E296,W296)</x:f>
        <x:v>180</x:v>
      </x:c>
      <x:c r="Y296" s="54" t="n">
        <x:f>MAX(E296-W296,0)</x:f>
        <x:v>0</x:v>
      </x:c>
      <x:c r="Z296" s="54" t="n">
        <x:f>MAX(W296-X296,0)</x:f>
        <x:v>27</x:v>
      </x:c>
      <x:c r="AA296" s="54" t="n">
        <x:f>MIN(Z296,ROUND(Z296*O296,0))</x:f>
        <x:v>1</x:v>
      </x:c>
      <x:c r="AB296" s="54" t="n">
        <x:f>Z296-AA296</x:f>
        <x:v>26</x:v>
      </x:c>
      <x:c r="AC296" s="52" t="n">
        <x:f>IFERROR(ABS(E296-D296)/E296,0)</x:f>
        <x:v>0.05555555555555555</x:v>
      </x:c>
      <x:c r="AD296" s="52" t="n">
        <x:f>IFERROR(L296/E296,1)</x:f>
        <x:v>1</x:v>
      </x:c>
      <x:c r="AE296" s="52" t="n">
        <x:f>IFERROR(X296/E296,1)</x:f>
        <x:v>1</x:v>
      </x:c>
      <x:c r="AF296" s="52" t="n">
        <x:f>IFERROR(I296/F296,0)</x:f>
        <x:v>0.7260869565217392</x:v>
      </x:c>
      <x:c r="AG296" s="52" t="n">
        <x:f>IFERROR(U296/F296,0)</x:f>
        <x:v>0.6782608695652174</x:v>
      </x:c>
    </x:row>
    <x:row r="297">
      <x:c r="A297" s="50" t="n">
        <x:v>46221</x:v>
      </x:c>
      <x:c r="B297" s="48" t="str">
        <x:v>Toned Milk</x:v>
      </x:c>
      <x:c r="C297" s="48" t="n">
        <x:v>2</x:v>
      </x:c>
      <x:c r="D297" s="54" t="n">
        <x:v>1978</x:v>
      </x:c>
      <x:c r="E297" s="54" t="n">
        <x:v>1821</x:v>
      </x:c>
      <x:c r="F297" s="54" t="n">
        <x:v>2250</x:v>
      </x:c>
      <x:c r="G297" s="54" t="n">
        <x:f>ROUND(D297*0.97,0)</x:f>
        <x:v>1919</x:v>
      </x:c>
      <x:c r="H297" s="52" t="n">
        <x:v>1.0076232918780046</x:v>
      </x:c>
      <x:c r="I297" s="54" t="n">
        <x:f>MIN(F297,ROUND(G297*H297,0))</x:f>
        <x:v>1934</x:v>
      </x:c>
      <x:c r="J297" s="54" t="n">
        <x:f>Q292</x:f>
        <x:v>9</x:v>
      </x:c>
      <x:c r="K297" s="54" t="n">
        <x:f>I297+J297</x:f>
        <x:v>1943</x:v>
      </x:c>
      <x:c r="L297" s="54" t="n">
        <x:f>MIN(E297,K297)</x:f>
        <x:v>1821</x:v>
      </x:c>
      <x:c r="M297" s="54" t="n">
        <x:f>MAX(E297-K297,0)</x:f>
        <x:v>0</x:v>
      </x:c>
      <x:c r="N297" s="54" t="n">
        <x:f>MAX(K297-L297,0)</x:f>
        <x:v>122</x:v>
      </x:c>
      <x:c r="O297" s="52" t="n">
        <x:v>0.025</x:v>
      </x:c>
      <x:c r="P297" s="54" t="n">
        <x:f>MIN(N297,ROUND(N297*O297,0))</x:f>
        <x:v>3</x:v>
      </x:c>
      <x:c r="Q297" s="54" t="n">
        <x:f>N297-P297</x:f>
        <x:v>119</x:v>
      </x:c>
      <x:c r="R297" s="54" t="n">
        <x:v>237</x:v>
      </x:c>
      <x:c r="S297" s="54" t="n">
        <x:f>MIN(F297,MAX(0,ROUND(D297+R297-V297,0)))</x:f>
        <x:v>1963</x:v>
      </x:c>
      <x:c r="T297" s="52" t="n">
        <x:v>1.0019113829893735</x:v>
      </x:c>
      <x:c r="U297" s="54" t="n">
        <x:f>MIN(F297,MAX(0,ROUND(S297*T297,0)))</x:f>
        <x:v>1967</x:v>
      </x:c>
      <x:c r="V297" s="54" t="n">
        <x:f>AB292</x:f>
        <x:v>252</x:v>
      </x:c>
      <x:c r="W297" s="54" t="n">
        <x:f>U297+V297</x:f>
        <x:v>2219</x:v>
      </x:c>
      <x:c r="X297" s="54" t="n">
        <x:f>MIN(E297,W297)</x:f>
        <x:v>1821</x:v>
      </x:c>
      <x:c r="Y297" s="54" t="n">
        <x:f>MAX(E297-W297,0)</x:f>
        <x:v>0</x:v>
      </x:c>
      <x:c r="Z297" s="54" t="n">
        <x:f>MAX(W297-X297,0)</x:f>
        <x:v>398</x:v>
      </x:c>
      <x:c r="AA297" s="54" t="n">
        <x:f>MIN(Z297,ROUND(Z297*O297,0))</x:f>
        <x:v>10</x:v>
      </x:c>
      <x:c r="AB297" s="54" t="n">
        <x:f>Z297-AA297</x:f>
        <x:v>388</x:v>
      </x:c>
      <x:c r="AC297" s="52" t="n">
        <x:f>IFERROR(ABS(E297-D297)/E297,0)</x:f>
        <x:v>0.08621636463481604</x:v>
      </x:c>
      <x:c r="AD297" s="52" t="n">
        <x:f>IFERROR(L297/E297,1)</x:f>
        <x:v>1</x:v>
      </x:c>
      <x:c r="AE297" s="52" t="n">
        <x:f>IFERROR(X297/E297,1)</x:f>
        <x:v>1</x:v>
      </x:c>
      <x:c r="AF297" s="52" t="n">
        <x:f>IFERROR(I297/F297,0)</x:f>
        <x:v>0.8595555555555555</x:v>
      </x:c>
      <x:c r="AG297" s="52" t="n">
        <x:f>IFERROR(U297/F297,0)</x:f>
        <x:v>0.8742222222222222</x:v>
      </x:c>
    </x:row>
    <x:row r="298">
      <x:c r="A298" s="50" t="n">
        <x:v>46221</x:v>
      </x:c>
      <x:c r="B298" s="48" t="str">
        <x:v>Full Cream Milk</x:v>
      </x:c>
      <x:c r="C298" s="48" t="n">
        <x:v>2</x:v>
      </x:c>
      <x:c r="D298" s="54" t="n">
        <x:v>989</x:v>
      </x:c>
      <x:c r="E298" s="54" t="n">
        <x:v>1126</x:v>
      </x:c>
      <x:c r="F298" s="54" t="n">
        <x:v>1200</x:v>
      </x:c>
      <x:c r="G298" s="54" t="n">
        <x:f>ROUND(D298*0.97,0)</x:f>
        <x:v>959</x:v>
      </x:c>
      <x:c r="H298" s="52" t="n">
        <x:v>0.9802808841941911</x:v>
      </x:c>
      <x:c r="I298" s="54" t="n">
        <x:f>MIN(F298,ROUND(G298*H298,0))</x:f>
        <x:v>940</x:v>
      </x:c>
      <x:c r="J298" s="54" t="n">
        <x:f>Q293</x:f>
        <x:v>0</x:v>
      </x:c>
      <x:c r="K298" s="54" t="n">
        <x:f>I298+J298</x:f>
        <x:v>940</x:v>
      </x:c>
      <x:c r="L298" s="54" t="n">
        <x:f>MIN(E298,K298)</x:f>
        <x:v>940</x:v>
      </x:c>
      <x:c r="M298" s="54" t="n">
        <x:f>MAX(E298-K298,0)</x:f>
        <x:v>186</x:v>
      </x:c>
      <x:c r="N298" s="54" t="n">
        <x:f>MAX(K298-L298,0)</x:f>
        <x:v>0</x:v>
      </x:c>
      <x:c r="O298" s="52" t="n">
        <x:v>0.03</x:v>
      </x:c>
      <x:c r="P298" s="54" t="n">
        <x:f>MIN(N298,ROUND(N298*O298,0))</x:f>
        <x:v>0</x:v>
      </x:c>
      <x:c r="Q298" s="54" t="n">
        <x:f>N298-P298</x:f>
        <x:v>0</x:v>
      </x:c>
      <x:c r="R298" s="54" t="n">
        <x:v>119</x:v>
      </x:c>
      <x:c r="S298" s="54" t="n">
        <x:f>MIN(F298,MAX(0,ROUND(D298+R298-V298,0)))</x:f>
        <x:v>1026</x:v>
      </x:c>
      <x:c r="T298" s="52" t="n">
        <x:v>0.9821098874023557</x:v>
      </x:c>
      <x:c r="U298" s="54" t="n">
        <x:f>MIN(F298,MAX(0,ROUND(S298*T298,0)))</x:f>
        <x:v>1008</x:v>
      </x:c>
      <x:c r="V298" s="54" t="n">
        <x:f>AB293</x:f>
        <x:v>82</x:v>
      </x:c>
      <x:c r="W298" s="54" t="n">
        <x:f>U298+V298</x:f>
        <x:v>1090</x:v>
      </x:c>
      <x:c r="X298" s="54" t="n">
        <x:f>MIN(E298,W298)</x:f>
        <x:v>1090</x:v>
      </x:c>
      <x:c r="Y298" s="54" t="n">
        <x:f>MAX(E298-W298,0)</x:f>
        <x:v>36</x:v>
      </x:c>
      <x:c r="Z298" s="54" t="n">
        <x:f>MAX(W298-X298,0)</x:f>
        <x:v>0</x:v>
      </x:c>
      <x:c r="AA298" s="54" t="n">
        <x:f>MIN(Z298,ROUND(Z298*O298,0))</x:f>
        <x:v>0</x:v>
      </x:c>
      <x:c r="AB298" s="54" t="n">
        <x:f>Z298-AA298</x:f>
        <x:v>0</x:v>
      </x:c>
      <x:c r="AC298" s="52" t="n">
        <x:f>IFERROR(ABS(E298-D298)/E298,0)</x:f>
        <x:v>0.1216696269982238</x:v>
      </x:c>
      <x:c r="AD298" s="52" t="n">
        <x:f>IFERROR(L298/E298,1)</x:f>
        <x:v>0.8348134991119005</x:v>
      </x:c>
      <x:c r="AE298" s="52" t="n">
        <x:f>IFERROR(X298/E298,1)</x:f>
        <x:v>0.9680284191829485</x:v>
      </x:c>
      <x:c r="AF298" s="52" t="n">
        <x:f>IFERROR(I298/F298,0)</x:f>
        <x:v>0.7833333333333333</x:v>
      </x:c>
      <x:c r="AG298" s="52" t="n">
        <x:f>IFERROR(U298/F298,0)</x:f>
        <x:v>0.84</x:v>
      </x:c>
    </x:row>
    <x:row r="299">
      <x:c r="A299" s="50" t="n">
        <x:v>46221</x:v>
      </x:c>
      <x:c r="B299" s="48" t="str">
        <x:v>Curd</x:v>
      </x:c>
      <x:c r="C299" s="48" t="n">
        <x:v>7</x:v>
      </x:c>
      <x:c r="D299" s="54" t="n">
        <x:v>582</x:v>
      </x:c>
      <x:c r="E299" s="54" t="n">
        <x:v>673</x:v>
      </x:c>
      <x:c r="F299" s="54" t="n">
        <x:v>700</x:v>
      </x:c>
      <x:c r="G299" s="54" t="n">
        <x:f>ROUND(D299*0.97,0)</x:f>
        <x:v>565</x:v>
      </x:c>
      <x:c r="H299" s="52" t="n">
        <x:v>1.0012400583718655</x:v>
      </x:c>
      <x:c r="I299" s="54" t="n">
        <x:f>MIN(F299,ROUND(G299*H299,0))</x:f>
        <x:v>566</x:v>
      </x:c>
      <x:c r="J299" s="54" t="n">
        <x:f>Q294</x:f>
        <x:v>31</x:v>
      </x:c>
      <x:c r="K299" s="54" t="n">
        <x:f>I299+J299</x:f>
        <x:v>597</x:v>
      </x:c>
      <x:c r="L299" s="54" t="n">
        <x:f>MIN(E299,K299)</x:f>
        <x:v>597</x:v>
      </x:c>
      <x:c r="M299" s="54" t="n">
        <x:f>MAX(E299-K299,0)</x:f>
        <x:v>76</x:v>
      </x:c>
      <x:c r="N299" s="54" t="n">
        <x:f>MAX(K299-L299,0)</x:f>
        <x:v>0</x:v>
      </x:c>
      <x:c r="O299" s="52" t="n">
        <x:v>0.018</x:v>
      </x:c>
      <x:c r="P299" s="54" t="n">
        <x:f>MIN(N299,ROUND(N299*O299,0))</x:f>
        <x:v>0</x:v>
      </x:c>
      <x:c r="Q299" s="54" t="n">
        <x:f>N299-P299</x:f>
        <x:v>0</x:v>
      </x:c>
      <x:c r="R299" s="54" t="n">
        <x:v>105</x:v>
      </x:c>
      <x:c r="S299" s="54" t="n">
        <x:f>MIN(F299,MAX(0,ROUND(D299+R299-V299,0)))</x:f>
        <x:v>529</x:v>
      </x:c>
      <x:c r="T299" s="52" t="n">
        <x:v>0.9999231706367288</x:v>
      </x:c>
      <x:c r="U299" s="54" t="n">
        <x:f>MIN(F299,MAX(0,ROUND(S299*T299,0)))</x:f>
        <x:v>529</x:v>
      </x:c>
      <x:c r="V299" s="54" t="n">
        <x:f>AB294</x:f>
        <x:v>158</x:v>
      </x:c>
      <x:c r="W299" s="54" t="n">
        <x:f>U299+V299</x:f>
        <x:v>687</x:v>
      </x:c>
      <x:c r="X299" s="54" t="n">
        <x:f>MIN(E299,W299)</x:f>
        <x:v>673</x:v>
      </x:c>
      <x:c r="Y299" s="54" t="n">
        <x:f>MAX(E299-W299,0)</x:f>
        <x:v>0</x:v>
      </x:c>
      <x:c r="Z299" s="54" t="n">
        <x:f>MAX(W299-X299,0)</x:f>
        <x:v>14</x:v>
      </x:c>
      <x:c r="AA299" s="54" t="n">
        <x:f>MIN(Z299,ROUND(Z299*O299,0))</x:f>
        <x:v>0</x:v>
      </x:c>
      <x:c r="AB299" s="54" t="n">
        <x:f>Z299-AA299</x:f>
        <x:v>14</x:v>
      </x:c>
      <x:c r="AC299" s="52" t="n">
        <x:f>IFERROR(ABS(E299-D299)/E299,0)</x:f>
        <x:v>0.1352154531946508</x:v>
      </x:c>
      <x:c r="AD299" s="52" t="n">
        <x:f>IFERROR(L299/E299,1)</x:f>
        <x:v>0.8870728083209509</x:v>
      </x:c>
      <x:c r="AE299" s="52" t="n">
        <x:f>IFERROR(X299/E299,1)</x:f>
        <x:v>1</x:v>
      </x:c>
      <x:c r="AF299" s="52" t="n">
        <x:f>IFERROR(I299/F299,0)</x:f>
        <x:v>0.8085714285714286</x:v>
      </x:c>
      <x:c r="AG299" s="52" t="n">
        <x:f>IFERROR(U299/F299,0)</x:f>
        <x:v>0.7557142857142857</x:v>
      </x:c>
    </x:row>
    <x:row r="300">
      <x:c r="A300" s="50" t="n">
        <x:v>46221</x:v>
      </x:c>
      <x:c r="B300" s="48" t="str">
        <x:v>Lassi</x:v>
      </x:c>
      <x:c r="C300" s="48" t="n">
        <x:v>7</x:v>
      </x:c>
      <x:c r="D300" s="54" t="n">
        <x:v>461</x:v>
      </x:c>
      <x:c r="E300" s="54" t="n">
        <x:v>538</x:v>
      </x:c>
      <x:c r="F300" s="54" t="n">
        <x:v>560</x:v>
      </x:c>
      <x:c r="G300" s="54" t="n">
        <x:f>ROUND(D300*0.97,0)</x:f>
        <x:v>447</x:v>
      </x:c>
      <x:c r="H300" s="52" t="n">
        <x:v>0.9852147125607713</x:v>
      </x:c>
      <x:c r="I300" s="54" t="n">
        <x:f>MIN(F300,ROUND(G300*H300,0))</x:f>
        <x:v>440</x:v>
      </x:c>
      <x:c r="J300" s="54" t="n">
        <x:f>Q295</x:f>
        <x:v>0</x:v>
      </x:c>
      <x:c r="K300" s="54" t="n">
        <x:f>I300+J300</x:f>
        <x:v>440</x:v>
      </x:c>
      <x:c r="L300" s="54" t="n">
        <x:f>MIN(E300,K300)</x:f>
        <x:v>440</x:v>
      </x:c>
      <x:c r="M300" s="54" t="n">
        <x:f>MAX(E300-K300,0)</x:f>
        <x:v>98</x:v>
      </x:c>
      <x:c r="N300" s="54" t="n">
        <x:f>MAX(K300-L300,0)</x:f>
        <x:v>0</x:v>
      </x:c>
      <x:c r="O300" s="52" t="n">
        <x:v>0.02</x:v>
      </x:c>
      <x:c r="P300" s="54" t="n">
        <x:f>MIN(N300,ROUND(N300*O300,0))</x:f>
        <x:v>0</x:v>
      </x:c>
      <x:c r="Q300" s="54" t="n">
        <x:f>N300-P300</x:f>
        <x:v>0</x:v>
      </x:c>
      <x:c r="R300" s="54" t="n">
        <x:v>83</x:v>
      </x:c>
      <x:c r="S300" s="54" t="n">
        <x:f>MIN(F300,MAX(0,ROUND(D300+R300-V300,0)))</x:f>
        <x:v>521</x:v>
      </x:c>
      <x:c r="T300" s="52" t="n">
        <x:v>0.9870315158827341</x:v>
      </x:c>
      <x:c r="U300" s="54" t="n">
        <x:f>MIN(F300,MAX(0,ROUND(S300*T300,0)))</x:f>
        <x:v>514</x:v>
      </x:c>
      <x:c r="V300" s="54" t="n">
        <x:f>AB295</x:f>
        <x:v>23</x:v>
      </x:c>
      <x:c r="W300" s="54" t="n">
        <x:f>U300+V300</x:f>
        <x:v>537</x:v>
      </x:c>
      <x:c r="X300" s="54" t="n">
        <x:f>MIN(E300,W300)</x:f>
        <x:v>537</x:v>
      </x:c>
      <x:c r="Y300" s="54" t="n">
        <x:f>MAX(E300-W300,0)</x:f>
        <x:v>1</x:v>
      </x:c>
      <x:c r="Z300" s="54" t="n">
        <x:f>MAX(W300-X300,0)</x:f>
        <x:v>0</x:v>
      </x:c>
      <x:c r="AA300" s="54" t="n">
        <x:f>MIN(Z300,ROUND(Z300*O300,0))</x:f>
        <x:v>0</x:v>
      </x:c>
      <x:c r="AB300" s="54" t="n">
        <x:f>Z300-AA300</x:f>
        <x:v>0</x:v>
      </x:c>
      <x:c r="AC300" s="52" t="n">
        <x:f>IFERROR(ABS(E300-D300)/E300,0)</x:f>
        <x:v>0.14312267657992564</x:v>
      </x:c>
      <x:c r="AD300" s="52" t="n">
        <x:f>IFERROR(L300/E300,1)</x:f>
        <x:v>0.8178438661710037</x:v>
      </x:c>
      <x:c r="AE300" s="52" t="n">
        <x:f>IFERROR(X300/E300,1)</x:f>
        <x:v>0.9981412639405205</x:v>
      </x:c>
      <x:c r="AF300" s="52" t="n">
        <x:f>IFERROR(I300/F300,0)</x:f>
        <x:v>0.7857142857142857</x:v>
      </x:c>
      <x:c r="AG300" s="52" t="n">
        <x:f>IFERROR(U300/F300,0)</x:f>
        <x:v>0.9178571428571428</x:v>
      </x:c>
    </x:row>
    <x:row r="301">
      <x:c r="A301" s="50" t="n">
        <x:v>46221</x:v>
      </x:c>
      <x:c r="B301" s="48" t="str">
        <x:v>Paneer</x:v>
      </x:c>
      <x:c r="C301" s="48" t="n">
        <x:v>5</x:v>
      </x:c>
      <x:c r="D301" s="54" t="n">
        <x:v>183</x:v>
      </x:c>
      <x:c r="E301" s="54" t="n">
        <x:v>182</x:v>
      </x:c>
      <x:c r="F301" s="54" t="n">
        <x:v>230</x:v>
      </x:c>
      <x:c r="G301" s="54" t="n">
        <x:f>ROUND(D301*0.97,0)</x:f>
        <x:v>178</x:v>
      </x:c>
      <x:c r="H301" s="52" t="n">
        <x:v>0.9963412696975298</x:v>
      </x:c>
      <x:c r="I301" s="54" t="n">
        <x:f>MIN(F301,ROUND(G301*H301,0))</x:f>
        <x:v>177</x:v>
      </x:c>
      <x:c r="J301" s="54" t="n">
        <x:f>Q296</x:f>
        <x:v>4</x:v>
      </x:c>
      <x:c r="K301" s="54" t="n">
        <x:f>I301+J301</x:f>
        <x:v>181</x:v>
      </x:c>
      <x:c r="L301" s="54" t="n">
        <x:f>MIN(E301,K301)</x:f>
        <x:v>181</x:v>
      </x:c>
      <x:c r="M301" s="54" t="n">
        <x:f>MAX(E301-K301,0)</x:f>
        <x:v>1</x:v>
      </x:c>
      <x:c r="N301" s="54" t="n">
        <x:f>MAX(K301-L301,0)</x:f>
        <x:v>0</x:v>
      </x:c>
      <x:c r="O301" s="52" t="n">
        <x:v>0.025</x:v>
      </x:c>
      <x:c r="P301" s="54" t="n">
        <x:f>MIN(N301,ROUND(N301*O301,0))</x:f>
        <x:v>0</x:v>
      </x:c>
      <x:c r="Q301" s="54" t="n">
        <x:f>N301-P301</x:f>
        <x:v>0</x:v>
      </x:c>
      <x:c r="R301" s="54" t="n">
        <x:v>37</x:v>
      </x:c>
      <x:c r="S301" s="54" t="n">
        <x:f>MIN(F301,MAX(0,ROUND(D301+R301-V301,0)))</x:f>
        <x:v>194</x:v>
      </x:c>
      <x:c r="T301" s="52" t="n">
        <x:v>0.9801916093401547</x:v>
      </x:c>
      <x:c r="U301" s="54" t="n">
        <x:f>MIN(F301,MAX(0,ROUND(S301*T301,0)))</x:f>
        <x:v>190</x:v>
      </x:c>
      <x:c r="V301" s="54" t="n">
        <x:f>AB296</x:f>
        <x:v>26</x:v>
      </x:c>
      <x:c r="W301" s="54" t="n">
        <x:f>U301+V301</x:f>
        <x:v>216</x:v>
      </x:c>
      <x:c r="X301" s="54" t="n">
        <x:f>MIN(E301,W301)</x:f>
        <x:v>182</x:v>
      </x:c>
      <x:c r="Y301" s="54" t="n">
        <x:f>MAX(E301-W301,0)</x:f>
        <x:v>0</x:v>
      </x:c>
      <x:c r="Z301" s="54" t="n">
        <x:f>MAX(W301-X301,0)</x:f>
        <x:v>34</x:v>
      </x:c>
      <x:c r="AA301" s="54" t="n">
        <x:f>MIN(Z301,ROUND(Z301*O301,0))</x:f>
        <x:v>1</x:v>
      </x:c>
      <x:c r="AB301" s="54" t="n">
        <x:f>Z301-AA301</x:f>
        <x:v>33</x:v>
      </x:c>
      <x:c r="AC301" s="52" t="n">
        <x:f>IFERROR(ABS(E301-D301)/E301,0)</x:f>
        <x:v>0.005494505494505495</x:v>
      </x:c>
      <x:c r="AD301" s="52" t="n">
        <x:f>IFERROR(L301/E301,1)</x:f>
        <x:v>0.9945054945054945</x:v>
      </x:c>
      <x:c r="AE301" s="52" t="n">
        <x:f>IFERROR(X301/E301,1)</x:f>
        <x:v>1</x:v>
      </x:c>
      <x:c r="AF301" s="52" t="n">
        <x:f>IFERROR(I301/F301,0)</x:f>
        <x:v>0.7695652173913043</x:v>
      </x:c>
      <x:c r="AG301" s="52" t="n">
        <x:f>IFERROR(U301/F301,0)</x:f>
        <x:v>0.8260869565217391</x:v>
      </x:c>
    </x:row>
    <x:row r="302">
      <x:c r="A302" s="50" t="n">
        <x:v>46222</x:v>
      </x:c>
      <x:c r="B302" s="48" t="str">
        <x:v>Toned Milk</x:v>
      </x:c>
      <x:c r="C302" s="48" t="n">
        <x:v>2</x:v>
      </x:c>
      <x:c r="D302" s="54" t="n">
        <x:v>1944</x:v>
      </x:c>
      <x:c r="E302" s="54" t="n">
        <x:v>2235</x:v>
      </x:c>
      <x:c r="F302" s="54" t="n">
        <x:v>2250</x:v>
      </x:c>
      <x:c r="G302" s="54" t="n">
        <x:f>ROUND(D302*0.97,0)</x:f>
        <x:v>1886</x:v>
      </x:c>
      <x:c r="H302" s="52" t="n">
        <x:v>1.0037896389965304</x:v>
      </x:c>
      <x:c r="I302" s="54" t="n">
        <x:f>MIN(F302,ROUND(G302*H302,0))</x:f>
        <x:v>1893</x:v>
      </x:c>
      <x:c r="J302" s="54" t="n">
        <x:f>Q297</x:f>
        <x:v>119</x:v>
      </x:c>
      <x:c r="K302" s="54" t="n">
        <x:f>I302+J302</x:f>
        <x:v>2012</x:v>
      </x:c>
      <x:c r="L302" s="54" t="n">
        <x:f>MIN(E302,K302)</x:f>
        <x:v>2012</x:v>
      </x:c>
      <x:c r="M302" s="54" t="n">
        <x:f>MAX(E302-K302,0)</x:f>
        <x:v>223</x:v>
      </x:c>
      <x:c r="N302" s="54" t="n">
        <x:f>MAX(K302-L302,0)</x:f>
        <x:v>0</x:v>
      </x:c>
      <x:c r="O302" s="52" t="n">
        <x:v>0.025</x:v>
      </x:c>
      <x:c r="P302" s="54" t="n">
        <x:f>MIN(N302,ROUND(N302*O302,0))</x:f>
        <x:v>0</x:v>
      </x:c>
      <x:c r="Q302" s="54" t="n">
        <x:f>N302-P302</x:f>
        <x:v>0</x:v>
      </x:c>
      <x:c r="R302" s="54" t="n">
        <x:v>233</x:v>
      </x:c>
      <x:c r="S302" s="54" t="n">
        <x:f>MIN(F302,MAX(0,ROUND(D302+R302-V302,0)))</x:f>
        <x:v>1789</x:v>
      </x:c>
      <x:c r="T302" s="52" t="n">
        <x:v>1.0013883192100865</x:v>
      </x:c>
      <x:c r="U302" s="54" t="n">
        <x:f>MIN(F302,MAX(0,ROUND(S302*T302,0)))</x:f>
        <x:v>1791</x:v>
      </x:c>
      <x:c r="V302" s="54" t="n">
        <x:f>AB297</x:f>
        <x:v>388</x:v>
      </x:c>
      <x:c r="W302" s="54" t="n">
        <x:f>U302+V302</x:f>
        <x:v>2179</x:v>
      </x:c>
      <x:c r="X302" s="54" t="n">
        <x:f>MIN(E302,W302)</x:f>
        <x:v>2179</x:v>
      </x:c>
      <x:c r="Y302" s="54" t="n">
        <x:f>MAX(E302-W302,0)</x:f>
        <x:v>56</x:v>
      </x:c>
      <x:c r="Z302" s="54" t="n">
        <x:f>MAX(W302-X302,0)</x:f>
        <x:v>0</x:v>
      </x:c>
      <x:c r="AA302" s="54" t="n">
        <x:f>MIN(Z302,ROUND(Z302*O302,0))</x:f>
        <x:v>0</x:v>
      </x:c>
      <x:c r="AB302" s="54" t="n">
        <x:f>Z302-AA302</x:f>
        <x:v>0</x:v>
      </x:c>
      <x:c r="AC302" s="52" t="n">
        <x:f>IFERROR(ABS(E302-D302)/E302,0)</x:f>
        <x:v>0.13020134228187918</x:v>
      </x:c>
      <x:c r="AD302" s="52" t="n">
        <x:f>IFERROR(L302/E302,1)</x:f>
        <x:v>0.9002237136465324</x:v>
      </x:c>
      <x:c r="AE302" s="52" t="n">
        <x:f>IFERROR(X302/E302,1)</x:f>
        <x:v>0.9749440715883669</x:v>
      </x:c>
      <x:c r="AF302" s="52" t="n">
        <x:f>IFERROR(I302/F302,0)</x:f>
        <x:v>0.8413333333333334</x:v>
      </x:c>
      <x:c r="AG302" s="52" t="n">
        <x:f>IFERROR(U302/F302,0)</x:f>
        <x:v>0.796</x:v>
      </x:c>
    </x:row>
    <x:row r="303">
      <x:c r="A303" s="50" t="n">
        <x:v>46222</x:v>
      </x:c>
      <x:c r="B303" s="48" t="str">
        <x:v>Full Cream Milk</x:v>
      </x:c>
      <x:c r="C303" s="48" t="n">
        <x:v>2</x:v>
      </x:c>
      <x:c r="D303" s="54" t="n">
        <x:v>972</x:v>
      </x:c>
      <x:c r="E303" s="54" t="n">
        <x:v>890</x:v>
      </x:c>
      <x:c r="F303" s="54" t="n">
        <x:v>1200</x:v>
      </x:c>
      <x:c r="G303" s="54" t="n">
        <x:f>ROUND(D303*0.97,0)</x:f>
        <x:v>943</x:v>
      </x:c>
      <x:c r="H303" s="52" t="n">
        <x:v>0.9840984032880262</x:v>
      </x:c>
      <x:c r="I303" s="54" t="n">
        <x:f>MIN(F303,ROUND(G303*H303,0))</x:f>
        <x:v>928</x:v>
      </x:c>
      <x:c r="J303" s="54" t="n">
        <x:f>Q298</x:f>
        <x:v>0</x:v>
      </x:c>
      <x:c r="K303" s="54" t="n">
        <x:f>I303+J303</x:f>
        <x:v>928</x:v>
      </x:c>
      <x:c r="L303" s="54" t="n">
        <x:f>MIN(E303,K303)</x:f>
        <x:v>890</x:v>
      </x:c>
      <x:c r="M303" s="54" t="n">
        <x:f>MAX(E303-K303,0)</x:f>
        <x:v>0</x:v>
      </x:c>
      <x:c r="N303" s="54" t="n">
        <x:f>MAX(K303-L303,0)</x:f>
        <x:v>38</x:v>
      </x:c>
      <x:c r="O303" s="52" t="n">
        <x:v>0.03</x:v>
      </x:c>
      <x:c r="P303" s="54" t="n">
        <x:f>MIN(N303,ROUND(N303*O303,0))</x:f>
        <x:v>1</x:v>
      </x:c>
      <x:c r="Q303" s="54" t="n">
        <x:f>N303-P303</x:f>
        <x:v>37</x:v>
      </x:c>
      <x:c r="R303" s="54" t="n">
        <x:v>117</x:v>
      </x:c>
      <x:c r="S303" s="54" t="n">
        <x:f>MIN(F303,MAX(0,ROUND(D303+R303-V303,0)))</x:f>
        <x:v>1089</x:v>
      </x:c>
      <x:c r="T303" s="52" t="n">
        <x:v>0.9965540603606966</x:v>
      </x:c>
      <x:c r="U303" s="54" t="n">
        <x:f>MIN(F303,MAX(0,ROUND(S303*T303,0)))</x:f>
        <x:v>1085</x:v>
      </x:c>
      <x:c r="V303" s="54" t="n">
        <x:f>AB298</x:f>
        <x:v>0</x:v>
      </x:c>
      <x:c r="W303" s="54" t="n">
        <x:f>U303+V303</x:f>
        <x:v>1085</x:v>
      </x:c>
      <x:c r="X303" s="54" t="n">
        <x:f>MIN(E303,W303)</x:f>
        <x:v>890</x:v>
      </x:c>
      <x:c r="Y303" s="54" t="n">
        <x:f>MAX(E303-W303,0)</x:f>
        <x:v>0</x:v>
      </x:c>
      <x:c r="Z303" s="54" t="n">
        <x:f>MAX(W303-X303,0)</x:f>
        <x:v>195</x:v>
      </x:c>
      <x:c r="AA303" s="54" t="n">
        <x:f>MIN(Z303,ROUND(Z303*O303,0))</x:f>
        <x:v>6</x:v>
      </x:c>
      <x:c r="AB303" s="54" t="n">
        <x:f>Z303-AA303</x:f>
        <x:v>189</x:v>
      </x:c>
      <x:c r="AC303" s="52" t="n">
        <x:f>IFERROR(ABS(E303-D303)/E303,0)</x:f>
        <x:v>0.09213483146067415</x:v>
      </x:c>
      <x:c r="AD303" s="52" t="n">
        <x:f>IFERROR(L303/E303,1)</x:f>
        <x:v>1</x:v>
      </x:c>
      <x:c r="AE303" s="52" t="n">
        <x:f>IFERROR(X303/E303,1)</x:f>
        <x:v>1</x:v>
      </x:c>
      <x:c r="AF303" s="52" t="n">
        <x:f>IFERROR(I303/F303,0)</x:f>
        <x:v>0.7733333333333333</x:v>
      </x:c>
      <x:c r="AG303" s="52" t="n">
        <x:f>IFERROR(U303/F303,0)</x:f>
        <x:v>0.9041666666666667</x:v>
      </x:c>
    </x:row>
    <x:row r="304">
      <x:c r="A304" s="50" t="n">
        <x:v>46222</x:v>
      </x:c>
      <x:c r="B304" s="48" t="str">
        <x:v>Curd</x:v>
      </x:c>
      <x:c r="C304" s="48" t="n">
        <x:v>7</x:v>
      </x:c>
      <x:c r="D304" s="54" t="n">
        <x:v>592</x:v>
      </x:c>
      <x:c r="E304" s="54" t="n">
        <x:v>652</x:v>
      </x:c>
      <x:c r="F304" s="54" t="n">
        <x:v>700</x:v>
      </x:c>
      <x:c r="G304" s="54" t="n">
        <x:f>ROUND(D304*0.97,0)</x:f>
        <x:v>574</x:v>
      </x:c>
      <x:c r="H304" s="52" t="n">
        <x:v>1.0009785597417296</x:v>
      </x:c>
      <x:c r="I304" s="54" t="n">
        <x:f>MIN(F304,ROUND(G304*H304,0))</x:f>
        <x:v>575</x:v>
      </x:c>
      <x:c r="J304" s="54" t="n">
        <x:f>Q299</x:f>
        <x:v>0</x:v>
      </x:c>
      <x:c r="K304" s="54" t="n">
        <x:f>I304+J304</x:f>
        <x:v>575</x:v>
      </x:c>
      <x:c r="L304" s="54" t="n">
        <x:f>MIN(E304,K304)</x:f>
        <x:v>575</x:v>
      </x:c>
      <x:c r="M304" s="54" t="n">
        <x:f>MAX(E304-K304,0)</x:f>
        <x:v>77</x:v>
      </x:c>
      <x:c r="N304" s="54" t="n">
        <x:f>MAX(K304-L304,0)</x:f>
        <x:v>0</x:v>
      </x:c>
      <x:c r="O304" s="52" t="n">
        <x:v>0.018</x:v>
      </x:c>
      <x:c r="P304" s="54" t="n">
        <x:f>MIN(N304,ROUND(N304*O304,0))</x:f>
        <x:v>0</x:v>
      </x:c>
      <x:c r="Q304" s="54" t="n">
        <x:f>N304-P304</x:f>
        <x:v>0</x:v>
      </x:c>
      <x:c r="R304" s="54" t="n">
        <x:v>107</x:v>
      </x:c>
      <x:c r="S304" s="54" t="n">
        <x:f>MIN(F304,MAX(0,ROUND(D304+R304-V304,0)))</x:f>
        <x:v>685</x:v>
      </x:c>
      <x:c r="T304" s="52" t="n">
        <x:v>0.9895593224542698</x:v>
      </x:c>
      <x:c r="U304" s="54" t="n">
        <x:f>MIN(F304,MAX(0,ROUND(S304*T304,0)))</x:f>
        <x:v>678</x:v>
      </x:c>
      <x:c r="V304" s="54" t="n">
        <x:f>AB299</x:f>
        <x:v>14</x:v>
      </x:c>
      <x:c r="W304" s="54" t="n">
        <x:f>U304+V304</x:f>
        <x:v>692</x:v>
      </x:c>
      <x:c r="X304" s="54" t="n">
        <x:f>MIN(E304,W304)</x:f>
        <x:v>652</x:v>
      </x:c>
      <x:c r="Y304" s="54" t="n">
        <x:f>MAX(E304-W304,0)</x:f>
        <x:v>0</x:v>
      </x:c>
      <x:c r="Z304" s="54" t="n">
        <x:f>MAX(W304-X304,0)</x:f>
        <x:v>40</x:v>
      </x:c>
      <x:c r="AA304" s="54" t="n">
        <x:f>MIN(Z304,ROUND(Z304*O304,0))</x:f>
        <x:v>1</x:v>
      </x:c>
      <x:c r="AB304" s="54" t="n">
        <x:f>Z304-AA304</x:f>
        <x:v>39</x:v>
      </x:c>
      <x:c r="AC304" s="52" t="n">
        <x:f>IFERROR(ABS(E304-D304)/E304,0)</x:f>
        <x:v>0.09202453987730061</x:v>
      </x:c>
      <x:c r="AD304" s="52" t="n">
        <x:f>IFERROR(L304/E304,1)</x:f>
        <x:v>0.8819018404907976</x:v>
      </x:c>
      <x:c r="AE304" s="52" t="n">
        <x:f>IFERROR(X304/E304,1)</x:f>
        <x:v>1</x:v>
      </x:c>
      <x:c r="AF304" s="52" t="n">
        <x:f>IFERROR(I304/F304,0)</x:f>
        <x:v>0.8214285714285714</x:v>
      </x:c>
      <x:c r="AG304" s="52" t="n">
        <x:f>IFERROR(U304/F304,0)</x:f>
        <x:v>0.9685714285714285</x:v>
      </x:c>
    </x:row>
    <x:row r="305">
      <x:c r="A305" s="50" t="n">
        <x:v>46222</x:v>
      </x:c>
      <x:c r="B305" s="48" t="str">
        <x:v>Lassi</x:v>
      </x:c>
      <x:c r="C305" s="48" t="n">
        <x:v>7</x:v>
      </x:c>
      <x:c r="D305" s="54" t="n">
        <x:v>474</x:v>
      </x:c>
      <x:c r="E305" s="54" t="n">
        <x:v>528</x:v>
      </x:c>
      <x:c r="F305" s="54" t="n">
        <x:v>560</x:v>
      </x:c>
      <x:c r="G305" s="54" t="n">
        <x:f>ROUND(D305*0.97,0)</x:f>
        <x:v>460</x:v>
      </x:c>
      <x:c r="H305" s="52" t="n">
        <x:v>0.9965614074089911</x:v>
      </x:c>
      <x:c r="I305" s="54" t="n">
        <x:f>MIN(F305,ROUND(G305*H305,0))</x:f>
        <x:v>458</x:v>
      </x:c>
      <x:c r="J305" s="54" t="n">
        <x:f>Q300</x:f>
        <x:v>0</x:v>
      </x:c>
      <x:c r="K305" s="54" t="n">
        <x:f>I305+J305</x:f>
        <x:v>458</x:v>
      </x:c>
      <x:c r="L305" s="54" t="n">
        <x:f>MIN(E305,K305)</x:f>
        <x:v>458</x:v>
      </x:c>
      <x:c r="M305" s="54" t="n">
        <x:f>MAX(E305-K305,0)</x:f>
        <x:v>70</x:v>
      </x:c>
      <x:c r="N305" s="54" t="n">
        <x:f>MAX(K305-L305,0)</x:f>
        <x:v>0</x:v>
      </x:c>
      <x:c r="O305" s="52" t="n">
        <x:v>0.02</x:v>
      </x:c>
      <x:c r="P305" s="54" t="n">
        <x:f>MIN(N305,ROUND(N305*O305,0))</x:f>
        <x:v>0</x:v>
      </x:c>
      <x:c r="Q305" s="54" t="n">
        <x:f>N305-P305</x:f>
        <x:v>0</x:v>
      </x:c>
      <x:c r="R305" s="54" t="n">
        <x:v>85</x:v>
      </x:c>
      <x:c r="S305" s="54" t="n">
        <x:f>MIN(F305,MAX(0,ROUND(D305+R305-V305,0)))</x:f>
        <x:v>559</x:v>
      </x:c>
      <x:c r="T305" s="52" t="n">
        <x:v>1.0080230693569505</x:v>
      </x:c>
      <x:c r="U305" s="54" t="n">
        <x:f>MIN(F305,MAX(0,ROUND(S305*T305,0)))</x:f>
        <x:v>560</x:v>
      </x:c>
      <x:c r="V305" s="54" t="n">
        <x:f>AB300</x:f>
        <x:v>0</x:v>
      </x:c>
      <x:c r="W305" s="54" t="n">
        <x:f>U305+V305</x:f>
        <x:v>560</x:v>
      </x:c>
      <x:c r="X305" s="54" t="n">
        <x:f>MIN(E305,W305)</x:f>
        <x:v>528</x:v>
      </x:c>
      <x:c r="Y305" s="54" t="n">
        <x:f>MAX(E305-W305,0)</x:f>
        <x:v>0</x:v>
      </x:c>
      <x:c r="Z305" s="54" t="n">
        <x:f>MAX(W305-X305,0)</x:f>
        <x:v>32</x:v>
      </x:c>
      <x:c r="AA305" s="54" t="n">
        <x:f>MIN(Z305,ROUND(Z305*O305,0))</x:f>
        <x:v>1</x:v>
      </x:c>
      <x:c r="AB305" s="54" t="n">
        <x:f>Z305-AA305</x:f>
        <x:v>31</x:v>
      </x:c>
      <x:c r="AC305" s="52" t="n">
        <x:f>IFERROR(ABS(E305-D305)/E305,0)</x:f>
        <x:v>0.10227272727272728</x:v>
      </x:c>
      <x:c r="AD305" s="52" t="n">
        <x:f>IFERROR(L305/E305,1)</x:f>
        <x:v>0.8674242424242424</x:v>
      </x:c>
      <x:c r="AE305" s="52" t="n">
        <x:f>IFERROR(X305/E305,1)</x:f>
        <x:v>1</x:v>
      </x:c>
      <x:c r="AF305" s="52" t="n">
        <x:f>IFERROR(I305/F305,0)</x:f>
        <x:v>0.8178571428571428</x:v>
      </x:c>
      <x:c r="AG305" s="52" t="n">
        <x:f>IFERROR(U305/F305,0)</x:f>
        <x:v>1</x:v>
      </x:c>
    </x:row>
    <x:row r="306">
      <x:c r="A306" s="50" t="n">
        <x:v>46222</x:v>
      </x:c>
      <x:c r="B306" s="48" t="str">
        <x:v>Paneer</x:v>
      </x:c>
      <x:c r="C306" s="48" t="n">
        <x:v>5</x:v>
      </x:c>
      <x:c r="D306" s="54" t="n">
        <x:v>188</x:v>
      </x:c>
      <x:c r="E306" s="54" t="n">
        <x:v>177</x:v>
      </x:c>
      <x:c r="F306" s="54" t="n">
        <x:v>230</x:v>
      </x:c>
      <x:c r="G306" s="54" t="n">
        <x:f>ROUND(D306*0.97,0)</x:f>
        <x:v>182</x:v>
      </x:c>
      <x:c r="H306" s="52" t="n">
        <x:v>1.0073607660024684</x:v>
      </x:c>
      <x:c r="I306" s="54" t="n">
        <x:f>MIN(F306,ROUND(G306*H306,0))</x:f>
        <x:v>183</x:v>
      </x:c>
      <x:c r="J306" s="54" t="n">
        <x:f>Q301</x:f>
        <x:v>0</x:v>
      </x:c>
      <x:c r="K306" s="54" t="n">
        <x:f>I306+J306</x:f>
        <x:v>183</x:v>
      </x:c>
      <x:c r="L306" s="54" t="n">
        <x:f>MIN(E306,K306)</x:f>
        <x:v>177</x:v>
      </x:c>
      <x:c r="M306" s="54" t="n">
        <x:f>MAX(E306-K306,0)</x:f>
        <x:v>0</x:v>
      </x:c>
      <x:c r="N306" s="54" t="n">
        <x:f>MAX(K306-L306,0)</x:f>
        <x:v>6</x:v>
      </x:c>
      <x:c r="O306" s="52" t="n">
        <x:v>0.025</x:v>
      </x:c>
      <x:c r="P306" s="54" t="n">
        <x:f>MIN(N306,ROUND(N306*O306,0))</x:f>
        <x:v>0</x:v>
      </x:c>
      <x:c r="Q306" s="54" t="n">
        <x:f>N306-P306</x:f>
        <x:v>6</x:v>
      </x:c>
      <x:c r="R306" s="54" t="n">
        <x:v>38</x:v>
      </x:c>
      <x:c r="S306" s="54" t="n">
        <x:f>MIN(F306,MAX(0,ROUND(D306+R306-V306,0)))</x:f>
        <x:v>193</x:v>
      </x:c>
      <x:c r="T306" s="52" t="n">
        <x:v>1.0167034214121278</x:v>
      </x:c>
      <x:c r="U306" s="54" t="n">
        <x:f>MIN(F306,MAX(0,ROUND(S306*T306,0)))</x:f>
        <x:v>196</x:v>
      </x:c>
      <x:c r="V306" s="54" t="n">
        <x:f>AB301</x:f>
        <x:v>33</x:v>
      </x:c>
      <x:c r="W306" s="54" t="n">
        <x:f>U306+V306</x:f>
        <x:v>229</x:v>
      </x:c>
      <x:c r="X306" s="54" t="n">
        <x:f>MIN(E306,W306)</x:f>
        <x:v>177</x:v>
      </x:c>
      <x:c r="Y306" s="54" t="n">
        <x:f>MAX(E306-W306,0)</x:f>
        <x:v>0</x:v>
      </x:c>
      <x:c r="Z306" s="54" t="n">
        <x:f>MAX(W306-X306,0)</x:f>
        <x:v>52</x:v>
      </x:c>
      <x:c r="AA306" s="54" t="n">
        <x:f>MIN(Z306,ROUND(Z306*O306,0))</x:f>
        <x:v>1</x:v>
      </x:c>
      <x:c r="AB306" s="54" t="n">
        <x:f>Z306-AA306</x:f>
        <x:v>51</x:v>
      </x:c>
      <x:c r="AC306" s="52" t="n">
        <x:f>IFERROR(ABS(E306-D306)/E306,0)</x:f>
        <x:v>0.062146892655367235</x:v>
      </x:c>
      <x:c r="AD306" s="52" t="n">
        <x:f>IFERROR(L306/E306,1)</x:f>
        <x:v>1</x:v>
      </x:c>
      <x:c r="AE306" s="52" t="n">
        <x:f>IFERROR(X306/E306,1)</x:f>
        <x:v>1</x:v>
      </x:c>
      <x:c r="AF306" s="52" t="n">
        <x:f>IFERROR(I306/F306,0)</x:f>
        <x:v>0.7956521739130434</x:v>
      </x:c>
      <x:c r="AG306" s="52" t="n">
        <x:f>IFERROR(U306/F306,0)</x:f>
        <x:v>0.8521739130434782</x:v>
      </x:c>
    </x:row>
    <x:row r="307">
      <x:c r="A307" s="50" t="n">
        <x:v>46223</x:v>
      </x:c>
      <x:c r="B307" s="48" t="str">
        <x:v>Toned Milk</x:v>
      </x:c>
      <x:c r="C307" s="48" t="n">
        <x:v>2</x:v>
      </x:c>
      <x:c r="D307" s="54" t="n">
        <x:v>1667</x:v>
      </x:c>
      <x:c r="E307" s="54" t="n">
        <x:v>1796</x:v>
      </x:c>
      <x:c r="F307" s="54" t="n">
        <x:v>2250</x:v>
      </x:c>
      <x:c r="G307" s="54" t="n">
        <x:f>ROUND(D307*0.97,0)</x:f>
        <x:v>1617</x:v>
      </x:c>
      <x:c r="H307" s="52" t="n">
        <x:v>1.0091430334321088</x:v>
      </x:c>
      <x:c r="I307" s="54" t="n">
        <x:f>MIN(F307,ROUND(G307*H307,0))</x:f>
        <x:v>1632</x:v>
      </x:c>
      <x:c r="J307" s="54" t="n">
        <x:f>Q302</x:f>
        <x:v>0</x:v>
      </x:c>
      <x:c r="K307" s="54" t="n">
        <x:f>I307+J307</x:f>
        <x:v>1632</x:v>
      </x:c>
      <x:c r="L307" s="54" t="n">
        <x:f>MIN(E307,K307)</x:f>
        <x:v>1632</x:v>
      </x:c>
      <x:c r="M307" s="54" t="n">
        <x:f>MAX(E307-K307,0)</x:f>
        <x:v>164</x:v>
      </x:c>
      <x:c r="N307" s="54" t="n">
        <x:f>MAX(K307-L307,0)</x:f>
        <x:v>0</x:v>
      </x:c>
      <x:c r="O307" s="52" t="n">
        <x:v>0.025</x:v>
      </x:c>
      <x:c r="P307" s="54" t="n">
        <x:f>MIN(N307,ROUND(N307*O307,0))</x:f>
        <x:v>0</x:v>
      </x:c>
      <x:c r="Q307" s="54" t="n">
        <x:f>N307-P307</x:f>
        <x:v>0</x:v>
      </x:c>
      <x:c r="R307" s="54" t="n">
        <x:v>200</x:v>
      </x:c>
      <x:c r="S307" s="54" t="n">
        <x:f>MIN(F307,MAX(0,ROUND(D307+R307-V307,0)))</x:f>
        <x:v>1867</x:v>
      </x:c>
      <x:c r="T307" s="52" t="n">
        <x:v>1.0090095946156272</x:v>
      </x:c>
      <x:c r="U307" s="54" t="n">
        <x:f>MIN(F307,MAX(0,ROUND(S307*T307,0)))</x:f>
        <x:v>1884</x:v>
      </x:c>
      <x:c r="V307" s="54" t="n">
        <x:f>AB302</x:f>
        <x:v>0</x:v>
      </x:c>
      <x:c r="W307" s="54" t="n">
        <x:f>U307+V307</x:f>
        <x:v>1884</x:v>
      </x:c>
      <x:c r="X307" s="54" t="n">
        <x:f>MIN(E307,W307)</x:f>
        <x:v>1796</x:v>
      </x:c>
      <x:c r="Y307" s="54" t="n">
        <x:f>MAX(E307-W307,0)</x:f>
        <x:v>0</x:v>
      </x:c>
      <x:c r="Z307" s="54" t="n">
        <x:f>MAX(W307-X307,0)</x:f>
        <x:v>88</x:v>
      </x:c>
      <x:c r="AA307" s="54" t="n">
        <x:f>MIN(Z307,ROUND(Z307*O307,0))</x:f>
        <x:v>2</x:v>
      </x:c>
      <x:c r="AB307" s="54" t="n">
        <x:f>Z307-AA307</x:f>
        <x:v>86</x:v>
      </x:c>
      <x:c r="AC307" s="52" t="n">
        <x:f>IFERROR(ABS(E307-D307)/E307,0)</x:f>
        <x:v>0.07182628062360802</x:v>
      </x:c>
      <x:c r="AD307" s="52" t="n">
        <x:f>IFERROR(L307/E307,1)</x:f>
        <x:v>0.9086859688195991</x:v>
      </x:c>
      <x:c r="AE307" s="52" t="n">
        <x:f>IFERROR(X307/E307,1)</x:f>
        <x:v>1</x:v>
      </x:c>
      <x:c r="AF307" s="52" t="n">
        <x:f>IFERROR(I307/F307,0)</x:f>
        <x:v>0.7253333333333334</x:v>
      </x:c>
      <x:c r="AG307" s="52" t="n">
        <x:f>IFERROR(U307/F307,0)</x:f>
        <x:v>0.8373333333333334</x:v>
      </x:c>
    </x:row>
    <x:row r="308">
      <x:c r="A308" s="50" t="n">
        <x:v>46223</x:v>
      </x:c>
      <x:c r="B308" s="48" t="str">
        <x:v>Full Cream Milk</x:v>
      </x:c>
      <x:c r="C308" s="48" t="n">
        <x:v>2</x:v>
      </x:c>
      <x:c r="D308" s="54" t="n">
        <x:v>825</x:v>
      </x:c>
      <x:c r="E308" s="54" t="n">
        <x:v>915</x:v>
      </x:c>
      <x:c r="F308" s="54" t="n">
        <x:v>1200</x:v>
      </x:c>
      <x:c r="G308" s="54" t="n">
        <x:f>ROUND(D308*0.97,0)</x:f>
        <x:v>800</x:v>
      </x:c>
      <x:c r="H308" s="52" t="n">
        <x:v>1.0112072234621656</x:v>
      </x:c>
      <x:c r="I308" s="54" t="n">
        <x:f>MIN(F308,ROUND(G308*H308,0))</x:f>
        <x:v>809</x:v>
      </x:c>
      <x:c r="J308" s="54" t="n">
        <x:f>Q303</x:f>
        <x:v>37</x:v>
      </x:c>
      <x:c r="K308" s="54" t="n">
        <x:f>I308+J308</x:f>
        <x:v>846</x:v>
      </x:c>
      <x:c r="L308" s="54" t="n">
        <x:f>MIN(E308,K308)</x:f>
        <x:v>846</x:v>
      </x:c>
      <x:c r="M308" s="54" t="n">
        <x:f>MAX(E308-K308,0)</x:f>
        <x:v>69</x:v>
      </x:c>
      <x:c r="N308" s="54" t="n">
        <x:f>MAX(K308-L308,0)</x:f>
        <x:v>0</x:v>
      </x:c>
      <x:c r="O308" s="52" t="n">
        <x:v>0.03</x:v>
      </x:c>
      <x:c r="P308" s="54" t="n">
        <x:f>MIN(N308,ROUND(N308*O308,0))</x:f>
        <x:v>0</x:v>
      </x:c>
      <x:c r="Q308" s="54" t="n">
        <x:f>N308-P308</x:f>
        <x:v>0</x:v>
      </x:c>
      <x:c r="R308" s="54" t="n">
        <x:v>99</x:v>
      </x:c>
      <x:c r="S308" s="54" t="n">
        <x:f>MIN(F308,MAX(0,ROUND(D308+R308-V308,0)))</x:f>
        <x:v>735</x:v>
      </x:c>
      <x:c r="T308" s="52" t="n">
        <x:v>1.001595692399319</x:v>
      </x:c>
      <x:c r="U308" s="54" t="n">
        <x:f>MIN(F308,MAX(0,ROUND(S308*T308,0)))</x:f>
        <x:v>736</x:v>
      </x:c>
      <x:c r="V308" s="54" t="n">
        <x:f>AB303</x:f>
        <x:v>189</x:v>
      </x:c>
      <x:c r="W308" s="54" t="n">
        <x:f>U308+V308</x:f>
        <x:v>925</x:v>
      </x:c>
      <x:c r="X308" s="54" t="n">
        <x:f>MIN(E308,W308)</x:f>
        <x:v>915</x:v>
      </x:c>
      <x:c r="Y308" s="54" t="n">
        <x:f>MAX(E308-W308,0)</x:f>
        <x:v>0</x:v>
      </x:c>
      <x:c r="Z308" s="54" t="n">
        <x:f>MAX(W308-X308,0)</x:f>
        <x:v>10</x:v>
      </x:c>
      <x:c r="AA308" s="54" t="n">
        <x:f>MIN(Z308,ROUND(Z308*O308,0))</x:f>
        <x:v>0</x:v>
      </x:c>
      <x:c r="AB308" s="54" t="n">
        <x:f>Z308-AA308</x:f>
        <x:v>10</x:v>
      </x:c>
      <x:c r="AC308" s="52" t="n">
        <x:f>IFERROR(ABS(E308-D308)/E308,0)</x:f>
        <x:v>0.09836065573770492</x:v>
      </x:c>
      <x:c r="AD308" s="52" t="n">
        <x:f>IFERROR(L308/E308,1)</x:f>
        <x:v>0.9245901639344263</x:v>
      </x:c>
      <x:c r="AE308" s="52" t="n">
        <x:f>IFERROR(X308/E308,1)</x:f>
        <x:v>1</x:v>
      </x:c>
      <x:c r="AF308" s="52" t="n">
        <x:f>IFERROR(I308/F308,0)</x:f>
        <x:v>0.6741666666666667</x:v>
      </x:c>
      <x:c r="AG308" s="52" t="n">
        <x:f>IFERROR(U308/F308,0)</x:f>
        <x:v>0.6133333333333333</x:v>
      </x:c>
    </x:row>
    <x:row r="309">
      <x:c r="A309" s="50" t="n">
        <x:v>46223</x:v>
      </x:c>
      <x:c r="B309" s="48" t="str">
        <x:v>Curd</x:v>
      </x:c>
      <x:c r="C309" s="48" t="n">
        <x:v>7</x:v>
      </x:c>
      <x:c r="D309" s="54" t="n">
        <x:v>475</x:v>
      </x:c>
      <x:c r="E309" s="54" t="n">
        <x:v>534</x:v>
      </x:c>
      <x:c r="F309" s="54" t="n">
        <x:v>700</x:v>
      </x:c>
      <x:c r="G309" s="54" t="n">
        <x:f>ROUND(D309*0.97,0)</x:f>
        <x:v>461</x:v>
      </x:c>
      <x:c r="H309" s="52" t="n">
        <x:v>0.9899226717002452</x:v>
      </x:c>
      <x:c r="I309" s="54" t="n">
        <x:f>MIN(F309,ROUND(G309*H309,0))</x:f>
        <x:v>456</x:v>
      </x:c>
      <x:c r="J309" s="54" t="n">
        <x:f>Q304</x:f>
        <x:v>0</x:v>
      </x:c>
      <x:c r="K309" s="54" t="n">
        <x:f>I309+J309</x:f>
        <x:v>456</x:v>
      </x:c>
      <x:c r="L309" s="54" t="n">
        <x:f>MIN(E309,K309)</x:f>
        <x:v>456</x:v>
      </x:c>
      <x:c r="M309" s="54" t="n">
        <x:f>MAX(E309-K309,0)</x:f>
        <x:v>78</x:v>
      </x:c>
      <x:c r="N309" s="54" t="n">
        <x:f>MAX(K309-L309,0)</x:f>
        <x:v>0</x:v>
      </x:c>
      <x:c r="O309" s="52" t="n">
        <x:v>0.018</x:v>
      </x:c>
      <x:c r="P309" s="54" t="n">
        <x:f>MIN(N309,ROUND(N309*O309,0))</x:f>
        <x:v>0</x:v>
      </x:c>
      <x:c r="Q309" s="54" t="n">
        <x:f>N309-P309</x:f>
        <x:v>0</x:v>
      </x:c>
      <x:c r="R309" s="54" t="n">
        <x:v>86</x:v>
      </x:c>
      <x:c r="S309" s="54" t="n">
        <x:f>MIN(F309,MAX(0,ROUND(D309+R309-V309,0)))</x:f>
        <x:v>522</x:v>
      </x:c>
      <x:c r="T309" s="52" t="n">
        <x:v>0.9911099846257391</x:v>
      </x:c>
      <x:c r="U309" s="54" t="n">
        <x:f>MIN(F309,MAX(0,ROUND(S309*T309,0)))</x:f>
        <x:v>517</x:v>
      </x:c>
      <x:c r="V309" s="54" t="n">
        <x:f>AB304</x:f>
        <x:v>39</x:v>
      </x:c>
      <x:c r="W309" s="54" t="n">
        <x:f>U309+V309</x:f>
        <x:v>556</x:v>
      </x:c>
      <x:c r="X309" s="54" t="n">
        <x:f>MIN(E309,W309)</x:f>
        <x:v>534</x:v>
      </x:c>
      <x:c r="Y309" s="54" t="n">
        <x:f>MAX(E309-W309,0)</x:f>
        <x:v>0</x:v>
      </x:c>
      <x:c r="Z309" s="54" t="n">
        <x:f>MAX(W309-X309,0)</x:f>
        <x:v>22</x:v>
      </x:c>
      <x:c r="AA309" s="54" t="n">
        <x:f>MIN(Z309,ROUND(Z309*O309,0))</x:f>
        <x:v>0</x:v>
      </x:c>
      <x:c r="AB309" s="54" t="n">
        <x:f>Z309-AA309</x:f>
        <x:v>22</x:v>
      </x:c>
      <x:c r="AC309" s="52" t="n">
        <x:f>IFERROR(ABS(E309-D309)/E309,0)</x:f>
        <x:v>0.1104868913857678</x:v>
      </x:c>
      <x:c r="AD309" s="52" t="n">
        <x:f>IFERROR(L309/E309,1)</x:f>
        <x:v>0.8539325842696629</x:v>
      </x:c>
      <x:c r="AE309" s="52" t="n">
        <x:f>IFERROR(X309/E309,1)</x:f>
        <x:v>1</x:v>
      </x:c>
      <x:c r="AF309" s="52" t="n">
        <x:f>IFERROR(I309/F309,0)</x:f>
        <x:v>0.6514285714285715</x:v>
      </x:c>
      <x:c r="AG309" s="52" t="n">
        <x:f>IFERROR(U309/F309,0)</x:f>
        <x:v>0.7385714285714285</x:v>
      </x:c>
    </x:row>
    <x:row r="310">
      <x:c r="A310" s="50" t="n">
        <x:v>46223</x:v>
      </x:c>
      <x:c r="B310" s="48" t="str">
        <x:v>Lassi</x:v>
      </x:c>
      <x:c r="C310" s="48" t="n">
        <x:v>7</x:v>
      </x:c>
      <x:c r="D310" s="54" t="n">
        <x:v>368</x:v>
      </x:c>
      <x:c r="E310" s="54" t="n">
        <x:v>415</x:v>
      </x:c>
      <x:c r="F310" s="54" t="n">
        <x:v>560</x:v>
      </x:c>
      <x:c r="G310" s="54" t="n">
        <x:f>ROUND(D310*0.97,0)</x:f>
        <x:v>357</x:v>
      </x:c>
      <x:c r="H310" s="52" t="n">
        <x:v>0.9990295569095565</x:v>
      </x:c>
      <x:c r="I310" s="54" t="n">
        <x:f>MIN(F310,ROUND(G310*H310,0))</x:f>
        <x:v>357</x:v>
      </x:c>
      <x:c r="J310" s="54" t="n">
        <x:f>Q305</x:f>
        <x:v>0</x:v>
      </x:c>
      <x:c r="K310" s="54" t="n">
        <x:f>I310+J310</x:f>
        <x:v>357</x:v>
      </x:c>
      <x:c r="L310" s="54" t="n">
        <x:f>MIN(E310,K310)</x:f>
        <x:v>357</x:v>
      </x:c>
      <x:c r="M310" s="54" t="n">
        <x:f>MAX(E310-K310,0)</x:f>
        <x:v>58</x:v>
      </x:c>
      <x:c r="N310" s="54" t="n">
        <x:f>MAX(K310-L310,0)</x:f>
        <x:v>0</x:v>
      </x:c>
      <x:c r="O310" s="52" t="n">
        <x:v>0.02</x:v>
      </x:c>
      <x:c r="P310" s="54" t="n">
        <x:f>MIN(N310,ROUND(N310*O310,0))</x:f>
        <x:v>0</x:v>
      </x:c>
      <x:c r="Q310" s="54" t="n">
        <x:f>N310-P310</x:f>
        <x:v>0</x:v>
      </x:c>
      <x:c r="R310" s="54" t="n">
        <x:v>66</x:v>
      </x:c>
      <x:c r="S310" s="54" t="n">
        <x:f>MIN(F310,MAX(0,ROUND(D310+R310-V310,0)))</x:f>
        <x:v>403</x:v>
      </x:c>
      <x:c r="T310" s="52" t="n">
        <x:v>1.0192185873390474</x:v>
      </x:c>
      <x:c r="U310" s="54" t="n">
        <x:f>MIN(F310,MAX(0,ROUND(S310*T310,0)))</x:f>
        <x:v>411</x:v>
      </x:c>
      <x:c r="V310" s="54" t="n">
        <x:f>AB305</x:f>
        <x:v>31</x:v>
      </x:c>
      <x:c r="W310" s="54" t="n">
        <x:f>U310+V310</x:f>
        <x:v>442</x:v>
      </x:c>
      <x:c r="X310" s="54" t="n">
        <x:f>MIN(E310,W310)</x:f>
        <x:v>415</x:v>
      </x:c>
      <x:c r="Y310" s="54" t="n">
        <x:f>MAX(E310-W310,0)</x:f>
        <x:v>0</x:v>
      </x:c>
      <x:c r="Z310" s="54" t="n">
        <x:f>MAX(W310-X310,0)</x:f>
        <x:v>27</x:v>
      </x:c>
      <x:c r="AA310" s="54" t="n">
        <x:f>MIN(Z310,ROUND(Z310*O310,0))</x:f>
        <x:v>1</x:v>
      </x:c>
      <x:c r="AB310" s="54" t="n">
        <x:f>Z310-AA310</x:f>
        <x:v>26</x:v>
      </x:c>
      <x:c r="AC310" s="52" t="n">
        <x:f>IFERROR(ABS(E310-D310)/E310,0)</x:f>
        <x:v>0.11325301204819277</x:v>
      </x:c>
      <x:c r="AD310" s="52" t="n">
        <x:f>IFERROR(L310/E310,1)</x:f>
        <x:v>0.8602409638554217</x:v>
      </x:c>
      <x:c r="AE310" s="52" t="n">
        <x:f>IFERROR(X310/E310,1)</x:f>
        <x:v>1</x:v>
      </x:c>
      <x:c r="AF310" s="52" t="n">
        <x:f>IFERROR(I310/F310,0)</x:f>
        <x:v>0.6375</x:v>
      </x:c>
      <x:c r="AG310" s="52" t="n">
        <x:f>IFERROR(U310/F310,0)</x:f>
        <x:v>0.7339285714285714</x:v>
      </x:c>
    </x:row>
    <x:row r="311">
      <x:c r="A311" s="50" t="n">
        <x:v>46223</x:v>
      </x:c>
      <x:c r="B311" s="48" t="str">
        <x:v>Paneer</x:v>
      </x:c>
      <x:c r="C311" s="48" t="n">
        <x:v>5</x:v>
      </x:c>
      <x:c r="D311" s="54" t="n">
        <x:v>150</x:v>
      </x:c>
      <x:c r="E311" s="54" t="n">
        <x:v>153</x:v>
      </x:c>
      <x:c r="F311" s="54" t="n">
        <x:v>230</x:v>
      </x:c>
      <x:c r="G311" s="54" t="n">
        <x:f>ROUND(D311*0.97,0)</x:f>
        <x:v>146</x:v>
      </x:c>
      <x:c r="H311" s="52" t="n">
        <x:v>0.9899490908747972</x:v>
      </x:c>
      <x:c r="I311" s="54" t="n">
        <x:f>MIN(F311,ROUND(G311*H311,0))</x:f>
        <x:v>145</x:v>
      </x:c>
      <x:c r="J311" s="54" t="n">
        <x:f>Q306</x:f>
        <x:v>6</x:v>
      </x:c>
      <x:c r="K311" s="54" t="n">
        <x:f>I311+J311</x:f>
        <x:v>151</x:v>
      </x:c>
      <x:c r="L311" s="54" t="n">
        <x:f>MIN(E311,K311)</x:f>
        <x:v>151</x:v>
      </x:c>
      <x:c r="M311" s="54" t="n">
        <x:f>MAX(E311-K311,0)</x:f>
        <x:v>2</x:v>
      </x:c>
      <x:c r="N311" s="54" t="n">
        <x:f>MAX(K311-L311,0)</x:f>
        <x:v>0</x:v>
      </x:c>
      <x:c r="O311" s="52" t="n">
        <x:v>0.025</x:v>
      </x:c>
      <x:c r="P311" s="54" t="n">
        <x:f>MIN(N311,ROUND(N311*O311,0))</x:f>
        <x:v>0</x:v>
      </x:c>
      <x:c r="Q311" s="54" t="n">
        <x:f>N311-P311</x:f>
        <x:v>0</x:v>
      </x:c>
      <x:c r="R311" s="54" t="n">
        <x:v>30</x:v>
      </x:c>
      <x:c r="S311" s="54" t="n">
        <x:f>MIN(F311,MAX(0,ROUND(D311+R311-V311,0)))</x:f>
        <x:v>129</x:v>
      </x:c>
      <x:c r="T311" s="52" t="n">
        <x:v>0.9891929933813739</x:v>
      </x:c>
      <x:c r="U311" s="54" t="n">
        <x:f>MIN(F311,MAX(0,ROUND(S311*T311,0)))</x:f>
        <x:v>128</x:v>
      </x:c>
      <x:c r="V311" s="54" t="n">
        <x:f>AB306</x:f>
        <x:v>51</x:v>
      </x:c>
      <x:c r="W311" s="54" t="n">
        <x:f>U311+V311</x:f>
        <x:v>179</x:v>
      </x:c>
      <x:c r="X311" s="54" t="n">
        <x:f>MIN(E311,W311)</x:f>
        <x:v>153</x:v>
      </x:c>
      <x:c r="Y311" s="54" t="n">
        <x:f>MAX(E311-W311,0)</x:f>
        <x:v>0</x:v>
      </x:c>
      <x:c r="Z311" s="54" t="n">
        <x:f>MAX(W311-X311,0)</x:f>
        <x:v>26</x:v>
      </x:c>
      <x:c r="AA311" s="54" t="n">
        <x:f>MIN(Z311,ROUND(Z311*O311,0))</x:f>
        <x:v>1</x:v>
      </x:c>
      <x:c r="AB311" s="54" t="n">
        <x:f>Z311-AA311</x:f>
        <x:v>25</x:v>
      </x:c>
      <x:c r="AC311" s="52" t="n">
        <x:f>IFERROR(ABS(E311-D311)/E311,0)</x:f>
        <x:v>0.0196078431372549</x:v>
      </x:c>
      <x:c r="AD311" s="52" t="n">
        <x:f>IFERROR(L311/E311,1)</x:f>
        <x:v>0.9869281045751634</x:v>
      </x:c>
      <x:c r="AE311" s="52" t="n">
        <x:f>IFERROR(X311/E311,1)</x:f>
        <x:v>1</x:v>
      </x:c>
      <x:c r="AF311" s="52" t="n">
        <x:f>IFERROR(I311/F311,0)</x:f>
        <x:v>0.6304347826086957</x:v>
      </x:c>
      <x:c r="AG311" s="52" t="n">
        <x:f>IFERROR(U311/F311,0)</x:f>
        <x:v>0.5565217391304348</x:v>
      </x:c>
    </x:row>
    <x:row r="312">
      <x:c r="A312" s="50" t="n">
        <x:v>46224</x:v>
      </x:c>
      <x:c r="B312" s="48" t="str">
        <x:v>Toned Milk</x:v>
      </x:c>
      <x:c r="C312" s="48" t="n">
        <x:v>2</x:v>
      </x:c>
      <x:c r="D312" s="54" t="n">
        <x:v>1702</x:v>
      </x:c>
      <x:c r="E312" s="54" t="n">
        <x:v>1983</x:v>
      </x:c>
      <x:c r="F312" s="54" t="n">
        <x:v>2250</x:v>
      </x:c>
      <x:c r="G312" s="54" t="n">
        <x:f>ROUND(D312*0.97,0)</x:f>
        <x:v>1651</x:v>
      </x:c>
      <x:c r="H312" s="52" t="n">
        <x:v>0.996411329153513</x:v>
      </x:c>
      <x:c r="I312" s="54" t="n">
        <x:f>MIN(F312,ROUND(G312*H312,0))</x:f>
        <x:v>1645</x:v>
      </x:c>
      <x:c r="J312" s="54" t="n">
        <x:f>Q307</x:f>
        <x:v>0</x:v>
      </x:c>
      <x:c r="K312" s="54" t="n">
        <x:f>I312+J312</x:f>
        <x:v>1645</x:v>
      </x:c>
      <x:c r="L312" s="54" t="n">
        <x:f>MIN(E312,K312)</x:f>
        <x:v>1645</x:v>
      </x:c>
      <x:c r="M312" s="54" t="n">
        <x:f>MAX(E312-K312,0)</x:f>
        <x:v>338</x:v>
      </x:c>
      <x:c r="N312" s="54" t="n">
        <x:f>MAX(K312-L312,0)</x:f>
        <x:v>0</x:v>
      </x:c>
      <x:c r="O312" s="52" t="n">
        <x:v>0.025</x:v>
      </x:c>
      <x:c r="P312" s="54" t="n">
        <x:f>MIN(N312,ROUND(N312*O312,0))</x:f>
        <x:v>0</x:v>
      </x:c>
      <x:c r="Q312" s="54" t="n">
        <x:f>N312-P312</x:f>
        <x:v>0</x:v>
      </x:c>
      <x:c r="R312" s="54" t="n">
        <x:v>204</x:v>
      </x:c>
      <x:c r="S312" s="54" t="n">
        <x:f>MIN(F312,MAX(0,ROUND(D312+R312-V312,0)))</x:f>
        <x:v>1820</x:v>
      </x:c>
      <x:c r="T312" s="52" t="n">
        <x:v>1.0028809528189178</x:v>
      </x:c>
      <x:c r="U312" s="54" t="n">
        <x:f>MIN(F312,MAX(0,ROUND(S312*T312,0)))</x:f>
        <x:v>1825</x:v>
      </x:c>
      <x:c r="V312" s="54" t="n">
        <x:f>AB307</x:f>
        <x:v>86</x:v>
      </x:c>
      <x:c r="W312" s="54" t="n">
        <x:f>U312+V312</x:f>
        <x:v>1911</x:v>
      </x:c>
      <x:c r="X312" s="54" t="n">
        <x:f>MIN(E312,W312)</x:f>
        <x:v>1911</x:v>
      </x:c>
      <x:c r="Y312" s="54" t="n">
        <x:f>MAX(E312-W312,0)</x:f>
        <x:v>72</x:v>
      </x:c>
      <x:c r="Z312" s="54" t="n">
        <x:f>MAX(W312-X312,0)</x:f>
        <x:v>0</x:v>
      </x:c>
      <x:c r="AA312" s="54" t="n">
        <x:f>MIN(Z312,ROUND(Z312*O312,0))</x:f>
        <x:v>0</x:v>
      </x:c>
      <x:c r="AB312" s="54" t="n">
        <x:f>Z312-AA312</x:f>
        <x:v>0</x:v>
      </x:c>
      <x:c r="AC312" s="52" t="n">
        <x:f>IFERROR(ABS(E312-D312)/E312,0)</x:f>
        <x:v>0.14170448814926878</x:v>
      </x:c>
      <x:c r="AD312" s="52" t="n">
        <x:f>IFERROR(L312/E312,1)</x:f>
        <x:v>0.8295511850731215</x:v>
      </x:c>
      <x:c r="AE312" s="52" t="n">
        <x:f>IFERROR(X312/E312,1)</x:f>
        <x:v>0.9636913767019667</x:v>
      </x:c>
      <x:c r="AF312" s="52" t="n">
        <x:f>IFERROR(I312/F312,0)</x:f>
        <x:v>0.7311111111111112</x:v>
      </x:c>
      <x:c r="AG312" s="52" t="n">
        <x:f>IFERROR(U312/F312,0)</x:f>
        <x:v>0.8111111111111111</x:v>
      </x:c>
    </x:row>
    <x:row r="313">
      <x:c r="A313" s="50" t="n">
        <x:v>46224</x:v>
      </x:c>
      <x:c r="B313" s="48" t="str">
        <x:v>Full Cream Milk</x:v>
      </x:c>
      <x:c r="C313" s="48" t="n">
        <x:v>2</x:v>
      </x:c>
      <x:c r="D313" s="54" t="n">
        <x:v>851</x:v>
      </x:c>
      <x:c r="E313" s="54" t="n">
        <x:v>845</x:v>
      </x:c>
      <x:c r="F313" s="54" t="n">
        <x:v>1200</x:v>
      </x:c>
      <x:c r="G313" s="54" t="n">
        <x:f>ROUND(D313*0.97,0)</x:f>
        <x:v>825</x:v>
      </x:c>
      <x:c r="H313" s="52" t="n">
        <x:v>0.9856033409709813</x:v>
      </x:c>
      <x:c r="I313" s="54" t="n">
        <x:f>MIN(F313,ROUND(G313*H313,0))</x:f>
        <x:v>813</x:v>
      </x:c>
      <x:c r="J313" s="54" t="n">
        <x:f>Q308</x:f>
        <x:v>0</x:v>
      </x:c>
      <x:c r="K313" s="54" t="n">
        <x:f>I313+J313</x:f>
        <x:v>813</x:v>
      </x:c>
      <x:c r="L313" s="54" t="n">
        <x:f>MIN(E313,K313)</x:f>
        <x:v>813</x:v>
      </x:c>
      <x:c r="M313" s="54" t="n">
        <x:f>MAX(E313-K313,0)</x:f>
        <x:v>32</x:v>
      </x:c>
      <x:c r="N313" s="54" t="n">
        <x:f>MAX(K313-L313,0)</x:f>
        <x:v>0</x:v>
      </x:c>
      <x:c r="O313" s="52" t="n">
        <x:v>0.03</x:v>
      </x:c>
      <x:c r="P313" s="54" t="n">
        <x:f>MIN(N313,ROUND(N313*O313,0))</x:f>
        <x:v>0</x:v>
      </x:c>
      <x:c r="Q313" s="54" t="n">
        <x:f>N313-P313</x:f>
        <x:v>0</x:v>
      </x:c>
      <x:c r="R313" s="54" t="n">
        <x:v>102</x:v>
      </x:c>
      <x:c r="S313" s="54" t="n">
        <x:f>MIN(F313,MAX(0,ROUND(D313+R313-V313,0)))</x:f>
        <x:v>943</x:v>
      </x:c>
      <x:c r="T313" s="52" t="n">
        <x:v>1.0158046967820156</x:v>
      </x:c>
      <x:c r="U313" s="54" t="n">
        <x:f>MIN(F313,MAX(0,ROUND(S313*T313,0)))</x:f>
        <x:v>958</x:v>
      </x:c>
      <x:c r="V313" s="54" t="n">
        <x:f>AB308</x:f>
        <x:v>10</x:v>
      </x:c>
      <x:c r="W313" s="54" t="n">
        <x:f>U313+V313</x:f>
        <x:v>968</x:v>
      </x:c>
      <x:c r="X313" s="54" t="n">
        <x:f>MIN(E313,W313)</x:f>
        <x:v>845</x:v>
      </x:c>
      <x:c r="Y313" s="54" t="n">
        <x:f>MAX(E313-W313,0)</x:f>
        <x:v>0</x:v>
      </x:c>
      <x:c r="Z313" s="54" t="n">
        <x:f>MAX(W313-X313,0)</x:f>
        <x:v>123</x:v>
      </x:c>
      <x:c r="AA313" s="54" t="n">
        <x:f>MIN(Z313,ROUND(Z313*O313,0))</x:f>
        <x:v>4</x:v>
      </x:c>
      <x:c r="AB313" s="54" t="n">
        <x:f>Z313-AA313</x:f>
        <x:v>119</x:v>
      </x:c>
      <x:c r="AC313" s="52" t="n">
        <x:f>IFERROR(ABS(E313-D313)/E313,0)</x:f>
        <x:v>0.007100591715976331</x:v>
      </x:c>
      <x:c r="AD313" s="52" t="n">
        <x:f>IFERROR(L313/E313,1)</x:f>
        <x:v>0.9621301775147929</x:v>
      </x:c>
      <x:c r="AE313" s="52" t="n">
        <x:f>IFERROR(X313/E313,1)</x:f>
        <x:v>1</x:v>
      </x:c>
      <x:c r="AF313" s="52" t="n">
        <x:f>IFERROR(I313/F313,0)</x:f>
        <x:v>0.6775</x:v>
      </x:c>
      <x:c r="AG313" s="52" t="n">
        <x:f>IFERROR(U313/F313,0)</x:f>
        <x:v>0.7983333333333333</x:v>
      </x:c>
    </x:row>
    <x:row r="314">
      <x:c r="A314" s="50" t="n">
        <x:v>46224</x:v>
      </x:c>
      <x:c r="B314" s="48" t="str">
        <x:v>Curd</x:v>
      </x:c>
      <x:c r="C314" s="48" t="n">
        <x:v>7</x:v>
      </x:c>
      <x:c r="D314" s="54" t="n">
        <x:v>490</x:v>
      </x:c>
      <x:c r="E314" s="54" t="n">
        <x:v>434</x:v>
      </x:c>
      <x:c r="F314" s="54" t="n">
        <x:v>700</x:v>
      </x:c>
      <x:c r="G314" s="54" t="n">
        <x:f>ROUND(D314*0.97,0)</x:f>
        <x:v>475</x:v>
      </x:c>
      <x:c r="H314" s="52" t="n">
        <x:v>0.9884787914265585</x:v>
      </x:c>
      <x:c r="I314" s="54" t="n">
        <x:f>MIN(F314,ROUND(G314*H314,0))</x:f>
        <x:v>470</x:v>
      </x:c>
      <x:c r="J314" s="54" t="n">
        <x:f>Q309</x:f>
        <x:v>0</x:v>
      </x:c>
      <x:c r="K314" s="54" t="n">
        <x:f>I314+J314</x:f>
        <x:v>470</x:v>
      </x:c>
      <x:c r="L314" s="54" t="n">
        <x:f>MIN(E314,K314)</x:f>
        <x:v>434</x:v>
      </x:c>
      <x:c r="M314" s="54" t="n">
        <x:f>MAX(E314-K314,0)</x:f>
        <x:v>0</x:v>
      </x:c>
      <x:c r="N314" s="54" t="n">
        <x:f>MAX(K314-L314,0)</x:f>
        <x:v>36</x:v>
      </x:c>
      <x:c r="O314" s="52" t="n">
        <x:v>0.018</x:v>
      </x:c>
      <x:c r="P314" s="54" t="n">
        <x:f>MIN(N314,ROUND(N314*O314,0))</x:f>
        <x:v>1</x:v>
      </x:c>
      <x:c r="Q314" s="54" t="n">
        <x:f>N314-P314</x:f>
        <x:v>35</x:v>
      </x:c>
      <x:c r="R314" s="54" t="n">
        <x:v>88</x:v>
      </x:c>
      <x:c r="S314" s="54" t="n">
        <x:f>MIN(F314,MAX(0,ROUND(D314+R314-V314,0)))</x:f>
        <x:v>556</x:v>
      </x:c>
      <x:c r="T314" s="52" t="n">
        <x:v>1.0029581612261056</x:v>
      </x:c>
      <x:c r="U314" s="54" t="n">
        <x:f>MIN(F314,MAX(0,ROUND(S314*T314,0)))</x:f>
        <x:v>558</x:v>
      </x:c>
      <x:c r="V314" s="54" t="n">
        <x:f>AB309</x:f>
        <x:v>22</x:v>
      </x:c>
      <x:c r="W314" s="54" t="n">
        <x:f>U314+V314</x:f>
        <x:v>580</x:v>
      </x:c>
      <x:c r="X314" s="54" t="n">
        <x:f>MIN(E314,W314)</x:f>
        <x:v>434</x:v>
      </x:c>
      <x:c r="Y314" s="54" t="n">
        <x:f>MAX(E314-W314,0)</x:f>
        <x:v>0</x:v>
      </x:c>
      <x:c r="Z314" s="54" t="n">
        <x:f>MAX(W314-X314,0)</x:f>
        <x:v>146</x:v>
      </x:c>
      <x:c r="AA314" s="54" t="n">
        <x:f>MIN(Z314,ROUND(Z314*O314,0))</x:f>
        <x:v>3</x:v>
      </x:c>
      <x:c r="AB314" s="54" t="n">
        <x:f>Z314-AA314</x:f>
        <x:v>143</x:v>
      </x:c>
      <x:c r="AC314" s="52" t="n">
        <x:f>IFERROR(ABS(E314-D314)/E314,0)</x:f>
        <x:v>0.12903225806451613</x:v>
      </x:c>
      <x:c r="AD314" s="52" t="n">
        <x:f>IFERROR(L314/E314,1)</x:f>
        <x:v>1</x:v>
      </x:c>
      <x:c r="AE314" s="52" t="n">
        <x:f>IFERROR(X314/E314,1)</x:f>
        <x:v>1</x:v>
      </x:c>
      <x:c r="AF314" s="52" t="n">
        <x:f>IFERROR(I314/F314,0)</x:f>
        <x:v>0.6714285714285714</x:v>
      </x:c>
      <x:c r="AG314" s="52" t="n">
        <x:f>IFERROR(U314/F314,0)</x:f>
        <x:v>0.7971428571428572</x:v>
      </x:c>
    </x:row>
    <x:row r="315">
      <x:c r="A315" s="50" t="n">
        <x:v>46224</x:v>
      </x:c>
      <x:c r="B315" s="48" t="str">
        <x:v>Lassi</x:v>
      </x:c>
      <x:c r="C315" s="48" t="n">
        <x:v>7</x:v>
      </x:c>
      <x:c r="D315" s="54" t="n">
        <x:v>384</x:v>
      </x:c>
      <x:c r="E315" s="54" t="n">
        <x:v>427</x:v>
      </x:c>
      <x:c r="F315" s="54" t="n">
        <x:v>560</x:v>
      </x:c>
      <x:c r="G315" s="54" t="n">
        <x:f>ROUND(D315*0.97,0)</x:f>
        <x:v>372</x:v>
      </x:c>
      <x:c r="H315" s="52" t="n">
        <x:v>0.9810030389170632</x:v>
      </x:c>
      <x:c r="I315" s="54" t="n">
        <x:f>MIN(F315,ROUND(G315*H315,0))</x:f>
        <x:v>365</x:v>
      </x:c>
      <x:c r="J315" s="54" t="n">
        <x:f>Q310</x:f>
        <x:v>0</x:v>
      </x:c>
      <x:c r="K315" s="54" t="n">
        <x:f>I315+J315</x:f>
        <x:v>365</x:v>
      </x:c>
      <x:c r="L315" s="54" t="n">
        <x:f>MIN(E315,K315)</x:f>
        <x:v>365</x:v>
      </x:c>
      <x:c r="M315" s="54" t="n">
        <x:f>MAX(E315-K315,0)</x:f>
        <x:v>62</x:v>
      </x:c>
      <x:c r="N315" s="54" t="n">
        <x:f>MAX(K315-L315,0)</x:f>
        <x:v>0</x:v>
      </x:c>
      <x:c r="O315" s="52" t="n">
        <x:v>0.02</x:v>
      </x:c>
      <x:c r="P315" s="54" t="n">
        <x:f>MIN(N315,ROUND(N315*O315,0))</x:f>
        <x:v>0</x:v>
      </x:c>
      <x:c r="Q315" s="54" t="n">
        <x:f>N315-P315</x:f>
        <x:v>0</x:v>
      </x:c>
      <x:c r="R315" s="54" t="n">
        <x:v>69</x:v>
      </x:c>
      <x:c r="S315" s="54" t="n">
        <x:f>MIN(F315,MAX(0,ROUND(D315+R315-V315,0)))</x:f>
        <x:v>427</x:v>
      </x:c>
      <x:c r="T315" s="52" t="n">
        <x:v>0.9991611675385655</x:v>
      </x:c>
      <x:c r="U315" s="54" t="n">
        <x:f>MIN(F315,MAX(0,ROUND(S315*T315,0)))</x:f>
        <x:v>427</x:v>
      </x:c>
      <x:c r="V315" s="54" t="n">
        <x:f>AB310</x:f>
        <x:v>26</x:v>
      </x:c>
      <x:c r="W315" s="54" t="n">
        <x:f>U315+V315</x:f>
        <x:v>453</x:v>
      </x:c>
      <x:c r="X315" s="54" t="n">
        <x:f>MIN(E315,W315)</x:f>
        <x:v>427</x:v>
      </x:c>
      <x:c r="Y315" s="54" t="n">
        <x:f>MAX(E315-W315,0)</x:f>
        <x:v>0</x:v>
      </x:c>
      <x:c r="Z315" s="54" t="n">
        <x:f>MAX(W315-X315,0)</x:f>
        <x:v>26</x:v>
      </x:c>
      <x:c r="AA315" s="54" t="n">
        <x:f>MIN(Z315,ROUND(Z315*O315,0))</x:f>
        <x:v>1</x:v>
      </x:c>
      <x:c r="AB315" s="54" t="n">
        <x:f>Z315-AA315</x:f>
        <x:v>25</x:v>
      </x:c>
      <x:c r="AC315" s="52" t="n">
        <x:f>IFERROR(ABS(E315-D315)/E315,0)</x:f>
        <x:v>0.10070257611241218</x:v>
      </x:c>
      <x:c r="AD315" s="52" t="n">
        <x:f>IFERROR(L315/E315,1)</x:f>
        <x:v>0.8548009367681498</x:v>
      </x:c>
      <x:c r="AE315" s="52" t="n">
        <x:f>IFERROR(X315/E315,1)</x:f>
        <x:v>1</x:v>
      </x:c>
      <x:c r="AF315" s="52" t="n">
        <x:f>IFERROR(I315/F315,0)</x:f>
        <x:v>0.6517857142857143</x:v>
      </x:c>
      <x:c r="AG315" s="52" t="n">
        <x:f>IFERROR(U315/F315,0)</x:f>
        <x:v>0.7625</x:v>
      </x:c>
    </x:row>
    <x:row r="316">
      <x:c r="A316" s="50" t="n">
        <x:v>46224</x:v>
      </x:c>
      <x:c r="B316" s="48" t="str">
        <x:v>Paneer</x:v>
      </x:c>
      <x:c r="C316" s="48" t="n">
        <x:v>5</x:v>
      </x:c>
      <x:c r="D316" s="54" t="n">
        <x:v>155</x:v>
      </x:c>
      <x:c r="E316" s="54" t="n">
        <x:v>136</x:v>
      </x:c>
      <x:c r="F316" s="54" t="n">
        <x:v>230</x:v>
      </x:c>
      <x:c r="G316" s="54" t="n">
        <x:f>ROUND(D316*0.97,0)</x:f>
        <x:v>150</x:v>
      </x:c>
      <x:c r="H316" s="52" t="n">
        <x:v>0.9927838701368247</x:v>
      </x:c>
      <x:c r="I316" s="54" t="n">
        <x:f>MIN(F316,ROUND(G316*H316,0))</x:f>
        <x:v>149</x:v>
      </x:c>
      <x:c r="J316" s="54" t="n">
        <x:f>Q311</x:f>
        <x:v>0</x:v>
      </x:c>
      <x:c r="K316" s="54" t="n">
        <x:f>I316+J316</x:f>
        <x:v>149</x:v>
      </x:c>
      <x:c r="L316" s="54" t="n">
        <x:f>MIN(E316,K316)</x:f>
        <x:v>136</x:v>
      </x:c>
      <x:c r="M316" s="54" t="n">
        <x:f>MAX(E316-K316,0)</x:f>
        <x:v>0</x:v>
      </x:c>
      <x:c r="N316" s="54" t="n">
        <x:f>MAX(K316-L316,0)</x:f>
        <x:v>13</x:v>
      </x:c>
      <x:c r="O316" s="52" t="n">
        <x:v>0.025</x:v>
      </x:c>
      <x:c r="P316" s="54" t="n">
        <x:f>MIN(N316,ROUND(N316*O316,0))</x:f>
        <x:v>0</x:v>
      </x:c>
      <x:c r="Q316" s="54" t="n">
        <x:f>N316-P316</x:f>
        <x:v>13</x:v>
      </x:c>
      <x:c r="R316" s="54" t="n">
        <x:v>31</x:v>
      </x:c>
      <x:c r="S316" s="54" t="n">
        <x:f>MIN(F316,MAX(0,ROUND(D316+R316-V316,0)))</x:f>
        <x:v>161</x:v>
      </x:c>
      <x:c r="T316" s="52" t="n">
        <x:v>1.0168695864235866</x:v>
      </x:c>
      <x:c r="U316" s="54" t="n">
        <x:f>MIN(F316,MAX(0,ROUND(S316*T316,0)))</x:f>
        <x:v>164</x:v>
      </x:c>
      <x:c r="V316" s="54" t="n">
        <x:f>AB311</x:f>
        <x:v>25</x:v>
      </x:c>
      <x:c r="W316" s="54" t="n">
        <x:f>U316+V316</x:f>
        <x:v>189</x:v>
      </x:c>
      <x:c r="X316" s="54" t="n">
        <x:f>MIN(E316,W316)</x:f>
        <x:v>136</x:v>
      </x:c>
      <x:c r="Y316" s="54" t="n">
        <x:f>MAX(E316-W316,0)</x:f>
        <x:v>0</x:v>
      </x:c>
      <x:c r="Z316" s="54" t="n">
        <x:f>MAX(W316-X316,0)</x:f>
        <x:v>53</x:v>
      </x:c>
      <x:c r="AA316" s="54" t="n">
        <x:f>MIN(Z316,ROUND(Z316*O316,0))</x:f>
        <x:v>1</x:v>
      </x:c>
      <x:c r="AB316" s="54" t="n">
        <x:f>Z316-AA316</x:f>
        <x:v>52</x:v>
      </x:c>
      <x:c r="AC316" s="52" t="n">
        <x:f>IFERROR(ABS(E316-D316)/E316,0)</x:f>
        <x:v>0.13970588235294118</x:v>
      </x:c>
      <x:c r="AD316" s="52" t="n">
        <x:f>IFERROR(L316/E316,1)</x:f>
        <x:v>1</x:v>
      </x:c>
      <x:c r="AE316" s="52" t="n">
        <x:f>IFERROR(X316/E316,1)</x:f>
        <x:v>1</x:v>
      </x:c>
      <x:c r="AF316" s="52" t="n">
        <x:f>IFERROR(I316/F316,0)</x:f>
        <x:v>0.6478260869565218</x:v>
      </x:c>
      <x:c r="AG316" s="52" t="n">
        <x:f>IFERROR(U316/F316,0)</x:f>
        <x:v>0.7130434782608696</x:v>
      </x:c>
    </x:row>
    <x:row r="317">
      <x:c r="A317" s="50" t="n">
        <x:v>46225</x:v>
      </x:c>
      <x:c r="B317" s="48" t="str">
        <x:v>Toned Milk</x:v>
      </x:c>
      <x:c r="C317" s="48" t="n">
        <x:v>2</x:v>
      </x:c>
      <x:c r="D317" s="54" t="n">
        <x:v>1720</x:v>
      </x:c>
      <x:c r="E317" s="54" t="n">
        <x:v>1804</x:v>
      </x:c>
      <x:c r="F317" s="54" t="n">
        <x:v>2250</x:v>
      </x:c>
      <x:c r="G317" s="54" t="n">
        <x:f>ROUND(D317*0.97,0)</x:f>
        <x:v>1668</x:v>
      </x:c>
      <x:c r="H317" s="52" t="n">
        <x:v>1.0103384222802112</x:v>
      </x:c>
      <x:c r="I317" s="54" t="n">
        <x:f>MIN(F317,ROUND(G317*H317,0))</x:f>
        <x:v>1685</x:v>
      </x:c>
      <x:c r="J317" s="54" t="n">
        <x:f>Q312</x:f>
        <x:v>0</x:v>
      </x:c>
      <x:c r="K317" s="54" t="n">
        <x:f>I317+J317</x:f>
        <x:v>1685</x:v>
      </x:c>
      <x:c r="L317" s="54" t="n">
        <x:f>MIN(E317,K317)</x:f>
        <x:v>1685</x:v>
      </x:c>
      <x:c r="M317" s="54" t="n">
        <x:f>MAX(E317-K317,0)</x:f>
        <x:v>119</x:v>
      </x:c>
      <x:c r="N317" s="54" t="n">
        <x:f>MAX(K317-L317,0)</x:f>
        <x:v>0</x:v>
      </x:c>
      <x:c r="O317" s="52" t="n">
        <x:v>0.025</x:v>
      </x:c>
      <x:c r="P317" s="54" t="n">
        <x:f>MIN(N317,ROUND(N317*O317,0))</x:f>
        <x:v>0</x:v>
      </x:c>
      <x:c r="Q317" s="54" t="n">
        <x:f>N317-P317</x:f>
        <x:v>0</x:v>
      </x:c>
      <x:c r="R317" s="54" t="n">
        <x:v>206</x:v>
      </x:c>
      <x:c r="S317" s="54" t="n">
        <x:f>MIN(F317,MAX(0,ROUND(D317+R317-V317,0)))</x:f>
        <x:v>1926</x:v>
      </x:c>
      <x:c r="T317" s="52" t="n">
        <x:v>1.0130211626495365</x:v>
      </x:c>
      <x:c r="U317" s="54" t="n">
        <x:f>MIN(F317,MAX(0,ROUND(S317*T317,0)))</x:f>
        <x:v>1951</x:v>
      </x:c>
      <x:c r="V317" s="54" t="n">
        <x:f>AB312</x:f>
        <x:v>0</x:v>
      </x:c>
      <x:c r="W317" s="54" t="n">
        <x:f>U317+V317</x:f>
        <x:v>1951</x:v>
      </x:c>
      <x:c r="X317" s="54" t="n">
        <x:f>MIN(E317,W317)</x:f>
        <x:v>1804</x:v>
      </x:c>
      <x:c r="Y317" s="54" t="n">
        <x:f>MAX(E317-W317,0)</x:f>
        <x:v>0</x:v>
      </x:c>
      <x:c r="Z317" s="54" t="n">
        <x:f>MAX(W317-X317,0)</x:f>
        <x:v>147</x:v>
      </x:c>
      <x:c r="AA317" s="54" t="n">
        <x:f>MIN(Z317,ROUND(Z317*O317,0))</x:f>
        <x:v>4</x:v>
      </x:c>
      <x:c r="AB317" s="54" t="n">
        <x:f>Z317-AA317</x:f>
        <x:v>143</x:v>
      </x:c>
      <x:c r="AC317" s="52" t="n">
        <x:f>IFERROR(ABS(E317-D317)/E317,0)</x:f>
        <x:v>0.04656319290465632</x:v>
      </x:c>
      <x:c r="AD317" s="52" t="n">
        <x:f>IFERROR(L317/E317,1)</x:f>
        <x:v>0.9340354767184036</x:v>
      </x:c>
      <x:c r="AE317" s="52" t="n">
        <x:f>IFERROR(X317/E317,1)</x:f>
        <x:v>1</x:v>
      </x:c>
      <x:c r="AF317" s="52" t="n">
        <x:f>IFERROR(I317/F317,0)</x:f>
        <x:v>0.7488888888888889</x:v>
      </x:c>
      <x:c r="AG317" s="52" t="n">
        <x:f>IFERROR(U317/F317,0)</x:f>
        <x:v>0.8671111111111112</x:v>
      </x:c>
    </x:row>
    <x:row r="318">
      <x:c r="A318" s="50" t="n">
        <x:v>46225</x:v>
      </x:c>
      <x:c r="B318" s="48" t="str">
        <x:v>Full Cream Milk</x:v>
      </x:c>
      <x:c r="C318" s="48" t="n">
        <x:v>2</x:v>
      </x:c>
      <x:c r="D318" s="54" t="n">
        <x:v>860</x:v>
      </x:c>
      <x:c r="E318" s="54" t="n">
        <x:v>758</x:v>
      </x:c>
      <x:c r="F318" s="54" t="n">
        <x:v>1200</x:v>
      </x:c>
      <x:c r="G318" s="54" t="n">
        <x:f>ROUND(D318*0.97,0)</x:f>
        <x:v>834</x:v>
      </x:c>
      <x:c r="H318" s="52" t="n">
        <x:v>1.0107927450639138</x:v>
      </x:c>
      <x:c r="I318" s="54" t="n">
        <x:f>MIN(F318,ROUND(G318*H318,0))</x:f>
        <x:v>843</x:v>
      </x:c>
      <x:c r="J318" s="54" t="n">
        <x:f>Q313</x:f>
        <x:v>0</x:v>
      </x:c>
      <x:c r="K318" s="54" t="n">
        <x:f>I318+J318</x:f>
        <x:v>843</x:v>
      </x:c>
      <x:c r="L318" s="54" t="n">
        <x:f>MIN(E318,K318)</x:f>
        <x:v>758</x:v>
      </x:c>
      <x:c r="M318" s="54" t="n">
        <x:f>MAX(E318-K318,0)</x:f>
        <x:v>0</x:v>
      </x:c>
      <x:c r="N318" s="54" t="n">
        <x:f>MAX(K318-L318,0)</x:f>
        <x:v>85</x:v>
      </x:c>
      <x:c r="O318" s="52" t="n">
        <x:v>0.03</x:v>
      </x:c>
      <x:c r="P318" s="54" t="n">
        <x:f>MIN(N318,ROUND(N318*O318,0))</x:f>
        <x:v>3</x:v>
      </x:c>
      <x:c r="Q318" s="54" t="n">
        <x:f>N318-P318</x:f>
        <x:v>82</x:v>
      </x:c>
      <x:c r="R318" s="54" t="n">
        <x:v>103</x:v>
      </x:c>
      <x:c r="S318" s="54" t="n">
        <x:f>MIN(F318,MAX(0,ROUND(D318+R318-V318,0)))</x:f>
        <x:v>844</x:v>
      </x:c>
      <x:c r="T318" s="52" t="n">
        <x:v>1.0027198522163332</x:v>
      </x:c>
      <x:c r="U318" s="54" t="n">
        <x:f>MIN(F318,MAX(0,ROUND(S318*T318,0)))</x:f>
        <x:v>846</x:v>
      </x:c>
      <x:c r="V318" s="54" t="n">
        <x:f>AB313</x:f>
        <x:v>119</x:v>
      </x:c>
      <x:c r="W318" s="54" t="n">
        <x:f>U318+V318</x:f>
        <x:v>965</x:v>
      </x:c>
      <x:c r="X318" s="54" t="n">
        <x:f>MIN(E318,W318)</x:f>
        <x:v>758</x:v>
      </x:c>
      <x:c r="Y318" s="54" t="n">
        <x:f>MAX(E318-W318,0)</x:f>
        <x:v>0</x:v>
      </x:c>
      <x:c r="Z318" s="54" t="n">
        <x:f>MAX(W318-X318,0)</x:f>
        <x:v>207</x:v>
      </x:c>
      <x:c r="AA318" s="54" t="n">
        <x:f>MIN(Z318,ROUND(Z318*O318,0))</x:f>
        <x:v>6</x:v>
      </x:c>
      <x:c r="AB318" s="54" t="n">
        <x:f>Z318-AA318</x:f>
        <x:v>201</x:v>
      </x:c>
      <x:c r="AC318" s="52" t="n">
        <x:f>IFERROR(ABS(E318-D318)/E318,0)</x:f>
        <x:v>0.1345646437994723</x:v>
      </x:c>
      <x:c r="AD318" s="52" t="n">
        <x:f>IFERROR(L318/E318,1)</x:f>
        <x:v>1</x:v>
      </x:c>
      <x:c r="AE318" s="52" t="n">
        <x:f>IFERROR(X318/E318,1)</x:f>
        <x:v>1</x:v>
      </x:c>
      <x:c r="AF318" s="52" t="n">
        <x:f>IFERROR(I318/F318,0)</x:f>
        <x:v>0.7025</x:v>
      </x:c>
      <x:c r="AG318" s="52" t="n">
        <x:f>IFERROR(U318/F318,0)</x:f>
        <x:v>0.705</x:v>
      </x:c>
    </x:row>
    <x:row r="319">
      <x:c r="A319" s="50" t="n">
        <x:v>46225</x:v>
      </x:c>
      <x:c r="B319" s="48" t="str">
        <x:v>Curd</x:v>
      </x:c>
      <x:c r="C319" s="48" t="n">
        <x:v>7</x:v>
      </x:c>
      <x:c r="D319" s="54" t="n">
        <x:v>501</x:v>
      </x:c>
      <x:c r="E319" s="54" t="n">
        <x:v>560</x:v>
      </x:c>
      <x:c r="F319" s="54" t="n">
        <x:v>700</x:v>
      </x:c>
      <x:c r="G319" s="54" t="n">
        <x:f>ROUND(D319*0.97,0)</x:f>
        <x:v>486</x:v>
      </x:c>
      <x:c r="H319" s="52" t="n">
        <x:v>1.0174978983675893</x:v>
      </x:c>
      <x:c r="I319" s="54" t="n">
        <x:f>MIN(F319,ROUND(G319*H319,0))</x:f>
        <x:v>495</x:v>
      </x:c>
      <x:c r="J319" s="54" t="n">
        <x:f>Q314</x:f>
        <x:v>35</x:v>
      </x:c>
      <x:c r="K319" s="54" t="n">
        <x:f>I319+J319</x:f>
        <x:v>530</x:v>
      </x:c>
      <x:c r="L319" s="54" t="n">
        <x:f>MIN(E319,K319)</x:f>
        <x:v>530</x:v>
      </x:c>
      <x:c r="M319" s="54" t="n">
        <x:f>MAX(E319-K319,0)</x:f>
        <x:v>30</x:v>
      </x:c>
      <x:c r="N319" s="54" t="n">
        <x:f>MAX(K319-L319,0)</x:f>
        <x:v>0</x:v>
      </x:c>
      <x:c r="O319" s="52" t="n">
        <x:v>0.018</x:v>
      </x:c>
      <x:c r="P319" s="54" t="n">
        <x:f>MIN(N319,ROUND(N319*O319,0))</x:f>
        <x:v>0</x:v>
      </x:c>
      <x:c r="Q319" s="54" t="n">
        <x:f>N319-P319</x:f>
        <x:v>0</x:v>
      </x:c>
      <x:c r="R319" s="54" t="n">
        <x:v>90</x:v>
      </x:c>
      <x:c r="S319" s="54" t="n">
        <x:f>MIN(F319,MAX(0,ROUND(D319+R319-V319,0)))</x:f>
        <x:v>448</x:v>
      </x:c>
      <x:c r="T319" s="52" t="n">
        <x:v>0.9971641719701532</x:v>
      </x:c>
      <x:c r="U319" s="54" t="n">
        <x:f>MIN(F319,MAX(0,ROUND(S319*T319,0)))</x:f>
        <x:v>447</x:v>
      </x:c>
      <x:c r="V319" s="54" t="n">
        <x:f>AB314</x:f>
        <x:v>143</x:v>
      </x:c>
      <x:c r="W319" s="54" t="n">
        <x:f>U319+V319</x:f>
        <x:v>590</x:v>
      </x:c>
      <x:c r="X319" s="54" t="n">
        <x:f>MIN(E319,W319)</x:f>
        <x:v>560</x:v>
      </x:c>
      <x:c r="Y319" s="54" t="n">
        <x:f>MAX(E319-W319,0)</x:f>
        <x:v>0</x:v>
      </x:c>
      <x:c r="Z319" s="54" t="n">
        <x:f>MAX(W319-X319,0)</x:f>
        <x:v>30</x:v>
      </x:c>
      <x:c r="AA319" s="54" t="n">
        <x:f>MIN(Z319,ROUND(Z319*O319,0))</x:f>
        <x:v>1</x:v>
      </x:c>
      <x:c r="AB319" s="54" t="n">
        <x:f>Z319-AA319</x:f>
        <x:v>29</x:v>
      </x:c>
      <x:c r="AC319" s="52" t="n">
        <x:f>IFERROR(ABS(E319-D319)/E319,0)</x:f>
        <x:v>0.10535714285714286</x:v>
      </x:c>
      <x:c r="AD319" s="52" t="n">
        <x:f>IFERROR(L319/E319,1)</x:f>
        <x:v>0.9464285714285714</x:v>
      </x:c>
      <x:c r="AE319" s="52" t="n">
        <x:f>IFERROR(X319/E319,1)</x:f>
        <x:v>1</x:v>
      </x:c>
      <x:c r="AF319" s="52" t="n">
        <x:f>IFERROR(I319/F319,0)</x:f>
        <x:v>0.7071428571428572</x:v>
      </x:c>
      <x:c r="AG319" s="52" t="n">
        <x:f>IFERROR(U319/F319,0)</x:f>
        <x:v>0.6385714285714286</x:v>
      </x:c>
    </x:row>
    <x:row r="320">
      <x:c r="A320" s="50" t="n">
        <x:v>46225</x:v>
      </x:c>
      <x:c r="B320" s="48" t="str">
        <x:v>Lassi</x:v>
      </x:c>
      <x:c r="C320" s="48" t="n">
        <x:v>7</x:v>
      </x:c>
      <x:c r="D320" s="54" t="n">
        <x:v>401</x:v>
      </x:c>
      <x:c r="E320" s="54" t="n">
        <x:v>398</x:v>
      </x:c>
      <x:c r="F320" s="54" t="n">
        <x:v>560</x:v>
      </x:c>
      <x:c r="G320" s="54" t="n">
        <x:f>ROUND(D320*0.97,0)</x:f>
        <x:v>389</x:v>
      </x:c>
      <x:c r="H320" s="52" t="n">
        <x:v>1.0072170785409789</x:v>
      </x:c>
      <x:c r="I320" s="54" t="n">
        <x:f>MIN(F320,ROUND(G320*H320,0))</x:f>
        <x:v>392</x:v>
      </x:c>
      <x:c r="J320" s="54" t="n">
        <x:f>Q315</x:f>
        <x:v>0</x:v>
      </x:c>
      <x:c r="K320" s="54" t="n">
        <x:f>I320+J320</x:f>
        <x:v>392</x:v>
      </x:c>
      <x:c r="L320" s="54" t="n">
        <x:f>MIN(E320,K320)</x:f>
        <x:v>392</x:v>
      </x:c>
      <x:c r="M320" s="54" t="n">
        <x:f>MAX(E320-K320,0)</x:f>
        <x:v>6</x:v>
      </x:c>
      <x:c r="N320" s="54" t="n">
        <x:f>MAX(K320-L320,0)</x:f>
        <x:v>0</x:v>
      </x:c>
      <x:c r="O320" s="52" t="n">
        <x:v>0.02</x:v>
      </x:c>
      <x:c r="P320" s="54" t="n">
        <x:f>MIN(N320,ROUND(N320*O320,0))</x:f>
        <x:v>0</x:v>
      </x:c>
      <x:c r="Q320" s="54" t="n">
        <x:f>N320-P320</x:f>
        <x:v>0</x:v>
      </x:c>
      <x:c r="R320" s="54" t="n">
        <x:v>72</x:v>
      </x:c>
      <x:c r="S320" s="54" t="n">
        <x:f>MIN(F320,MAX(0,ROUND(D320+R320-V320,0)))</x:f>
        <x:v>448</x:v>
      </x:c>
      <x:c r="T320" s="52" t="n">
        <x:v>0.9947586241452984</x:v>
      </x:c>
      <x:c r="U320" s="54" t="n">
        <x:f>MIN(F320,MAX(0,ROUND(S320*T320,0)))</x:f>
        <x:v>446</x:v>
      </x:c>
      <x:c r="V320" s="54" t="n">
        <x:f>AB315</x:f>
        <x:v>25</x:v>
      </x:c>
      <x:c r="W320" s="54" t="n">
        <x:f>U320+V320</x:f>
        <x:v>471</x:v>
      </x:c>
      <x:c r="X320" s="54" t="n">
        <x:f>MIN(E320,W320)</x:f>
        <x:v>398</x:v>
      </x:c>
      <x:c r="Y320" s="54" t="n">
        <x:f>MAX(E320-W320,0)</x:f>
        <x:v>0</x:v>
      </x:c>
      <x:c r="Z320" s="54" t="n">
        <x:f>MAX(W320-X320,0)</x:f>
        <x:v>73</x:v>
      </x:c>
      <x:c r="AA320" s="54" t="n">
        <x:f>MIN(Z320,ROUND(Z320*O320,0))</x:f>
        <x:v>1</x:v>
      </x:c>
      <x:c r="AB320" s="54" t="n">
        <x:f>Z320-AA320</x:f>
        <x:v>72</x:v>
      </x:c>
      <x:c r="AC320" s="52" t="n">
        <x:f>IFERROR(ABS(E320-D320)/E320,0)</x:f>
        <x:v>0.007537688442211055</x:v>
      </x:c>
      <x:c r="AD320" s="52" t="n">
        <x:f>IFERROR(L320/E320,1)</x:f>
        <x:v>0.9849246231155779</x:v>
      </x:c>
      <x:c r="AE320" s="52" t="n">
        <x:f>IFERROR(X320/E320,1)</x:f>
        <x:v>1</x:v>
      </x:c>
      <x:c r="AF320" s="52" t="n">
        <x:f>IFERROR(I320/F320,0)</x:f>
        <x:v>0.7</x:v>
      </x:c>
      <x:c r="AG320" s="52" t="n">
        <x:f>IFERROR(U320/F320,0)</x:f>
        <x:v>0.7964285714285714</x:v>
      </x:c>
    </x:row>
    <x:row r="321">
      <x:c r="A321" s="50" t="n">
        <x:v>46225</x:v>
      </x:c>
      <x:c r="B321" s="48" t="str">
        <x:v>Paneer</x:v>
      </x:c>
      <x:c r="C321" s="48" t="n">
        <x:v>5</x:v>
      </x:c>
      <x:c r="D321" s="54" t="n">
        <x:v>160</x:v>
      </x:c>
      <x:c r="E321" s="54" t="n">
        <x:v>136</x:v>
      </x:c>
      <x:c r="F321" s="54" t="n">
        <x:v>230</x:v>
      </x:c>
      <x:c r="G321" s="54" t="n">
        <x:f>ROUND(D321*0.97,0)</x:f>
        <x:v>155</x:v>
      </x:c>
      <x:c r="H321" s="52" t="n">
        <x:v>0.9884530518105403</x:v>
      </x:c>
      <x:c r="I321" s="54" t="n">
        <x:f>MIN(F321,ROUND(G321*H321,0))</x:f>
        <x:v>153</x:v>
      </x:c>
      <x:c r="J321" s="54" t="n">
        <x:f>Q316</x:f>
        <x:v>13</x:v>
      </x:c>
      <x:c r="K321" s="54" t="n">
        <x:f>I321+J321</x:f>
        <x:v>166</x:v>
      </x:c>
      <x:c r="L321" s="54" t="n">
        <x:f>MIN(E321,K321)</x:f>
        <x:v>136</x:v>
      </x:c>
      <x:c r="M321" s="54" t="n">
        <x:f>MAX(E321-K321,0)</x:f>
        <x:v>0</x:v>
      </x:c>
      <x:c r="N321" s="54" t="n">
        <x:f>MAX(K321-L321,0)</x:f>
        <x:v>30</x:v>
      </x:c>
      <x:c r="O321" s="52" t="n">
        <x:v>0.025</x:v>
      </x:c>
      <x:c r="P321" s="54" t="n">
        <x:f>MIN(N321,ROUND(N321*O321,0))</x:f>
        <x:v>1</x:v>
      </x:c>
      <x:c r="Q321" s="54" t="n">
        <x:f>N321-P321</x:f>
        <x:v>29</x:v>
      </x:c>
      <x:c r="R321" s="54" t="n">
        <x:v>32</x:v>
      </x:c>
      <x:c r="S321" s="54" t="n">
        <x:f>MIN(F321,MAX(0,ROUND(D321+R321-V321,0)))</x:f>
        <x:v>140</x:v>
      </x:c>
      <x:c r="T321" s="52" t="n">
        <x:v>0.9905204626007438</x:v>
      </x:c>
      <x:c r="U321" s="54" t="n">
        <x:f>MIN(F321,MAX(0,ROUND(S321*T321,0)))</x:f>
        <x:v>139</x:v>
      </x:c>
      <x:c r="V321" s="54" t="n">
        <x:f>AB316</x:f>
        <x:v>52</x:v>
      </x:c>
      <x:c r="W321" s="54" t="n">
        <x:f>U321+V321</x:f>
        <x:v>191</x:v>
      </x:c>
      <x:c r="X321" s="54" t="n">
        <x:f>MIN(E321,W321)</x:f>
        <x:v>136</x:v>
      </x:c>
      <x:c r="Y321" s="54" t="n">
        <x:f>MAX(E321-W321,0)</x:f>
        <x:v>0</x:v>
      </x:c>
      <x:c r="Z321" s="54" t="n">
        <x:f>MAX(W321-X321,0)</x:f>
        <x:v>55</x:v>
      </x:c>
      <x:c r="AA321" s="54" t="n">
        <x:f>MIN(Z321,ROUND(Z321*O321,0))</x:f>
        <x:v>1</x:v>
      </x:c>
      <x:c r="AB321" s="54" t="n">
        <x:f>Z321-AA321</x:f>
        <x:v>54</x:v>
      </x:c>
      <x:c r="AC321" s="52" t="n">
        <x:f>IFERROR(ABS(E321-D321)/E321,0)</x:f>
        <x:v>0.17647058823529413</x:v>
      </x:c>
      <x:c r="AD321" s="52" t="n">
        <x:f>IFERROR(L321/E321,1)</x:f>
        <x:v>1</x:v>
      </x:c>
      <x:c r="AE321" s="52" t="n">
        <x:f>IFERROR(X321/E321,1)</x:f>
        <x:v>1</x:v>
      </x:c>
      <x:c r="AF321" s="52" t="n">
        <x:f>IFERROR(I321/F321,0)</x:f>
        <x:v>0.6652173913043479</x:v>
      </x:c>
      <x:c r="AG321" s="52" t="n">
        <x:f>IFERROR(U321/F321,0)</x:f>
        <x:v>0.6043478260869565</x:v>
      </x:c>
    </x:row>
    <x:row r="322">
      <x:c r="A322" s="50" t="n">
        <x:v>46226</x:v>
      </x:c>
      <x:c r="B322" s="48" t="str">
        <x:v>Toned Milk</x:v>
      </x:c>
      <x:c r="C322" s="48" t="n">
        <x:v>2</x:v>
      </x:c>
      <x:c r="D322" s="54" t="n">
        <x:v>1738</x:v>
      </x:c>
      <x:c r="E322" s="54" t="n">
        <x:v>1505</x:v>
      </x:c>
      <x:c r="F322" s="54" t="n">
        <x:v>2250</x:v>
      </x:c>
      <x:c r="G322" s="54" t="n">
        <x:f>ROUND(D322*0.97,0)</x:f>
        <x:v>1686</x:v>
      </x:c>
      <x:c r="H322" s="52" t="n">
        <x:v>0.9923892997492573</x:v>
      </x:c>
      <x:c r="I322" s="54" t="n">
        <x:f>MIN(F322,ROUND(G322*H322,0))</x:f>
        <x:v>1673</x:v>
      </x:c>
      <x:c r="J322" s="54" t="n">
        <x:f>Q317</x:f>
        <x:v>0</x:v>
      </x:c>
      <x:c r="K322" s="54" t="n">
        <x:f>I322+J322</x:f>
        <x:v>1673</x:v>
      </x:c>
      <x:c r="L322" s="54" t="n">
        <x:f>MIN(E322,K322)</x:f>
        <x:v>1505</x:v>
      </x:c>
      <x:c r="M322" s="54" t="n">
        <x:f>MAX(E322-K322,0)</x:f>
        <x:v>0</x:v>
      </x:c>
      <x:c r="N322" s="54" t="n">
        <x:f>MAX(K322-L322,0)</x:f>
        <x:v>168</x:v>
      </x:c>
      <x:c r="O322" s="52" t="n">
        <x:v>0.025</x:v>
      </x:c>
      <x:c r="P322" s="54" t="n">
        <x:f>MIN(N322,ROUND(N322*O322,0))</x:f>
        <x:v>4</x:v>
      </x:c>
      <x:c r="Q322" s="54" t="n">
        <x:f>N322-P322</x:f>
        <x:v>164</x:v>
      </x:c>
      <x:c r="R322" s="54" t="n">
        <x:v>209</x:v>
      </x:c>
      <x:c r="S322" s="54" t="n">
        <x:f>MIN(F322,MAX(0,ROUND(D322+R322-V322,0)))</x:f>
        <x:v>1804</x:v>
      </x:c>
      <x:c r="T322" s="52" t="n">
        <x:v>1.0069997371370052</x:v>
      </x:c>
      <x:c r="U322" s="54" t="n">
        <x:f>MIN(F322,MAX(0,ROUND(S322*T322,0)))</x:f>
        <x:v>1817</x:v>
      </x:c>
      <x:c r="V322" s="54" t="n">
        <x:f>AB317</x:f>
        <x:v>143</x:v>
      </x:c>
      <x:c r="W322" s="54" t="n">
        <x:f>U322+V322</x:f>
        <x:v>1960</x:v>
      </x:c>
      <x:c r="X322" s="54" t="n">
        <x:f>MIN(E322,W322)</x:f>
        <x:v>1505</x:v>
      </x:c>
      <x:c r="Y322" s="54" t="n">
        <x:f>MAX(E322-W322,0)</x:f>
        <x:v>0</x:v>
      </x:c>
      <x:c r="Z322" s="54" t="n">
        <x:f>MAX(W322-X322,0)</x:f>
        <x:v>455</x:v>
      </x:c>
      <x:c r="AA322" s="54" t="n">
        <x:f>MIN(Z322,ROUND(Z322*O322,0))</x:f>
        <x:v>11</x:v>
      </x:c>
      <x:c r="AB322" s="54" t="n">
        <x:f>Z322-AA322</x:f>
        <x:v>444</x:v>
      </x:c>
      <x:c r="AC322" s="52" t="n">
        <x:f>IFERROR(ABS(E322-D322)/E322,0)</x:f>
        <x:v>0.1548172757475083</x:v>
      </x:c>
      <x:c r="AD322" s="52" t="n">
        <x:f>IFERROR(L322/E322,1)</x:f>
        <x:v>1</x:v>
      </x:c>
      <x:c r="AE322" s="52" t="n">
        <x:f>IFERROR(X322/E322,1)</x:f>
        <x:v>1</x:v>
      </x:c>
      <x:c r="AF322" s="52" t="n">
        <x:f>IFERROR(I322/F322,0)</x:f>
        <x:v>0.7435555555555555</x:v>
      </x:c>
      <x:c r="AG322" s="52" t="n">
        <x:f>IFERROR(U322/F322,0)</x:f>
        <x:v>0.8075555555555556</x:v>
      </x:c>
    </x:row>
    <x:row r="323">
      <x:c r="A323" s="50" t="n">
        <x:v>46226</x:v>
      </x:c>
      <x:c r="B323" s="48" t="str">
        <x:v>Full Cream Milk</x:v>
      </x:c>
      <x:c r="C323" s="48" t="n">
        <x:v>2</x:v>
      </x:c>
      <x:c r="D323" s="54" t="n">
        <x:v>869</x:v>
      </x:c>
      <x:c r="E323" s="54" t="n">
        <x:v>929</x:v>
      </x:c>
      <x:c r="F323" s="54" t="n">
        <x:v>1200</x:v>
      </x:c>
      <x:c r="G323" s="54" t="n">
        <x:f>ROUND(D323*0.97,0)</x:f>
        <x:v>843</x:v>
      </x:c>
      <x:c r="H323" s="52" t="n">
        <x:v>1.0008929805008657</x:v>
      </x:c>
      <x:c r="I323" s="54" t="n">
        <x:f>MIN(F323,ROUND(G323*H323,0))</x:f>
        <x:v>844</x:v>
      </x:c>
      <x:c r="J323" s="54" t="n">
        <x:f>Q318</x:f>
        <x:v>82</x:v>
      </x:c>
      <x:c r="K323" s="54" t="n">
        <x:f>I323+J323</x:f>
        <x:v>926</x:v>
      </x:c>
      <x:c r="L323" s="54" t="n">
        <x:f>MIN(E323,K323)</x:f>
        <x:v>926</x:v>
      </x:c>
      <x:c r="M323" s="54" t="n">
        <x:f>MAX(E323-K323,0)</x:f>
        <x:v>3</x:v>
      </x:c>
      <x:c r="N323" s="54" t="n">
        <x:f>MAX(K323-L323,0)</x:f>
        <x:v>0</x:v>
      </x:c>
      <x:c r="O323" s="52" t="n">
        <x:v>0.03</x:v>
      </x:c>
      <x:c r="P323" s="54" t="n">
        <x:f>MIN(N323,ROUND(N323*O323,0))</x:f>
        <x:v>0</x:v>
      </x:c>
      <x:c r="Q323" s="54" t="n">
        <x:f>N323-P323</x:f>
        <x:v>0</x:v>
      </x:c>
      <x:c r="R323" s="54" t="n">
        <x:v>104</x:v>
      </x:c>
      <x:c r="S323" s="54" t="n">
        <x:f>MIN(F323,MAX(0,ROUND(D323+R323-V323,0)))</x:f>
        <x:v>772</x:v>
      </x:c>
      <x:c r="T323" s="52" t="n">
        <x:v>0.9898867239946072</x:v>
      </x:c>
      <x:c r="U323" s="54" t="n">
        <x:f>MIN(F323,MAX(0,ROUND(S323*T323,0)))</x:f>
        <x:v>764</x:v>
      </x:c>
      <x:c r="V323" s="54" t="n">
        <x:f>AB318</x:f>
        <x:v>201</x:v>
      </x:c>
      <x:c r="W323" s="54" t="n">
        <x:f>U323+V323</x:f>
        <x:v>965</x:v>
      </x:c>
      <x:c r="X323" s="54" t="n">
        <x:f>MIN(E323,W323)</x:f>
        <x:v>929</x:v>
      </x:c>
      <x:c r="Y323" s="54" t="n">
        <x:f>MAX(E323-W323,0)</x:f>
        <x:v>0</x:v>
      </x:c>
      <x:c r="Z323" s="54" t="n">
        <x:f>MAX(W323-X323,0)</x:f>
        <x:v>36</x:v>
      </x:c>
      <x:c r="AA323" s="54" t="n">
        <x:f>MIN(Z323,ROUND(Z323*O323,0))</x:f>
        <x:v>1</x:v>
      </x:c>
      <x:c r="AB323" s="54" t="n">
        <x:f>Z323-AA323</x:f>
        <x:v>35</x:v>
      </x:c>
      <x:c r="AC323" s="52" t="n">
        <x:f>IFERROR(ABS(E323-D323)/E323,0)</x:f>
        <x:v>0.06458557588805167</x:v>
      </x:c>
      <x:c r="AD323" s="52" t="n">
        <x:f>IFERROR(L323/E323,1)</x:f>
        <x:v>0.9967707212055974</x:v>
      </x:c>
      <x:c r="AE323" s="52" t="n">
        <x:f>IFERROR(X323/E323,1)</x:f>
        <x:v>1</x:v>
      </x:c>
      <x:c r="AF323" s="52" t="n">
        <x:f>IFERROR(I323/F323,0)</x:f>
        <x:v>0.7033333333333334</x:v>
      </x:c>
      <x:c r="AG323" s="52" t="n">
        <x:f>IFERROR(U323/F323,0)</x:f>
        <x:v>0.6366666666666667</x:v>
      </x:c>
    </x:row>
    <x:row r="324">
      <x:c r="A324" s="50" t="n">
        <x:v>46226</x:v>
      </x:c>
      <x:c r="B324" s="48" t="str">
        <x:v>Curd</x:v>
      </x:c>
      <x:c r="C324" s="48" t="n">
        <x:v>7</x:v>
      </x:c>
      <x:c r="D324" s="54" t="n">
        <x:v>511</x:v>
      </x:c>
      <x:c r="E324" s="54" t="n">
        <x:v>429</x:v>
      </x:c>
      <x:c r="F324" s="54" t="n">
        <x:v>700</x:v>
      </x:c>
      <x:c r="G324" s="54" t="n">
        <x:f>ROUND(D324*0.97,0)</x:f>
        <x:v>496</x:v>
      </x:c>
      <x:c r="H324" s="52" t="n">
        <x:v>1.0169626548910091</x:v>
      </x:c>
      <x:c r="I324" s="54" t="n">
        <x:f>MIN(F324,ROUND(G324*H324,0))</x:f>
        <x:v>504</x:v>
      </x:c>
      <x:c r="J324" s="54" t="n">
        <x:f>Q319</x:f>
        <x:v>0</x:v>
      </x:c>
      <x:c r="K324" s="54" t="n">
        <x:f>I324+J324</x:f>
        <x:v>504</x:v>
      </x:c>
      <x:c r="L324" s="54" t="n">
        <x:f>MIN(E324,K324)</x:f>
        <x:v>429</x:v>
      </x:c>
      <x:c r="M324" s="54" t="n">
        <x:f>MAX(E324-K324,0)</x:f>
        <x:v>0</x:v>
      </x:c>
      <x:c r="N324" s="54" t="n">
        <x:f>MAX(K324-L324,0)</x:f>
        <x:v>75</x:v>
      </x:c>
      <x:c r="O324" s="52" t="n">
        <x:v>0.018</x:v>
      </x:c>
      <x:c r="P324" s="54" t="n">
        <x:f>MIN(N324,ROUND(N324*O324,0))</x:f>
        <x:v>1</x:v>
      </x:c>
      <x:c r="Q324" s="54" t="n">
        <x:f>N324-P324</x:f>
        <x:v>74</x:v>
      </x:c>
      <x:c r="R324" s="54" t="n">
        <x:v>92</x:v>
      </x:c>
      <x:c r="S324" s="54" t="n">
        <x:f>MIN(F324,MAX(0,ROUND(D324+R324-V324,0)))</x:f>
        <x:v>574</x:v>
      </x:c>
      <x:c r="T324" s="52" t="n">
        <x:v>1.0182606380505606</x:v>
      </x:c>
      <x:c r="U324" s="54" t="n">
        <x:f>MIN(F324,MAX(0,ROUND(S324*T324,0)))</x:f>
        <x:v>584</x:v>
      </x:c>
      <x:c r="V324" s="54" t="n">
        <x:f>AB319</x:f>
        <x:v>29</x:v>
      </x:c>
      <x:c r="W324" s="54" t="n">
        <x:f>U324+V324</x:f>
        <x:v>613</x:v>
      </x:c>
      <x:c r="X324" s="54" t="n">
        <x:f>MIN(E324,W324)</x:f>
        <x:v>429</x:v>
      </x:c>
      <x:c r="Y324" s="54" t="n">
        <x:f>MAX(E324-W324,0)</x:f>
        <x:v>0</x:v>
      </x:c>
      <x:c r="Z324" s="54" t="n">
        <x:f>MAX(W324-X324,0)</x:f>
        <x:v>184</x:v>
      </x:c>
      <x:c r="AA324" s="54" t="n">
        <x:f>MIN(Z324,ROUND(Z324*O324,0))</x:f>
        <x:v>3</x:v>
      </x:c>
      <x:c r="AB324" s="54" t="n">
        <x:f>Z324-AA324</x:f>
        <x:v>181</x:v>
      </x:c>
      <x:c r="AC324" s="52" t="n">
        <x:f>IFERROR(ABS(E324-D324)/E324,0)</x:f>
        <x:v>0.19114219114219114</x:v>
      </x:c>
      <x:c r="AD324" s="52" t="n">
        <x:f>IFERROR(L324/E324,1)</x:f>
        <x:v>1</x:v>
      </x:c>
      <x:c r="AE324" s="52" t="n">
        <x:f>IFERROR(X324/E324,1)</x:f>
        <x:v>1</x:v>
      </x:c>
      <x:c r="AF324" s="52" t="n">
        <x:f>IFERROR(I324/F324,0)</x:f>
        <x:v>0.72</x:v>
      </x:c>
      <x:c r="AG324" s="52" t="n">
        <x:f>IFERROR(U324/F324,0)</x:f>
        <x:v>0.8342857142857143</x:v>
      </x:c>
    </x:row>
    <x:row r="325">
      <x:c r="A325" s="50" t="n">
        <x:v>46226</x:v>
      </x:c>
      <x:c r="B325" s="48" t="str">
        <x:v>Lassi</x:v>
      </x:c>
      <x:c r="C325" s="48" t="n">
        <x:v>7</x:v>
      </x:c>
      <x:c r="D325" s="54" t="n">
        <x:v>409</x:v>
      </x:c>
      <x:c r="E325" s="54" t="n">
        <x:v>475</x:v>
      </x:c>
      <x:c r="F325" s="54" t="n">
        <x:v>560</x:v>
      </x:c>
      <x:c r="G325" s="54" t="n">
        <x:f>ROUND(D325*0.97,0)</x:f>
        <x:v>397</x:v>
      </x:c>
      <x:c r="H325" s="52" t="n">
        <x:v>0.9937906675977234</x:v>
      </x:c>
      <x:c r="I325" s="54" t="n">
        <x:f>MIN(F325,ROUND(G325*H325,0))</x:f>
        <x:v>395</x:v>
      </x:c>
      <x:c r="J325" s="54" t="n">
        <x:f>Q320</x:f>
        <x:v>0</x:v>
      </x:c>
      <x:c r="K325" s="54" t="n">
        <x:f>I325+J325</x:f>
        <x:v>395</x:v>
      </x:c>
      <x:c r="L325" s="54" t="n">
        <x:f>MIN(E325,K325)</x:f>
        <x:v>395</x:v>
      </x:c>
      <x:c r="M325" s="54" t="n">
        <x:f>MAX(E325-K325,0)</x:f>
        <x:v>80</x:v>
      </x:c>
      <x:c r="N325" s="54" t="n">
        <x:f>MAX(K325-L325,0)</x:f>
        <x:v>0</x:v>
      </x:c>
      <x:c r="O325" s="52" t="n">
        <x:v>0.02</x:v>
      </x:c>
      <x:c r="P325" s="54" t="n">
        <x:f>MIN(N325,ROUND(N325*O325,0))</x:f>
        <x:v>0</x:v>
      </x:c>
      <x:c r="Q325" s="54" t="n">
        <x:f>N325-P325</x:f>
        <x:v>0</x:v>
      </x:c>
      <x:c r="R325" s="54" t="n">
        <x:v>74</x:v>
      </x:c>
      <x:c r="S325" s="54" t="n">
        <x:f>MIN(F325,MAX(0,ROUND(D325+R325-V325,0)))</x:f>
        <x:v>411</x:v>
      </x:c>
      <x:c r="T325" s="52" t="n">
        <x:v>0.9983074969144944</x:v>
      </x:c>
      <x:c r="U325" s="54" t="n">
        <x:f>MIN(F325,MAX(0,ROUND(S325*T325,0)))</x:f>
        <x:v>410</x:v>
      </x:c>
      <x:c r="V325" s="54" t="n">
        <x:f>AB320</x:f>
        <x:v>72</x:v>
      </x:c>
      <x:c r="W325" s="54" t="n">
        <x:f>U325+V325</x:f>
        <x:v>482</x:v>
      </x:c>
      <x:c r="X325" s="54" t="n">
        <x:f>MIN(E325,W325)</x:f>
        <x:v>475</x:v>
      </x:c>
      <x:c r="Y325" s="54" t="n">
        <x:f>MAX(E325-W325,0)</x:f>
        <x:v>0</x:v>
      </x:c>
      <x:c r="Z325" s="54" t="n">
        <x:f>MAX(W325-X325,0)</x:f>
        <x:v>7</x:v>
      </x:c>
      <x:c r="AA325" s="54" t="n">
        <x:f>MIN(Z325,ROUND(Z325*O325,0))</x:f>
        <x:v>0</x:v>
      </x:c>
      <x:c r="AB325" s="54" t="n">
        <x:f>Z325-AA325</x:f>
        <x:v>7</x:v>
      </x:c>
      <x:c r="AC325" s="52" t="n">
        <x:f>IFERROR(ABS(E325-D325)/E325,0)</x:f>
        <x:v>0.13894736842105262</x:v>
      </x:c>
      <x:c r="AD325" s="52" t="n">
        <x:f>IFERROR(L325/E325,1)</x:f>
        <x:v>0.8315789473684211</x:v>
      </x:c>
      <x:c r="AE325" s="52" t="n">
        <x:f>IFERROR(X325/E325,1)</x:f>
        <x:v>1</x:v>
      </x:c>
      <x:c r="AF325" s="52" t="n">
        <x:f>IFERROR(I325/F325,0)</x:f>
        <x:v>0.7053571428571429</x:v>
      </x:c>
      <x:c r="AG325" s="52" t="n">
        <x:f>IFERROR(U325/F325,0)</x:f>
        <x:v>0.7321428571428571</x:v>
      </x:c>
    </x:row>
    <x:row r="326">
      <x:c r="A326" s="50" t="n">
        <x:v>46226</x:v>
      </x:c>
      <x:c r="B326" s="48" t="str">
        <x:v>Paneer</x:v>
      </x:c>
      <x:c r="C326" s="48" t="n">
        <x:v>5</x:v>
      </x:c>
      <x:c r="D326" s="54" t="n">
        <x:v>164</x:v>
      </x:c>
      <x:c r="E326" s="54" t="n">
        <x:v>183</x:v>
      </x:c>
      <x:c r="F326" s="54" t="n">
        <x:v>230</x:v>
      </x:c>
      <x:c r="G326" s="54" t="n">
        <x:f>ROUND(D326*0.97,0)</x:f>
        <x:v>159</x:v>
      </x:c>
      <x:c r="H326" s="52" t="n">
        <x:v>0.9838654494776506</x:v>
      </x:c>
      <x:c r="I326" s="54" t="n">
        <x:f>MIN(F326,ROUND(G326*H326,0))</x:f>
        <x:v>156</x:v>
      </x:c>
      <x:c r="J326" s="54" t="n">
        <x:f>Q321</x:f>
        <x:v>29</x:v>
      </x:c>
      <x:c r="K326" s="54" t="n">
        <x:f>I326+J326</x:f>
        <x:v>185</x:v>
      </x:c>
      <x:c r="L326" s="54" t="n">
        <x:f>MIN(E326,K326)</x:f>
        <x:v>183</x:v>
      </x:c>
      <x:c r="M326" s="54" t="n">
        <x:f>MAX(E326-K326,0)</x:f>
        <x:v>0</x:v>
      </x:c>
      <x:c r="N326" s="54" t="n">
        <x:f>MAX(K326-L326,0)</x:f>
        <x:v>2</x:v>
      </x:c>
      <x:c r="O326" s="52" t="n">
        <x:v>0.025</x:v>
      </x:c>
      <x:c r="P326" s="54" t="n">
        <x:f>MIN(N326,ROUND(N326*O326,0))</x:f>
        <x:v>0</x:v>
      </x:c>
      <x:c r="Q326" s="54" t="n">
        <x:f>N326-P326</x:f>
        <x:v>2</x:v>
      </x:c>
      <x:c r="R326" s="54" t="n">
        <x:v>33</x:v>
      </x:c>
      <x:c r="S326" s="54" t="n">
        <x:f>MIN(F326,MAX(0,ROUND(D326+R326-V326,0)))</x:f>
        <x:v>143</x:v>
      </x:c>
      <x:c r="T326" s="52" t="n">
        <x:v>0.9928264204690519</x:v>
      </x:c>
      <x:c r="U326" s="54" t="n">
        <x:f>MIN(F326,MAX(0,ROUND(S326*T326,0)))</x:f>
        <x:v>142</x:v>
      </x:c>
      <x:c r="V326" s="54" t="n">
        <x:f>AB321</x:f>
        <x:v>54</x:v>
      </x:c>
      <x:c r="W326" s="54" t="n">
        <x:f>U326+V326</x:f>
        <x:v>196</x:v>
      </x:c>
      <x:c r="X326" s="54" t="n">
        <x:f>MIN(E326,W326)</x:f>
        <x:v>183</x:v>
      </x:c>
      <x:c r="Y326" s="54" t="n">
        <x:f>MAX(E326-W326,0)</x:f>
        <x:v>0</x:v>
      </x:c>
      <x:c r="Z326" s="54" t="n">
        <x:f>MAX(W326-X326,0)</x:f>
        <x:v>13</x:v>
      </x:c>
      <x:c r="AA326" s="54" t="n">
        <x:f>MIN(Z326,ROUND(Z326*O326,0))</x:f>
        <x:v>0</x:v>
      </x:c>
      <x:c r="AB326" s="54" t="n">
        <x:f>Z326-AA326</x:f>
        <x:v>13</x:v>
      </x:c>
      <x:c r="AC326" s="52" t="n">
        <x:f>IFERROR(ABS(E326-D326)/E326,0)</x:f>
        <x:v>0.10382513661202186</x:v>
      </x:c>
      <x:c r="AD326" s="52" t="n">
        <x:f>IFERROR(L326/E326,1)</x:f>
        <x:v>1</x:v>
      </x:c>
      <x:c r="AE326" s="52" t="n">
        <x:f>IFERROR(X326/E326,1)</x:f>
        <x:v>1</x:v>
      </x:c>
      <x:c r="AF326" s="52" t="n">
        <x:f>IFERROR(I326/F326,0)</x:f>
        <x:v>0.6782608695652174</x:v>
      </x:c>
      <x:c r="AG326" s="52" t="n">
        <x:f>IFERROR(U326/F326,0)</x:f>
        <x:v>0.6173913043478261</x:v>
      </x:c>
    </x:row>
    <x:row r="327">
      <x:c r="A327" s="50" t="n">
        <x:v>46227</x:v>
      </x:c>
      <x:c r="B327" s="48" t="str">
        <x:v>Toned Milk</x:v>
      </x:c>
      <x:c r="C327" s="48" t="n">
        <x:v>2</x:v>
      </x:c>
      <x:c r="D327" s="54" t="n">
        <x:v>1808</x:v>
      </x:c>
      <x:c r="E327" s="54" t="n">
        <x:v>1946</x:v>
      </x:c>
      <x:c r="F327" s="54" t="n">
        <x:v>2250</x:v>
      </x:c>
      <x:c r="G327" s="54" t="n">
        <x:f>ROUND(D327*0.97,0)</x:f>
        <x:v>1754</x:v>
      </x:c>
      <x:c r="H327" s="52" t="n">
        <x:v>0.9952586917054835</x:v>
      </x:c>
      <x:c r="I327" s="54" t="n">
        <x:f>MIN(F327,ROUND(G327*H327,0))</x:f>
        <x:v>1746</x:v>
      </x:c>
      <x:c r="J327" s="54" t="n">
        <x:f>Q322</x:f>
        <x:v>164</x:v>
      </x:c>
      <x:c r="K327" s="54" t="n">
        <x:f>I327+J327</x:f>
        <x:v>1910</x:v>
      </x:c>
      <x:c r="L327" s="54" t="n">
        <x:f>MIN(E327,K327)</x:f>
        <x:v>1910</x:v>
      </x:c>
      <x:c r="M327" s="54" t="n">
        <x:f>MAX(E327-K327,0)</x:f>
        <x:v>36</x:v>
      </x:c>
      <x:c r="N327" s="54" t="n">
        <x:f>MAX(K327-L327,0)</x:f>
        <x:v>0</x:v>
      </x:c>
      <x:c r="O327" s="52" t="n">
        <x:v>0.025</x:v>
      </x:c>
      <x:c r="P327" s="54" t="n">
        <x:f>MIN(N327,ROUND(N327*O327,0))</x:f>
        <x:v>0</x:v>
      </x:c>
      <x:c r="Q327" s="54" t="n">
        <x:f>N327-P327</x:f>
        <x:v>0</x:v>
      </x:c>
      <x:c r="R327" s="54" t="n">
        <x:v>217</x:v>
      </x:c>
      <x:c r="S327" s="54" t="n">
        <x:f>MIN(F327,MAX(0,ROUND(D327+R327-V327,0)))</x:f>
        <x:v>1581</x:v>
      </x:c>
      <x:c r="T327" s="52" t="n">
        <x:v>1.0038599333137719</x:v>
      </x:c>
      <x:c r="U327" s="54" t="n">
        <x:f>MIN(F327,MAX(0,ROUND(S327*T327,0)))</x:f>
        <x:v>1587</x:v>
      </x:c>
      <x:c r="V327" s="54" t="n">
        <x:f>AB322</x:f>
        <x:v>444</x:v>
      </x:c>
      <x:c r="W327" s="54" t="n">
        <x:f>U327+V327</x:f>
        <x:v>2031</x:v>
      </x:c>
      <x:c r="X327" s="54" t="n">
        <x:f>MIN(E327,W327)</x:f>
        <x:v>1946</x:v>
      </x:c>
      <x:c r="Y327" s="54" t="n">
        <x:f>MAX(E327-W327,0)</x:f>
        <x:v>0</x:v>
      </x:c>
      <x:c r="Z327" s="54" t="n">
        <x:f>MAX(W327-X327,0)</x:f>
        <x:v>85</x:v>
      </x:c>
      <x:c r="AA327" s="54" t="n">
        <x:f>MIN(Z327,ROUND(Z327*O327,0))</x:f>
        <x:v>2</x:v>
      </x:c>
      <x:c r="AB327" s="54" t="n">
        <x:f>Z327-AA327</x:f>
        <x:v>83</x:v>
      </x:c>
      <x:c r="AC327" s="52" t="n">
        <x:f>IFERROR(ABS(E327-D327)/E327,0)</x:f>
        <x:v>0.07091469681397738</x:v>
      </x:c>
      <x:c r="AD327" s="52" t="n">
        <x:f>IFERROR(L327/E327,1)</x:f>
        <x:v>0.9815005138746146</x:v>
      </x:c>
      <x:c r="AE327" s="52" t="n">
        <x:f>IFERROR(X327/E327,1)</x:f>
        <x:v>1</x:v>
      </x:c>
      <x:c r="AF327" s="52" t="n">
        <x:f>IFERROR(I327/F327,0)</x:f>
        <x:v>0.776</x:v>
      </x:c>
      <x:c r="AG327" s="52" t="n">
        <x:f>IFERROR(U327/F327,0)</x:f>
        <x:v>0.7053333333333334</x:v>
      </x:c>
    </x:row>
    <x:row r="328">
      <x:c r="A328" s="50" t="n">
        <x:v>46227</x:v>
      </x:c>
      <x:c r="B328" s="48" t="str">
        <x:v>Full Cream Milk</x:v>
      </x:c>
      <x:c r="C328" s="48" t="n">
        <x:v>2</x:v>
      </x:c>
      <x:c r="D328" s="54" t="n">
        <x:v>904</x:v>
      </x:c>
      <x:c r="E328" s="54" t="n">
        <x:v>952</x:v>
      </x:c>
      <x:c r="F328" s="54" t="n">
        <x:v>1200</x:v>
      </x:c>
      <x:c r="G328" s="54" t="n">
        <x:f>ROUND(D328*0.97,0)</x:f>
        <x:v>877</x:v>
      </x:c>
      <x:c r="H328" s="52" t="n">
        <x:v>0.9949035772360263</x:v>
      </x:c>
      <x:c r="I328" s="54" t="n">
        <x:f>MIN(F328,ROUND(G328*H328,0))</x:f>
        <x:v>873</x:v>
      </x:c>
      <x:c r="J328" s="54" t="n">
        <x:f>Q323</x:f>
        <x:v>0</x:v>
      </x:c>
      <x:c r="K328" s="54" t="n">
        <x:f>I328+J328</x:f>
        <x:v>873</x:v>
      </x:c>
      <x:c r="L328" s="54" t="n">
        <x:f>MIN(E328,K328)</x:f>
        <x:v>873</x:v>
      </x:c>
      <x:c r="M328" s="54" t="n">
        <x:f>MAX(E328-K328,0)</x:f>
        <x:v>79</x:v>
      </x:c>
      <x:c r="N328" s="54" t="n">
        <x:f>MAX(K328-L328,0)</x:f>
        <x:v>0</x:v>
      </x:c>
      <x:c r="O328" s="52" t="n">
        <x:v>0.03</x:v>
      </x:c>
      <x:c r="P328" s="54" t="n">
        <x:f>MIN(N328,ROUND(N328*O328,0))</x:f>
        <x:v>0</x:v>
      </x:c>
      <x:c r="Q328" s="54" t="n">
        <x:f>N328-P328</x:f>
        <x:v>0</x:v>
      </x:c>
      <x:c r="R328" s="54" t="n">
        <x:v>108</x:v>
      </x:c>
      <x:c r="S328" s="54" t="n">
        <x:f>MIN(F328,MAX(0,ROUND(D328+R328-V328,0)))</x:f>
        <x:v>977</x:v>
      </x:c>
      <x:c r="T328" s="52" t="n">
        <x:v>0.9912599953452831</x:v>
      </x:c>
      <x:c r="U328" s="54" t="n">
        <x:f>MIN(F328,MAX(0,ROUND(S328*T328,0)))</x:f>
        <x:v>968</x:v>
      </x:c>
      <x:c r="V328" s="54" t="n">
        <x:f>AB323</x:f>
        <x:v>35</x:v>
      </x:c>
      <x:c r="W328" s="54" t="n">
        <x:f>U328+V328</x:f>
        <x:v>1003</x:v>
      </x:c>
      <x:c r="X328" s="54" t="n">
        <x:f>MIN(E328,W328)</x:f>
        <x:v>952</x:v>
      </x:c>
      <x:c r="Y328" s="54" t="n">
        <x:f>MAX(E328-W328,0)</x:f>
        <x:v>0</x:v>
      </x:c>
      <x:c r="Z328" s="54" t="n">
        <x:f>MAX(W328-X328,0)</x:f>
        <x:v>51</x:v>
      </x:c>
      <x:c r="AA328" s="54" t="n">
        <x:f>MIN(Z328,ROUND(Z328*O328,0))</x:f>
        <x:v>2</x:v>
      </x:c>
      <x:c r="AB328" s="54" t="n">
        <x:f>Z328-AA328</x:f>
        <x:v>49</x:v>
      </x:c>
      <x:c r="AC328" s="52" t="n">
        <x:f>IFERROR(ABS(E328-D328)/E328,0)</x:f>
        <x:v>0.05042016806722689</x:v>
      </x:c>
      <x:c r="AD328" s="52" t="n">
        <x:f>IFERROR(L328/E328,1)</x:f>
        <x:v>0.917016806722689</x:v>
      </x:c>
      <x:c r="AE328" s="52" t="n">
        <x:f>IFERROR(X328/E328,1)</x:f>
        <x:v>1</x:v>
      </x:c>
      <x:c r="AF328" s="52" t="n">
        <x:f>IFERROR(I328/F328,0)</x:f>
        <x:v>0.7275</x:v>
      </x:c>
      <x:c r="AG328" s="52" t="n">
        <x:f>IFERROR(U328/F328,0)</x:f>
        <x:v>0.8066666666666666</x:v>
      </x:c>
    </x:row>
    <x:row r="329">
      <x:c r="A329" s="50" t="n">
        <x:v>46227</x:v>
      </x:c>
      <x:c r="B329" s="48" t="str">
        <x:v>Curd</x:v>
      </x:c>
      <x:c r="C329" s="48" t="n">
        <x:v>7</x:v>
      </x:c>
      <x:c r="D329" s="54" t="n">
        <x:v>532</x:v>
      </x:c>
      <x:c r="E329" s="54" t="n">
        <x:v>548</x:v>
      </x:c>
      <x:c r="F329" s="54" t="n">
        <x:v>700</x:v>
      </x:c>
      <x:c r="G329" s="54" t="n">
        <x:f>ROUND(D329*0.97,0)</x:f>
        <x:v>516</x:v>
      </x:c>
      <x:c r="H329" s="52" t="n">
        <x:v>0.9913392477652307</x:v>
      </x:c>
      <x:c r="I329" s="54" t="n">
        <x:f>MIN(F329,ROUND(G329*H329,0))</x:f>
        <x:v>512</x:v>
      </x:c>
      <x:c r="J329" s="54" t="n">
        <x:f>Q324</x:f>
        <x:v>74</x:v>
      </x:c>
      <x:c r="K329" s="54" t="n">
        <x:f>I329+J329</x:f>
        <x:v>586</x:v>
      </x:c>
      <x:c r="L329" s="54" t="n">
        <x:f>MIN(E329,K329)</x:f>
        <x:v>548</x:v>
      </x:c>
      <x:c r="M329" s="54" t="n">
        <x:f>MAX(E329-K329,0)</x:f>
        <x:v>0</x:v>
      </x:c>
      <x:c r="N329" s="54" t="n">
        <x:f>MAX(K329-L329,0)</x:f>
        <x:v>38</x:v>
      </x:c>
      <x:c r="O329" s="52" t="n">
        <x:v>0.018</x:v>
      </x:c>
      <x:c r="P329" s="54" t="n">
        <x:f>MIN(N329,ROUND(N329*O329,0))</x:f>
        <x:v>1</x:v>
      </x:c>
      <x:c r="Q329" s="54" t="n">
        <x:f>N329-P329</x:f>
        <x:v>37</x:v>
      </x:c>
      <x:c r="R329" s="54" t="n">
        <x:v>96</x:v>
      </x:c>
      <x:c r="S329" s="54" t="n">
        <x:f>MIN(F329,MAX(0,ROUND(D329+R329-V329,0)))</x:f>
        <x:v>447</x:v>
      </x:c>
      <x:c r="T329" s="52" t="n">
        <x:v>0.9877835412308477</x:v>
      </x:c>
      <x:c r="U329" s="54" t="n">
        <x:f>MIN(F329,MAX(0,ROUND(S329*T329,0)))</x:f>
        <x:v>442</x:v>
      </x:c>
      <x:c r="V329" s="54" t="n">
        <x:f>AB324</x:f>
        <x:v>181</x:v>
      </x:c>
      <x:c r="W329" s="54" t="n">
        <x:f>U329+V329</x:f>
        <x:v>623</x:v>
      </x:c>
      <x:c r="X329" s="54" t="n">
        <x:f>MIN(E329,W329)</x:f>
        <x:v>548</x:v>
      </x:c>
      <x:c r="Y329" s="54" t="n">
        <x:f>MAX(E329-W329,0)</x:f>
        <x:v>0</x:v>
      </x:c>
      <x:c r="Z329" s="54" t="n">
        <x:f>MAX(W329-X329,0)</x:f>
        <x:v>75</x:v>
      </x:c>
      <x:c r="AA329" s="54" t="n">
        <x:f>MIN(Z329,ROUND(Z329*O329,0))</x:f>
        <x:v>1</x:v>
      </x:c>
      <x:c r="AB329" s="54" t="n">
        <x:f>Z329-AA329</x:f>
        <x:v>74</x:v>
      </x:c>
      <x:c r="AC329" s="52" t="n">
        <x:f>IFERROR(ABS(E329-D329)/E329,0)</x:f>
        <x:v>0.029197080291970802</x:v>
      </x:c>
      <x:c r="AD329" s="52" t="n">
        <x:f>IFERROR(L329/E329,1)</x:f>
        <x:v>1</x:v>
      </x:c>
      <x:c r="AE329" s="52" t="n">
        <x:f>IFERROR(X329/E329,1)</x:f>
        <x:v>1</x:v>
      </x:c>
      <x:c r="AF329" s="52" t="n">
        <x:f>IFERROR(I329/F329,0)</x:f>
        <x:v>0.7314285714285714</x:v>
      </x:c>
      <x:c r="AG329" s="52" t="n">
        <x:f>IFERROR(U329/F329,0)</x:f>
        <x:v>0.6314285714285715</x:v>
      </x:c>
    </x:row>
    <x:row r="330">
      <x:c r="A330" s="50" t="n">
        <x:v>46227</x:v>
      </x:c>
      <x:c r="B330" s="48" t="str">
        <x:v>Lassi</x:v>
      </x:c>
      <x:c r="C330" s="48" t="n">
        <x:v>7</x:v>
      </x:c>
      <x:c r="D330" s="54" t="n">
        <x:v>425</x:v>
      </x:c>
      <x:c r="E330" s="54" t="n">
        <x:v>350</x:v>
      </x:c>
      <x:c r="F330" s="54" t="n">
        <x:v>560</x:v>
      </x:c>
      <x:c r="G330" s="54" t="n">
        <x:f>ROUND(D330*0.97,0)</x:f>
        <x:v>412</x:v>
      </x:c>
      <x:c r="H330" s="52" t="n">
        <x:v>1.0156879549374032</x:v>
      </x:c>
      <x:c r="I330" s="54" t="n">
        <x:f>MIN(F330,ROUND(G330*H330,0))</x:f>
        <x:v>418</x:v>
      </x:c>
      <x:c r="J330" s="54" t="n">
        <x:f>Q325</x:f>
        <x:v>0</x:v>
      </x:c>
      <x:c r="K330" s="54" t="n">
        <x:f>I330+J330</x:f>
        <x:v>418</x:v>
      </x:c>
      <x:c r="L330" s="54" t="n">
        <x:f>MIN(E330,K330)</x:f>
        <x:v>350</x:v>
      </x:c>
      <x:c r="M330" s="54" t="n">
        <x:f>MAX(E330-K330,0)</x:f>
        <x:v>0</x:v>
      </x:c>
      <x:c r="N330" s="54" t="n">
        <x:f>MAX(K330-L330,0)</x:f>
        <x:v>68</x:v>
      </x:c>
      <x:c r="O330" s="52" t="n">
        <x:v>0.02</x:v>
      </x:c>
      <x:c r="P330" s="54" t="n">
        <x:f>MIN(N330,ROUND(N330*O330,0))</x:f>
        <x:v>1</x:v>
      </x:c>
      <x:c r="Q330" s="54" t="n">
        <x:f>N330-P330</x:f>
        <x:v>67</x:v>
      </x:c>
      <x:c r="R330" s="54" t="n">
        <x:v>76</x:v>
      </x:c>
      <x:c r="S330" s="54" t="n">
        <x:f>MIN(F330,MAX(0,ROUND(D330+R330-V330,0)))</x:f>
        <x:v>494</x:v>
      </x:c>
      <x:c r="T330" s="52" t="n">
        <x:v>0.9863879531531078</x:v>
      </x:c>
      <x:c r="U330" s="54" t="n">
        <x:f>MIN(F330,MAX(0,ROUND(S330*T330,0)))</x:f>
        <x:v>487</x:v>
      </x:c>
      <x:c r="V330" s="54" t="n">
        <x:f>AB325</x:f>
        <x:v>7</x:v>
      </x:c>
      <x:c r="W330" s="54" t="n">
        <x:f>U330+V330</x:f>
        <x:v>494</x:v>
      </x:c>
      <x:c r="X330" s="54" t="n">
        <x:f>MIN(E330,W330)</x:f>
        <x:v>350</x:v>
      </x:c>
      <x:c r="Y330" s="54" t="n">
        <x:f>MAX(E330-W330,0)</x:f>
        <x:v>0</x:v>
      </x:c>
      <x:c r="Z330" s="54" t="n">
        <x:f>MAX(W330-X330,0)</x:f>
        <x:v>144</x:v>
      </x:c>
      <x:c r="AA330" s="54" t="n">
        <x:f>MIN(Z330,ROUND(Z330*O330,0))</x:f>
        <x:v>3</x:v>
      </x:c>
      <x:c r="AB330" s="54" t="n">
        <x:f>Z330-AA330</x:f>
        <x:v>141</x:v>
      </x:c>
      <x:c r="AC330" s="52" t="n">
        <x:f>IFERROR(ABS(E330-D330)/E330,0)</x:f>
        <x:v>0.21428571428571427</x:v>
      </x:c>
      <x:c r="AD330" s="52" t="n">
        <x:f>IFERROR(L330/E330,1)</x:f>
        <x:v>1</x:v>
      </x:c>
      <x:c r="AE330" s="52" t="n">
        <x:f>IFERROR(X330/E330,1)</x:f>
        <x:v>1</x:v>
      </x:c>
      <x:c r="AF330" s="52" t="n">
        <x:f>IFERROR(I330/F330,0)</x:f>
        <x:v>0.7464285714285714</x:v>
      </x:c>
      <x:c r="AG330" s="52" t="n">
        <x:f>IFERROR(U330/F330,0)</x:f>
        <x:v>0.8696428571428572</x:v>
      </x:c>
    </x:row>
    <x:row r="331">
      <x:c r="A331" s="50" t="n">
        <x:v>46227</x:v>
      </x:c>
      <x:c r="B331" s="48" t="str">
        <x:v>Paneer</x:v>
      </x:c>
      <x:c r="C331" s="48" t="n">
        <x:v>5</x:v>
      </x:c>
      <x:c r="D331" s="54" t="n">
        <x:v>170</x:v>
      </x:c>
      <x:c r="E331" s="54" t="n">
        <x:v>166</x:v>
      </x:c>
      <x:c r="F331" s="54" t="n">
        <x:v>230</x:v>
      </x:c>
      <x:c r="G331" s="54" t="n">
        <x:f>ROUND(D331*0.97,0)</x:f>
        <x:v>165</x:v>
      </x:c>
      <x:c r="H331" s="52" t="n">
        <x:v>1.0114747419764452</x:v>
      </x:c>
      <x:c r="I331" s="54" t="n">
        <x:f>MIN(F331,ROUND(G331*H331,0))</x:f>
        <x:v>167</x:v>
      </x:c>
      <x:c r="J331" s="54" t="n">
        <x:f>Q326</x:f>
        <x:v>2</x:v>
      </x:c>
      <x:c r="K331" s="54" t="n">
        <x:f>I331+J331</x:f>
        <x:v>169</x:v>
      </x:c>
      <x:c r="L331" s="54" t="n">
        <x:f>MIN(E331,K331)</x:f>
        <x:v>166</x:v>
      </x:c>
      <x:c r="M331" s="54" t="n">
        <x:f>MAX(E331-K331,0)</x:f>
        <x:v>0</x:v>
      </x:c>
      <x:c r="N331" s="54" t="n">
        <x:f>MAX(K331-L331,0)</x:f>
        <x:v>3</x:v>
      </x:c>
      <x:c r="O331" s="52" t="n">
        <x:v>0.025</x:v>
      </x:c>
      <x:c r="P331" s="54" t="n">
        <x:f>MIN(N331,ROUND(N331*O331,0))</x:f>
        <x:v>0</x:v>
      </x:c>
      <x:c r="Q331" s="54" t="n">
        <x:f>N331-P331</x:f>
        <x:v>3</x:v>
      </x:c>
      <x:c r="R331" s="54" t="n">
        <x:v>34</x:v>
      </x:c>
      <x:c r="S331" s="54" t="n">
        <x:f>MIN(F331,MAX(0,ROUND(D331+R331-V331,0)))</x:f>
        <x:v>191</x:v>
      </x:c>
      <x:c r="T331" s="52" t="n">
        <x:v>0.9848509825444136</x:v>
      </x:c>
      <x:c r="U331" s="54" t="n">
        <x:f>MIN(F331,MAX(0,ROUND(S331*T331,0)))</x:f>
        <x:v>188</x:v>
      </x:c>
      <x:c r="V331" s="54" t="n">
        <x:f>AB326</x:f>
        <x:v>13</x:v>
      </x:c>
      <x:c r="W331" s="54" t="n">
        <x:f>U331+V331</x:f>
        <x:v>201</x:v>
      </x:c>
      <x:c r="X331" s="54" t="n">
        <x:f>MIN(E331,W331)</x:f>
        <x:v>166</x:v>
      </x:c>
      <x:c r="Y331" s="54" t="n">
        <x:f>MAX(E331-W331,0)</x:f>
        <x:v>0</x:v>
      </x:c>
      <x:c r="Z331" s="54" t="n">
        <x:f>MAX(W331-X331,0)</x:f>
        <x:v>35</x:v>
      </x:c>
      <x:c r="AA331" s="54" t="n">
        <x:f>MIN(Z331,ROUND(Z331*O331,0))</x:f>
        <x:v>1</x:v>
      </x:c>
      <x:c r="AB331" s="54" t="n">
        <x:f>Z331-AA331</x:f>
        <x:v>34</x:v>
      </x:c>
      <x:c r="AC331" s="52" t="n">
        <x:f>IFERROR(ABS(E331-D331)/E331,0)</x:f>
        <x:v>0.024096385542168676</x:v>
      </x:c>
      <x:c r="AD331" s="52" t="n">
        <x:f>IFERROR(L331/E331,1)</x:f>
        <x:v>1</x:v>
      </x:c>
      <x:c r="AE331" s="52" t="n">
        <x:f>IFERROR(X331/E331,1)</x:f>
        <x:v>1</x:v>
      </x:c>
      <x:c r="AF331" s="52" t="n">
        <x:f>IFERROR(I331/F331,0)</x:f>
        <x:v>0.7260869565217392</x:v>
      </x:c>
      <x:c r="AG331" s="52" t="n">
        <x:f>IFERROR(U331/F331,0)</x:f>
        <x:v>0.8173913043478261</x:v>
      </x:c>
    </x:row>
    <x:row r="332">
      <x:c r="A332" s="50" t="n">
        <x:v>46228</x:v>
      </x:c>
      <x:c r="B332" s="48" t="str">
        <x:v>Toned Milk</x:v>
      </x:c>
      <x:c r="C332" s="48" t="n">
        <x:v>2</x:v>
      </x:c>
      <x:c r="D332" s="54" t="n">
        <x:v>1983</x:v>
      </x:c>
      <x:c r="E332" s="54" t="n">
        <x:v>2251</x:v>
      </x:c>
      <x:c r="F332" s="54" t="n">
        <x:v>2250</x:v>
      </x:c>
      <x:c r="G332" s="54" t="n">
        <x:f>ROUND(D332*0.97,0)</x:f>
        <x:v>1924</x:v>
      </x:c>
      <x:c r="H332" s="52" t="n">
        <x:v>0.984950849624047</x:v>
      </x:c>
      <x:c r="I332" s="54" t="n">
        <x:f>MIN(F332,ROUND(G332*H332,0))</x:f>
        <x:v>1895</x:v>
      </x:c>
      <x:c r="J332" s="54" t="n">
        <x:f>Q327</x:f>
        <x:v>0</x:v>
      </x:c>
      <x:c r="K332" s="54" t="n">
        <x:f>I332+J332</x:f>
        <x:v>1895</x:v>
      </x:c>
      <x:c r="L332" s="54" t="n">
        <x:f>MIN(E332,K332)</x:f>
        <x:v>1895</x:v>
      </x:c>
      <x:c r="M332" s="54" t="n">
        <x:f>MAX(E332-K332,0)</x:f>
        <x:v>356</x:v>
      </x:c>
      <x:c r="N332" s="54" t="n">
        <x:f>MAX(K332-L332,0)</x:f>
        <x:v>0</x:v>
      </x:c>
      <x:c r="O332" s="52" t="n">
        <x:v>0.025</x:v>
      </x:c>
      <x:c r="P332" s="54" t="n">
        <x:f>MIN(N332,ROUND(N332*O332,0))</x:f>
        <x:v>0</x:v>
      </x:c>
      <x:c r="Q332" s="54" t="n">
        <x:f>N332-P332</x:f>
        <x:v>0</x:v>
      </x:c>
      <x:c r="R332" s="54" t="n">
        <x:v>238</x:v>
      </x:c>
      <x:c r="S332" s="54" t="n">
        <x:f>MIN(F332,MAX(0,ROUND(D332+R332-V332,0)))</x:f>
        <x:v>2138</x:v>
      </x:c>
      <x:c r="T332" s="52" t="n">
        <x:v>1.0121373140934011</x:v>
      </x:c>
      <x:c r="U332" s="54" t="n">
        <x:f>MIN(F332,MAX(0,ROUND(S332*T332,0)))</x:f>
        <x:v>2164</x:v>
      </x:c>
      <x:c r="V332" s="54" t="n">
        <x:f>AB327</x:f>
        <x:v>83</x:v>
      </x:c>
      <x:c r="W332" s="54" t="n">
        <x:f>U332+V332</x:f>
        <x:v>2247</x:v>
      </x:c>
      <x:c r="X332" s="54" t="n">
        <x:f>MIN(E332,W332)</x:f>
        <x:v>2247</x:v>
      </x:c>
      <x:c r="Y332" s="54" t="n">
        <x:f>MAX(E332-W332,0)</x:f>
        <x:v>4</x:v>
      </x:c>
      <x:c r="Z332" s="54" t="n">
        <x:f>MAX(W332-X332,0)</x:f>
        <x:v>0</x:v>
      </x:c>
      <x:c r="AA332" s="54" t="n">
        <x:f>MIN(Z332,ROUND(Z332*O332,0))</x:f>
        <x:v>0</x:v>
      </x:c>
      <x:c r="AB332" s="54" t="n">
        <x:f>Z332-AA332</x:f>
        <x:v>0</x:v>
      </x:c>
      <x:c r="AC332" s="52" t="n">
        <x:f>IFERROR(ABS(E332-D332)/E332,0)</x:f>
        <x:v>0.11905819635717459</x:v>
      </x:c>
      <x:c r="AD332" s="52" t="n">
        <x:f>IFERROR(L332/E332,1)</x:f>
        <x:v>0.8418480675255442</x:v>
      </x:c>
      <x:c r="AE332" s="52" t="n">
        <x:f>IFERROR(X332/E332,1)</x:f>
        <x:v>0.998223011994669</x:v>
      </x:c>
      <x:c r="AF332" s="52" t="n">
        <x:f>IFERROR(I332/F332,0)</x:f>
        <x:v>0.8422222222222222</x:v>
      </x:c>
      <x:c r="AG332" s="52" t="n">
        <x:f>IFERROR(U332/F332,0)</x:f>
        <x:v>0.9617777777777777</x:v>
      </x:c>
    </x:row>
    <x:row r="333">
      <x:c r="A333" s="50" t="n">
        <x:v>46228</x:v>
      </x:c>
      <x:c r="B333" s="48" t="str">
        <x:v>Full Cream Milk</x:v>
      </x:c>
      <x:c r="C333" s="48" t="n">
        <x:v>2</x:v>
      </x:c>
      <x:c r="D333" s="54" t="n">
        <x:v>991</x:v>
      </x:c>
      <x:c r="E333" s="54" t="n">
        <x:v>1016</x:v>
      </x:c>
      <x:c r="F333" s="54" t="n">
        <x:v>1200</x:v>
      </x:c>
      <x:c r="G333" s="54" t="n">
        <x:f>ROUND(D333*0.97,0)</x:f>
        <x:v>961</x:v>
      </x:c>
      <x:c r="H333" s="52" t="n">
        <x:v>1.0089638121221345</x:v>
      </x:c>
      <x:c r="I333" s="54" t="n">
        <x:f>MIN(F333,ROUND(G333*H333,0))</x:f>
        <x:v>970</x:v>
      </x:c>
      <x:c r="J333" s="54" t="n">
        <x:f>Q328</x:f>
        <x:v>0</x:v>
      </x:c>
      <x:c r="K333" s="54" t="n">
        <x:f>I333+J333</x:f>
        <x:v>970</x:v>
      </x:c>
      <x:c r="L333" s="54" t="n">
        <x:f>MIN(E333,K333)</x:f>
        <x:v>970</x:v>
      </x:c>
      <x:c r="M333" s="54" t="n">
        <x:f>MAX(E333-K333,0)</x:f>
        <x:v>46</x:v>
      </x:c>
      <x:c r="N333" s="54" t="n">
        <x:f>MAX(K333-L333,0)</x:f>
        <x:v>0</x:v>
      </x:c>
      <x:c r="O333" s="52" t="n">
        <x:v>0.03</x:v>
      </x:c>
      <x:c r="P333" s="54" t="n">
        <x:f>MIN(N333,ROUND(N333*O333,0))</x:f>
        <x:v>0</x:v>
      </x:c>
      <x:c r="Q333" s="54" t="n">
        <x:f>N333-P333</x:f>
        <x:v>0</x:v>
      </x:c>
      <x:c r="R333" s="54" t="n">
        <x:v>119</x:v>
      </x:c>
      <x:c r="S333" s="54" t="n">
        <x:f>MIN(F333,MAX(0,ROUND(D333+R333-V333,0)))</x:f>
        <x:v>1061</x:v>
      </x:c>
      <x:c r="T333" s="52" t="n">
        <x:v>0.9801858839411081</x:v>
      </x:c>
      <x:c r="U333" s="54" t="n">
        <x:f>MIN(F333,MAX(0,ROUND(S333*T333,0)))</x:f>
        <x:v>1040</x:v>
      </x:c>
      <x:c r="V333" s="54" t="n">
        <x:f>AB328</x:f>
        <x:v>49</x:v>
      </x:c>
      <x:c r="W333" s="54" t="n">
        <x:f>U333+V333</x:f>
        <x:v>1089</x:v>
      </x:c>
      <x:c r="X333" s="54" t="n">
        <x:f>MIN(E333,W333)</x:f>
        <x:v>1016</x:v>
      </x:c>
      <x:c r="Y333" s="54" t="n">
        <x:f>MAX(E333-W333,0)</x:f>
        <x:v>0</x:v>
      </x:c>
      <x:c r="Z333" s="54" t="n">
        <x:f>MAX(W333-X333,0)</x:f>
        <x:v>73</x:v>
      </x:c>
      <x:c r="AA333" s="54" t="n">
        <x:f>MIN(Z333,ROUND(Z333*O333,0))</x:f>
        <x:v>2</x:v>
      </x:c>
      <x:c r="AB333" s="54" t="n">
        <x:f>Z333-AA333</x:f>
        <x:v>71</x:v>
      </x:c>
      <x:c r="AC333" s="52" t="n">
        <x:f>IFERROR(ABS(E333-D333)/E333,0)</x:f>
        <x:v>0.024606299212598427</x:v>
      </x:c>
      <x:c r="AD333" s="52" t="n">
        <x:f>IFERROR(L333/E333,1)</x:f>
        <x:v>0.9547244094488189</x:v>
      </x:c>
      <x:c r="AE333" s="52" t="n">
        <x:f>IFERROR(X333/E333,1)</x:f>
        <x:v>1</x:v>
      </x:c>
      <x:c r="AF333" s="52" t="n">
        <x:f>IFERROR(I333/F333,0)</x:f>
        <x:v>0.8083333333333333</x:v>
      </x:c>
      <x:c r="AG333" s="52" t="n">
        <x:f>IFERROR(U333/F333,0)</x:f>
        <x:v>0.8666666666666667</x:v>
      </x:c>
    </x:row>
    <x:row r="334">
      <x:c r="A334" s="50" t="n">
        <x:v>46228</x:v>
      </x:c>
      <x:c r="B334" s="48" t="str">
        <x:v>Curd</x:v>
      </x:c>
      <x:c r="C334" s="48" t="n">
        <x:v>7</x:v>
      </x:c>
      <x:c r="D334" s="54" t="n">
        <x:v>583</x:v>
      </x:c>
      <x:c r="E334" s="54" t="n">
        <x:v>505</x:v>
      </x:c>
      <x:c r="F334" s="54" t="n">
        <x:v>700</x:v>
      </x:c>
      <x:c r="G334" s="54" t="n">
        <x:f>ROUND(D334*0.97,0)</x:f>
        <x:v>566</x:v>
      </x:c>
      <x:c r="H334" s="52" t="n">
        <x:v>1.0047535852348317</x:v>
      </x:c>
      <x:c r="I334" s="54" t="n">
        <x:f>MIN(F334,ROUND(G334*H334,0))</x:f>
        <x:v>569</x:v>
      </x:c>
      <x:c r="J334" s="54" t="n">
        <x:f>Q329</x:f>
        <x:v>37</x:v>
      </x:c>
      <x:c r="K334" s="54" t="n">
        <x:f>I334+J334</x:f>
        <x:v>606</x:v>
      </x:c>
      <x:c r="L334" s="54" t="n">
        <x:f>MIN(E334,K334)</x:f>
        <x:v>505</x:v>
      </x:c>
      <x:c r="M334" s="54" t="n">
        <x:f>MAX(E334-K334,0)</x:f>
        <x:v>0</x:v>
      </x:c>
      <x:c r="N334" s="54" t="n">
        <x:f>MAX(K334-L334,0)</x:f>
        <x:v>101</x:v>
      </x:c>
      <x:c r="O334" s="52" t="n">
        <x:v>0.018</x:v>
      </x:c>
      <x:c r="P334" s="54" t="n">
        <x:f>MIN(N334,ROUND(N334*O334,0))</x:f>
        <x:v>2</x:v>
      </x:c>
      <x:c r="Q334" s="54" t="n">
        <x:f>N334-P334</x:f>
        <x:v>99</x:v>
      </x:c>
      <x:c r="R334" s="54" t="n">
        <x:v>105</x:v>
      </x:c>
      <x:c r="S334" s="54" t="n">
        <x:f>MIN(F334,MAX(0,ROUND(D334+R334-V334,0)))</x:f>
        <x:v>614</x:v>
      </x:c>
      <x:c r="T334" s="52" t="n">
        <x:v>1.0087323858160733</x:v>
      </x:c>
      <x:c r="U334" s="54" t="n">
        <x:f>MIN(F334,MAX(0,ROUND(S334*T334,0)))</x:f>
        <x:v>619</x:v>
      </x:c>
      <x:c r="V334" s="54" t="n">
        <x:f>AB329</x:f>
        <x:v>74</x:v>
      </x:c>
      <x:c r="W334" s="54" t="n">
        <x:f>U334+V334</x:f>
        <x:v>693</x:v>
      </x:c>
      <x:c r="X334" s="54" t="n">
        <x:f>MIN(E334,W334)</x:f>
        <x:v>505</x:v>
      </x:c>
      <x:c r="Y334" s="54" t="n">
        <x:f>MAX(E334-W334,0)</x:f>
        <x:v>0</x:v>
      </x:c>
      <x:c r="Z334" s="54" t="n">
        <x:f>MAX(W334-X334,0)</x:f>
        <x:v>188</x:v>
      </x:c>
      <x:c r="AA334" s="54" t="n">
        <x:f>MIN(Z334,ROUND(Z334*O334,0))</x:f>
        <x:v>3</x:v>
      </x:c>
      <x:c r="AB334" s="54" t="n">
        <x:f>Z334-AA334</x:f>
        <x:v>185</x:v>
      </x:c>
      <x:c r="AC334" s="52" t="n">
        <x:f>IFERROR(ABS(E334-D334)/E334,0)</x:f>
        <x:v>0.15445544554455445</x:v>
      </x:c>
      <x:c r="AD334" s="52" t="n">
        <x:f>IFERROR(L334/E334,1)</x:f>
        <x:v>1</x:v>
      </x:c>
      <x:c r="AE334" s="52" t="n">
        <x:f>IFERROR(X334/E334,1)</x:f>
        <x:v>1</x:v>
      </x:c>
      <x:c r="AF334" s="52" t="n">
        <x:f>IFERROR(I334/F334,0)</x:f>
        <x:v>0.8128571428571428</x:v>
      </x:c>
      <x:c r="AG334" s="52" t="n">
        <x:f>IFERROR(U334/F334,0)</x:f>
        <x:v>0.8842857142857142</x:v>
      </x:c>
    </x:row>
    <x:row r="335">
      <x:c r="A335" s="50" t="n">
        <x:v>46228</x:v>
      </x:c>
      <x:c r="B335" s="48" t="str">
        <x:v>Lassi</x:v>
      </x:c>
      <x:c r="C335" s="48" t="n">
        <x:v>7</x:v>
      </x:c>
      <x:c r="D335" s="54" t="n">
        <x:v>462</x:v>
      </x:c>
      <x:c r="E335" s="54" t="n">
        <x:v>542</x:v>
      </x:c>
      <x:c r="F335" s="54" t="n">
        <x:v>560</x:v>
      </x:c>
      <x:c r="G335" s="54" t="n">
        <x:f>ROUND(D335*0.97,0)</x:f>
        <x:v>448</x:v>
      </x:c>
      <x:c r="H335" s="52" t="n">
        <x:v>1.001851029066803</x:v>
      </x:c>
      <x:c r="I335" s="54" t="n">
        <x:f>MIN(F335,ROUND(G335*H335,0))</x:f>
        <x:v>449</x:v>
      </x:c>
      <x:c r="J335" s="54" t="n">
        <x:f>Q330</x:f>
        <x:v>67</x:v>
      </x:c>
      <x:c r="K335" s="54" t="n">
        <x:f>I335+J335</x:f>
        <x:v>516</x:v>
      </x:c>
      <x:c r="L335" s="54" t="n">
        <x:f>MIN(E335,K335)</x:f>
        <x:v>516</x:v>
      </x:c>
      <x:c r="M335" s="54" t="n">
        <x:f>MAX(E335-K335,0)</x:f>
        <x:v>26</x:v>
      </x:c>
      <x:c r="N335" s="54" t="n">
        <x:f>MAX(K335-L335,0)</x:f>
        <x:v>0</x:v>
      </x:c>
      <x:c r="O335" s="52" t="n">
        <x:v>0.02</x:v>
      </x:c>
      <x:c r="P335" s="54" t="n">
        <x:f>MIN(N335,ROUND(N335*O335,0))</x:f>
        <x:v>0</x:v>
      </x:c>
      <x:c r="Q335" s="54" t="n">
        <x:f>N335-P335</x:f>
        <x:v>0</x:v>
      </x:c>
      <x:c r="R335" s="54" t="n">
        <x:v>83</x:v>
      </x:c>
      <x:c r="S335" s="54" t="n">
        <x:f>MIN(F335,MAX(0,ROUND(D335+R335-V335,0)))</x:f>
        <x:v>404</x:v>
      </x:c>
      <x:c r="T335" s="52" t="n">
        <x:v>1.003398607251971</x:v>
      </x:c>
      <x:c r="U335" s="54" t="n">
        <x:f>MIN(F335,MAX(0,ROUND(S335*T335,0)))</x:f>
        <x:v>405</x:v>
      </x:c>
      <x:c r="V335" s="54" t="n">
        <x:f>AB330</x:f>
        <x:v>141</x:v>
      </x:c>
      <x:c r="W335" s="54" t="n">
        <x:f>U335+V335</x:f>
        <x:v>546</x:v>
      </x:c>
      <x:c r="X335" s="54" t="n">
        <x:f>MIN(E335,W335)</x:f>
        <x:v>542</x:v>
      </x:c>
      <x:c r="Y335" s="54" t="n">
        <x:f>MAX(E335-W335,0)</x:f>
        <x:v>0</x:v>
      </x:c>
      <x:c r="Z335" s="54" t="n">
        <x:f>MAX(W335-X335,0)</x:f>
        <x:v>4</x:v>
      </x:c>
      <x:c r="AA335" s="54" t="n">
        <x:f>MIN(Z335,ROUND(Z335*O335,0))</x:f>
        <x:v>0</x:v>
      </x:c>
      <x:c r="AB335" s="54" t="n">
        <x:f>Z335-AA335</x:f>
        <x:v>4</x:v>
      </x:c>
      <x:c r="AC335" s="52" t="n">
        <x:f>IFERROR(ABS(E335-D335)/E335,0)</x:f>
        <x:v>0.14760147601476015</x:v>
      </x:c>
      <x:c r="AD335" s="52" t="n">
        <x:f>IFERROR(L335/E335,1)</x:f>
        <x:v>0.9520295202952029</x:v>
      </x:c>
      <x:c r="AE335" s="52" t="n">
        <x:f>IFERROR(X335/E335,1)</x:f>
        <x:v>1</x:v>
      </x:c>
      <x:c r="AF335" s="52" t="n">
        <x:f>IFERROR(I335/F335,0)</x:f>
        <x:v>0.8017857142857143</x:v>
      </x:c>
      <x:c r="AG335" s="52" t="n">
        <x:f>IFERROR(U335/F335,0)</x:f>
        <x:v>0.7232142857142857</x:v>
      </x:c>
    </x:row>
    <x:row r="336">
      <x:c r="A336" s="50" t="n">
        <x:v>46228</x:v>
      </x:c>
      <x:c r="B336" s="48" t="str">
        <x:v>Paneer</x:v>
      </x:c>
      <x:c r="C336" s="48" t="n">
        <x:v>5</x:v>
      </x:c>
      <x:c r="D336" s="54" t="n">
        <x:v>183</x:v>
      </x:c>
      <x:c r="E336" s="54" t="n">
        <x:v>192</x:v>
      </x:c>
      <x:c r="F336" s="54" t="n">
        <x:v>230</x:v>
      </x:c>
      <x:c r="G336" s="54" t="n">
        <x:f>ROUND(D336*0.97,0)</x:f>
        <x:v>178</x:v>
      </x:c>
      <x:c r="H336" s="52" t="n">
        <x:v>0.9873472333621542</x:v>
      </x:c>
      <x:c r="I336" s="54" t="n">
        <x:f>MIN(F336,ROUND(G336*H336,0))</x:f>
        <x:v>176</x:v>
      </x:c>
      <x:c r="J336" s="54" t="n">
        <x:f>Q331</x:f>
        <x:v>3</x:v>
      </x:c>
      <x:c r="K336" s="54" t="n">
        <x:f>I336+J336</x:f>
        <x:v>179</x:v>
      </x:c>
      <x:c r="L336" s="54" t="n">
        <x:f>MIN(E336,K336)</x:f>
        <x:v>179</x:v>
      </x:c>
      <x:c r="M336" s="54" t="n">
        <x:f>MAX(E336-K336,0)</x:f>
        <x:v>13</x:v>
      </x:c>
      <x:c r="N336" s="54" t="n">
        <x:f>MAX(K336-L336,0)</x:f>
        <x:v>0</x:v>
      </x:c>
      <x:c r="O336" s="52" t="n">
        <x:v>0.025</x:v>
      </x:c>
      <x:c r="P336" s="54" t="n">
        <x:f>MIN(N336,ROUND(N336*O336,0))</x:f>
        <x:v>0</x:v>
      </x:c>
      <x:c r="Q336" s="54" t="n">
        <x:f>N336-P336</x:f>
        <x:v>0</x:v>
      </x:c>
      <x:c r="R336" s="54" t="n">
        <x:v>37</x:v>
      </x:c>
      <x:c r="S336" s="54" t="n">
        <x:f>MIN(F336,MAX(0,ROUND(D336+R336-V336,0)))</x:f>
        <x:v>186</x:v>
      </x:c>
      <x:c r="T336" s="52" t="n">
        <x:v>0.9941016654880268</x:v>
      </x:c>
      <x:c r="U336" s="54" t="n">
        <x:f>MIN(F336,MAX(0,ROUND(S336*T336,0)))</x:f>
        <x:v>185</x:v>
      </x:c>
      <x:c r="V336" s="54" t="n">
        <x:f>AB331</x:f>
        <x:v>34</x:v>
      </x:c>
      <x:c r="W336" s="54" t="n">
        <x:f>U336+V336</x:f>
        <x:v>219</x:v>
      </x:c>
      <x:c r="X336" s="54" t="n">
        <x:f>MIN(E336,W336)</x:f>
        <x:v>192</x:v>
      </x:c>
      <x:c r="Y336" s="54" t="n">
        <x:f>MAX(E336-W336,0)</x:f>
        <x:v>0</x:v>
      </x:c>
      <x:c r="Z336" s="54" t="n">
        <x:f>MAX(W336-X336,0)</x:f>
        <x:v>27</x:v>
      </x:c>
      <x:c r="AA336" s="54" t="n">
        <x:f>MIN(Z336,ROUND(Z336*O336,0))</x:f>
        <x:v>1</x:v>
      </x:c>
      <x:c r="AB336" s="54" t="n">
        <x:f>Z336-AA336</x:f>
        <x:v>26</x:v>
      </x:c>
      <x:c r="AC336" s="52" t="n">
        <x:f>IFERROR(ABS(E336-D336)/E336,0)</x:f>
        <x:v>0.046875</x:v>
      </x:c>
      <x:c r="AD336" s="52" t="n">
        <x:f>IFERROR(L336/E336,1)</x:f>
        <x:v>0.9322916666666666</x:v>
      </x:c>
      <x:c r="AE336" s="52" t="n">
        <x:f>IFERROR(X336/E336,1)</x:f>
        <x:v>1</x:v>
      </x:c>
      <x:c r="AF336" s="52" t="n">
        <x:f>IFERROR(I336/F336,0)</x:f>
        <x:v>0.7652173913043478</x:v>
      </x:c>
      <x:c r="AG336" s="52" t="n">
        <x:f>IFERROR(U336/F336,0)</x:f>
        <x:v>0.8043478260869565</x:v>
      </x:c>
    </x:row>
    <x:row r="337">
      <x:c r="A337" s="50" t="n">
        <x:v>46229</x:v>
      </x:c>
      <x:c r="B337" s="48" t="str">
        <x:v>Toned Milk</x:v>
      </x:c>
      <x:c r="C337" s="48" t="n">
        <x:v>2</x:v>
      </x:c>
      <x:c r="D337" s="54" t="n">
        <x:v>1949</x:v>
      </x:c>
      <x:c r="E337" s="54" t="n">
        <x:v>1937</x:v>
      </x:c>
      <x:c r="F337" s="54" t="n">
        <x:v>2250</x:v>
      </x:c>
      <x:c r="G337" s="54" t="n">
        <x:f>ROUND(D337*0.97,0)</x:f>
        <x:v>1891</x:v>
      </x:c>
      <x:c r="H337" s="52" t="n">
        <x:v>1.0070903824009698</x:v>
      </x:c>
      <x:c r="I337" s="54" t="n">
        <x:f>MIN(F337,ROUND(G337*H337,0))</x:f>
        <x:v>1904</x:v>
      </x:c>
      <x:c r="J337" s="54" t="n">
        <x:f>Q332</x:f>
        <x:v>0</x:v>
      </x:c>
      <x:c r="K337" s="54" t="n">
        <x:f>I337+J337</x:f>
        <x:v>1904</x:v>
      </x:c>
      <x:c r="L337" s="54" t="n">
        <x:f>MIN(E337,K337)</x:f>
        <x:v>1904</x:v>
      </x:c>
      <x:c r="M337" s="54" t="n">
        <x:f>MAX(E337-K337,0)</x:f>
        <x:v>33</x:v>
      </x:c>
      <x:c r="N337" s="54" t="n">
        <x:f>MAX(K337-L337,0)</x:f>
        <x:v>0</x:v>
      </x:c>
      <x:c r="O337" s="52" t="n">
        <x:v>0.025</x:v>
      </x:c>
      <x:c r="P337" s="54" t="n">
        <x:f>MIN(N337,ROUND(N337*O337,0))</x:f>
        <x:v>0</x:v>
      </x:c>
      <x:c r="Q337" s="54" t="n">
        <x:f>N337-P337</x:f>
        <x:v>0</x:v>
      </x:c>
      <x:c r="R337" s="54" t="n">
        <x:v>234</x:v>
      </x:c>
      <x:c r="S337" s="54" t="n">
        <x:f>MIN(F337,MAX(0,ROUND(D337+R337-V337,0)))</x:f>
        <x:v>2183</x:v>
      </x:c>
      <x:c r="T337" s="52" t="n">
        <x:v>1.0089642060418087</x:v>
      </x:c>
      <x:c r="U337" s="54" t="n">
        <x:f>MIN(F337,MAX(0,ROUND(S337*T337,0)))</x:f>
        <x:v>2203</x:v>
      </x:c>
      <x:c r="V337" s="54" t="n">
        <x:f>AB332</x:f>
        <x:v>0</x:v>
      </x:c>
      <x:c r="W337" s="54" t="n">
        <x:f>U337+V337</x:f>
        <x:v>2203</x:v>
      </x:c>
      <x:c r="X337" s="54" t="n">
        <x:f>MIN(E337,W337)</x:f>
        <x:v>1937</x:v>
      </x:c>
      <x:c r="Y337" s="54" t="n">
        <x:f>MAX(E337-W337,0)</x:f>
        <x:v>0</x:v>
      </x:c>
      <x:c r="Z337" s="54" t="n">
        <x:f>MAX(W337-X337,0)</x:f>
        <x:v>266</x:v>
      </x:c>
      <x:c r="AA337" s="54" t="n">
        <x:f>MIN(Z337,ROUND(Z337*O337,0))</x:f>
        <x:v>7</x:v>
      </x:c>
      <x:c r="AB337" s="54" t="n">
        <x:f>Z337-AA337</x:f>
        <x:v>259</x:v>
      </x:c>
      <x:c r="AC337" s="52" t="n">
        <x:f>IFERROR(ABS(E337-D337)/E337,0)</x:f>
        <x:v>0.00619514713474445</x:v>
      </x:c>
      <x:c r="AD337" s="52" t="n">
        <x:f>IFERROR(L337/E337,1)</x:f>
        <x:v>0.9829633453794527</x:v>
      </x:c>
      <x:c r="AE337" s="52" t="n">
        <x:f>IFERROR(X337/E337,1)</x:f>
        <x:v>1</x:v>
      </x:c>
      <x:c r="AF337" s="52" t="n">
        <x:f>IFERROR(I337/F337,0)</x:f>
        <x:v>0.8462222222222222</x:v>
      </x:c>
      <x:c r="AG337" s="52" t="n">
        <x:f>IFERROR(U337/F337,0)</x:f>
        <x:v>0.9791111111111112</x:v>
      </x:c>
    </x:row>
    <x:row r="338">
      <x:c r="A338" s="50" t="n">
        <x:v>46229</x:v>
      </x:c>
      <x:c r="B338" s="48" t="str">
        <x:v>Full Cream Milk</x:v>
      </x:c>
      <x:c r="C338" s="48" t="n">
        <x:v>2</x:v>
      </x:c>
      <x:c r="D338" s="54" t="n">
        <x:v>974</x:v>
      </x:c>
      <x:c r="E338" s="54" t="n">
        <x:v>1033</x:v>
      </x:c>
      <x:c r="F338" s="54" t="n">
        <x:v>1200</x:v>
      </x:c>
      <x:c r="G338" s="54" t="n">
        <x:f>ROUND(D338*0.97,0)</x:f>
        <x:v>945</x:v>
      </x:c>
      <x:c r="H338" s="52" t="n">
        <x:v>0.987251967089281</x:v>
      </x:c>
      <x:c r="I338" s="54" t="n">
        <x:f>MIN(F338,ROUND(G338*H338,0))</x:f>
        <x:v>933</x:v>
      </x:c>
      <x:c r="J338" s="54" t="n">
        <x:f>Q333</x:f>
        <x:v>0</x:v>
      </x:c>
      <x:c r="K338" s="54" t="n">
        <x:f>I338+J338</x:f>
        <x:v>933</x:v>
      </x:c>
      <x:c r="L338" s="54" t="n">
        <x:f>MIN(E338,K338)</x:f>
        <x:v>933</x:v>
      </x:c>
      <x:c r="M338" s="54" t="n">
        <x:f>MAX(E338-K338,0)</x:f>
        <x:v>100</x:v>
      </x:c>
      <x:c r="N338" s="54" t="n">
        <x:f>MAX(K338-L338,0)</x:f>
        <x:v>0</x:v>
      </x:c>
      <x:c r="O338" s="52" t="n">
        <x:v>0.03</x:v>
      </x:c>
      <x:c r="P338" s="54" t="n">
        <x:f>MIN(N338,ROUND(N338*O338,0))</x:f>
        <x:v>0</x:v>
      </x:c>
      <x:c r="Q338" s="54" t="n">
        <x:f>N338-P338</x:f>
        <x:v>0</x:v>
      </x:c>
      <x:c r="R338" s="54" t="n">
        <x:v>117</x:v>
      </x:c>
      <x:c r="S338" s="54" t="n">
        <x:f>MIN(F338,MAX(0,ROUND(D338+R338-V338,0)))</x:f>
        <x:v>1020</x:v>
      </x:c>
      <x:c r="T338" s="52" t="n">
        <x:v>1.00260250227125</x:v>
      </x:c>
      <x:c r="U338" s="54" t="n">
        <x:f>MIN(F338,MAX(0,ROUND(S338*T338,0)))</x:f>
        <x:v>1023</x:v>
      </x:c>
      <x:c r="V338" s="54" t="n">
        <x:f>AB333</x:f>
        <x:v>71</x:v>
      </x:c>
      <x:c r="W338" s="54" t="n">
        <x:f>U338+V338</x:f>
        <x:v>1094</x:v>
      </x:c>
      <x:c r="X338" s="54" t="n">
        <x:f>MIN(E338,W338)</x:f>
        <x:v>1033</x:v>
      </x:c>
      <x:c r="Y338" s="54" t="n">
        <x:f>MAX(E338-W338,0)</x:f>
        <x:v>0</x:v>
      </x:c>
      <x:c r="Z338" s="54" t="n">
        <x:f>MAX(W338-X338,0)</x:f>
        <x:v>61</x:v>
      </x:c>
      <x:c r="AA338" s="54" t="n">
        <x:f>MIN(Z338,ROUND(Z338*O338,0))</x:f>
        <x:v>2</x:v>
      </x:c>
      <x:c r="AB338" s="54" t="n">
        <x:f>Z338-AA338</x:f>
        <x:v>59</x:v>
      </x:c>
      <x:c r="AC338" s="52" t="n">
        <x:f>IFERROR(ABS(E338-D338)/E338,0)</x:f>
        <x:v>0.057115198451113264</x:v>
      </x:c>
      <x:c r="AD338" s="52" t="n">
        <x:f>IFERROR(L338/E338,1)</x:f>
        <x:v>0.9031945788964182</x:v>
      </x:c>
      <x:c r="AE338" s="52" t="n">
        <x:f>IFERROR(X338/E338,1)</x:f>
        <x:v>1</x:v>
      </x:c>
      <x:c r="AF338" s="52" t="n">
        <x:f>IFERROR(I338/F338,0)</x:f>
        <x:v>0.7775</x:v>
      </x:c>
      <x:c r="AG338" s="52" t="n">
        <x:f>IFERROR(U338/F338,0)</x:f>
        <x:v>0.8525</x:v>
      </x:c>
    </x:row>
    <x:row r="339">
      <x:c r="A339" s="50" t="n">
        <x:v>46229</x:v>
      </x:c>
      <x:c r="B339" s="48" t="str">
        <x:v>Curd</x:v>
      </x:c>
      <x:c r="C339" s="48" t="n">
        <x:v>7</x:v>
      </x:c>
      <x:c r="D339" s="54" t="n">
        <x:v>594</x:v>
      </x:c>
      <x:c r="E339" s="54" t="n">
        <x:v>648</x:v>
      </x:c>
      <x:c r="F339" s="54" t="n">
        <x:v>700</x:v>
      </x:c>
      <x:c r="G339" s="54" t="n">
        <x:f>ROUND(D339*0.97,0)</x:f>
        <x:v>576</x:v>
      </x:c>
      <x:c r="H339" s="52" t="n">
        <x:v>1.0043794596618112</x:v>
      </x:c>
      <x:c r="I339" s="54" t="n">
        <x:f>MIN(F339,ROUND(G339*H339,0))</x:f>
        <x:v>579</x:v>
      </x:c>
      <x:c r="J339" s="54" t="n">
        <x:f>Q334</x:f>
        <x:v>99</x:v>
      </x:c>
      <x:c r="K339" s="54" t="n">
        <x:f>I339+J339</x:f>
        <x:v>678</x:v>
      </x:c>
      <x:c r="L339" s="54" t="n">
        <x:f>MIN(E339,K339)</x:f>
        <x:v>648</x:v>
      </x:c>
      <x:c r="M339" s="54" t="n">
        <x:f>MAX(E339-K339,0)</x:f>
        <x:v>0</x:v>
      </x:c>
      <x:c r="N339" s="54" t="n">
        <x:f>MAX(K339-L339,0)</x:f>
        <x:v>30</x:v>
      </x:c>
      <x:c r="O339" s="52" t="n">
        <x:v>0.018</x:v>
      </x:c>
      <x:c r="P339" s="54" t="n">
        <x:f>MIN(N339,ROUND(N339*O339,0))</x:f>
        <x:v>1</x:v>
      </x:c>
      <x:c r="Q339" s="54" t="n">
        <x:f>N339-P339</x:f>
        <x:v>29</x:v>
      </x:c>
      <x:c r="R339" s="54" t="n">
        <x:v>107</x:v>
      </x:c>
      <x:c r="S339" s="54" t="n">
        <x:f>MIN(F339,MAX(0,ROUND(D339+R339-V339,0)))</x:f>
        <x:v>516</x:v>
      </x:c>
      <x:c r="T339" s="52" t="n">
        <x:v>1.0084677318035564</x:v>
      </x:c>
      <x:c r="U339" s="54" t="n">
        <x:f>MIN(F339,MAX(0,ROUND(S339*T339,0)))</x:f>
        <x:v>520</x:v>
      </x:c>
      <x:c r="V339" s="54" t="n">
        <x:f>AB334</x:f>
        <x:v>185</x:v>
      </x:c>
      <x:c r="W339" s="54" t="n">
        <x:f>U339+V339</x:f>
        <x:v>705</x:v>
      </x:c>
      <x:c r="X339" s="54" t="n">
        <x:f>MIN(E339,W339)</x:f>
        <x:v>648</x:v>
      </x:c>
      <x:c r="Y339" s="54" t="n">
        <x:f>MAX(E339-W339,0)</x:f>
        <x:v>0</x:v>
      </x:c>
      <x:c r="Z339" s="54" t="n">
        <x:f>MAX(W339-X339,0)</x:f>
        <x:v>57</x:v>
      </x:c>
      <x:c r="AA339" s="54" t="n">
        <x:f>MIN(Z339,ROUND(Z339*O339,0))</x:f>
        <x:v>1</x:v>
      </x:c>
      <x:c r="AB339" s="54" t="n">
        <x:f>Z339-AA339</x:f>
        <x:v>56</x:v>
      </x:c>
      <x:c r="AC339" s="52" t="n">
        <x:f>IFERROR(ABS(E339-D339)/E339,0)</x:f>
        <x:v>0.08333333333333333</x:v>
      </x:c>
      <x:c r="AD339" s="52" t="n">
        <x:f>IFERROR(L339/E339,1)</x:f>
        <x:v>1</x:v>
      </x:c>
      <x:c r="AE339" s="52" t="n">
        <x:f>IFERROR(X339/E339,1)</x:f>
        <x:v>1</x:v>
      </x:c>
      <x:c r="AF339" s="52" t="n">
        <x:f>IFERROR(I339/F339,0)</x:f>
        <x:v>0.8271428571428572</x:v>
      </x:c>
      <x:c r="AG339" s="52" t="n">
        <x:f>IFERROR(U339/F339,0)</x:f>
        <x:v>0.7428571428571429</x:v>
      </x:c>
    </x:row>
    <x:row r="340">
      <x:c r="A340" s="50" t="n">
        <x:v>46229</x:v>
      </x:c>
      <x:c r="B340" s="48" t="str">
        <x:v>Lassi</x:v>
      </x:c>
      <x:c r="C340" s="48" t="n">
        <x:v>7</x:v>
      </x:c>
      <x:c r="D340" s="54" t="n">
        <x:v>475</x:v>
      </x:c>
      <x:c r="E340" s="54" t="n">
        <x:v>536</x:v>
      </x:c>
      <x:c r="F340" s="54" t="n">
        <x:v>560</x:v>
      </x:c>
      <x:c r="G340" s="54" t="n">
        <x:f>ROUND(D340*0.97,0)</x:f>
        <x:v>461</x:v>
      </x:c>
      <x:c r="H340" s="52" t="n">
        <x:v>0.9934102157685918</x:v>
      </x:c>
      <x:c r="I340" s="54" t="n">
        <x:f>MIN(F340,ROUND(G340*H340,0))</x:f>
        <x:v>458</x:v>
      </x:c>
      <x:c r="J340" s="54" t="n">
        <x:f>Q335</x:f>
        <x:v>0</x:v>
      </x:c>
      <x:c r="K340" s="54" t="n">
        <x:f>I340+J340</x:f>
        <x:v>458</x:v>
      </x:c>
      <x:c r="L340" s="54" t="n">
        <x:f>MIN(E340,K340)</x:f>
        <x:v>458</x:v>
      </x:c>
      <x:c r="M340" s="54" t="n">
        <x:f>MAX(E340-K340,0)</x:f>
        <x:v>78</x:v>
      </x:c>
      <x:c r="N340" s="54" t="n">
        <x:f>MAX(K340-L340,0)</x:f>
        <x:v>0</x:v>
      </x:c>
      <x:c r="O340" s="52" t="n">
        <x:v>0.02</x:v>
      </x:c>
      <x:c r="P340" s="54" t="n">
        <x:f>MIN(N340,ROUND(N340*O340,0))</x:f>
        <x:v>0</x:v>
      </x:c>
      <x:c r="Q340" s="54" t="n">
        <x:f>N340-P340</x:f>
        <x:v>0</x:v>
      </x:c>
      <x:c r="R340" s="54" t="n">
        <x:v>86</x:v>
      </x:c>
      <x:c r="S340" s="54" t="n">
        <x:f>MIN(F340,MAX(0,ROUND(D340+R340-V340,0)))</x:f>
        <x:v>557</x:v>
      </x:c>
      <x:c r="T340" s="52" t="n">
        <x:v>0.9857349811762152</x:v>
      </x:c>
      <x:c r="U340" s="54" t="n">
        <x:f>MIN(F340,MAX(0,ROUND(S340*T340,0)))</x:f>
        <x:v>549</x:v>
      </x:c>
      <x:c r="V340" s="54" t="n">
        <x:f>AB335</x:f>
        <x:v>4</x:v>
      </x:c>
      <x:c r="W340" s="54" t="n">
        <x:f>U340+V340</x:f>
        <x:v>553</x:v>
      </x:c>
      <x:c r="X340" s="54" t="n">
        <x:f>MIN(E340,W340)</x:f>
        <x:v>536</x:v>
      </x:c>
      <x:c r="Y340" s="54" t="n">
        <x:f>MAX(E340-W340,0)</x:f>
        <x:v>0</x:v>
      </x:c>
      <x:c r="Z340" s="54" t="n">
        <x:f>MAX(W340-X340,0)</x:f>
        <x:v>17</x:v>
      </x:c>
      <x:c r="AA340" s="54" t="n">
        <x:f>MIN(Z340,ROUND(Z340*O340,0))</x:f>
        <x:v>0</x:v>
      </x:c>
      <x:c r="AB340" s="54" t="n">
        <x:f>Z340-AA340</x:f>
        <x:v>17</x:v>
      </x:c>
      <x:c r="AC340" s="52" t="n">
        <x:f>IFERROR(ABS(E340-D340)/E340,0)</x:f>
        <x:v>0.11380597014925373</x:v>
      </x:c>
      <x:c r="AD340" s="52" t="n">
        <x:f>IFERROR(L340/E340,1)</x:f>
        <x:v>0.8544776119402985</x:v>
      </x:c>
      <x:c r="AE340" s="52" t="n">
        <x:f>IFERROR(X340/E340,1)</x:f>
        <x:v>1</x:v>
      </x:c>
      <x:c r="AF340" s="52" t="n">
        <x:f>IFERROR(I340/F340,0)</x:f>
        <x:v>0.8178571428571428</x:v>
      </x:c>
      <x:c r="AG340" s="52" t="n">
        <x:f>IFERROR(U340/F340,0)</x:f>
        <x:v>0.9803571428571428</x:v>
      </x:c>
    </x:row>
    <x:row r="341">
      <x:c r="A341" s="50" t="n">
        <x:v>46229</x:v>
      </x:c>
      <x:c r="B341" s="48" t="str">
        <x:v>Paneer</x:v>
      </x:c>
      <x:c r="C341" s="48" t="n">
        <x:v>5</x:v>
      </x:c>
      <x:c r="D341" s="54" t="n">
        <x:v>188</x:v>
      </x:c>
      <x:c r="E341" s="54" t="n">
        <x:v>175</x:v>
      </x:c>
      <x:c r="F341" s="54" t="n">
        <x:v>230</x:v>
      </x:c>
      <x:c r="G341" s="54" t="n">
        <x:f>ROUND(D341*0.97,0)</x:f>
        <x:v>182</x:v>
      </x:c>
      <x:c r="H341" s="52" t="n">
        <x:v>1.0065008238696544</x:v>
      </x:c>
      <x:c r="I341" s="54" t="n">
        <x:f>MIN(F341,ROUND(G341*H341,0))</x:f>
        <x:v>183</x:v>
      </x:c>
      <x:c r="J341" s="54" t="n">
        <x:f>Q336</x:f>
        <x:v>0</x:v>
      </x:c>
      <x:c r="K341" s="54" t="n">
        <x:f>I341+J341</x:f>
        <x:v>183</x:v>
      </x:c>
      <x:c r="L341" s="54" t="n">
        <x:f>MIN(E341,K341)</x:f>
        <x:v>175</x:v>
      </x:c>
      <x:c r="M341" s="54" t="n">
        <x:f>MAX(E341-K341,0)</x:f>
        <x:v>0</x:v>
      </x:c>
      <x:c r="N341" s="54" t="n">
        <x:f>MAX(K341-L341,0)</x:f>
        <x:v>8</x:v>
      </x:c>
      <x:c r="O341" s="52" t="n">
        <x:v>0.025</x:v>
      </x:c>
      <x:c r="P341" s="54" t="n">
        <x:f>MIN(N341,ROUND(N341*O341,0))</x:f>
        <x:v>0</x:v>
      </x:c>
      <x:c r="Q341" s="54" t="n">
        <x:f>N341-P341</x:f>
        <x:v>8</x:v>
      </x:c>
      <x:c r="R341" s="54" t="n">
        <x:v>38</x:v>
      </x:c>
      <x:c r="S341" s="54" t="n">
        <x:f>MIN(F341,MAX(0,ROUND(D341+R341-V341,0)))</x:f>
        <x:v>200</x:v>
      </x:c>
      <x:c r="T341" s="52" t="n">
        <x:v>1.0060673294506202</x:v>
      </x:c>
      <x:c r="U341" s="54" t="n">
        <x:f>MIN(F341,MAX(0,ROUND(S341*T341,0)))</x:f>
        <x:v>201</x:v>
      </x:c>
      <x:c r="V341" s="54" t="n">
        <x:f>AB336</x:f>
        <x:v>26</x:v>
      </x:c>
      <x:c r="W341" s="54" t="n">
        <x:f>U341+V341</x:f>
        <x:v>227</x:v>
      </x:c>
      <x:c r="X341" s="54" t="n">
        <x:f>MIN(E341,W341)</x:f>
        <x:v>175</x:v>
      </x:c>
      <x:c r="Y341" s="54" t="n">
        <x:f>MAX(E341-W341,0)</x:f>
        <x:v>0</x:v>
      </x:c>
      <x:c r="Z341" s="54" t="n">
        <x:f>MAX(W341-X341,0)</x:f>
        <x:v>52</x:v>
      </x:c>
      <x:c r="AA341" s="54" t="n">
        <x:f>MIN(Z341,ROUND(Z341*O341,0))</x:f>
        <x:v>1</x:v>
      </x:c>
      <x:c r="AB341" s="54" t="n">
        <x:f>Z341-AA341</x:f>
        <x:v>51</x:v>
      </x:c>
      <x:c r="AC341" s="52" t="n">
        <x:f>IFERROR(ABS(E341-D341)/E341,0)</x:f>
        <x:v>0.07428571428571429</x:v>
      </x:c>
      <x:c r="AD341" s="52" t="n">
        <x:f>IFERROR(L341/E341,1)</x:f>
        <x:v>1</x:v>
      </x:c>
      <x:c r="AE341" s="52" t="n">
        <x:f>IFERROR(X341/E341,1)</x:f>
        <x:v>1</x:v>
      </x:c>
      <x:c r="AF341" s="52" t="n">
        <x:f>IFERROR(I341/F341,0)</x:f>
        <x:v>0.7956521739130434</x:v>
      </x:c>
      <x:c r="AG341" s="52" t="n">
        <x:f>IFERROR(U341/F341,0)</x:f>
        <x:v>0.8739130434782608</x:v>
      </x:c>
    </x:row>
    <x:row r="342">
      <x:c r="A342" s="50" t="n">
        <x:v>46230</x:v>
      </x:c>
      <x:c r="B342" s="48" t="str">
        <x:v>Toned Milk</x:v>
      </x:c>
      <x:c r="C342" s="48" t="n">
        <x:v>2</x:v>
      </x:c>
      <x:c r="D342" s="54" t="n">
        <x:v>1671</x:v>
      </x:c>
      <x:c r="E342" s="54" t="n">
        <x:v>1797</x:v>
      </x:c>
      <x:c r="F342" s="54" t="n">
        <x:v>2250</x:v>
      </x:c>
      <x:c r="G342" s="54" t="n">
        <x:f>ROUND(D342*0.97,0)</x:f>
        <x:v>1621</x:v>
      </x:c>
      <x:c r="H342" s="52" t="n">
        <x:v>0.9944235620863057</x:v>
      </x:c>
      <x:c r="I342" s="54" t="n">
        <x:f>MIN(F342,ROUND(G342*H342,0))</x:f>
        <x:v>1612</x:v>
      </x:c>
      <x:c r="J342" s="54" t="n">
        <x:f>Q337</x:f>
        <x:v>0</x:v>
      </x:c>
      <x:c r="K342" s="54" t="n">
        <x:f>I342+J342</x:f>
        <x:v>1612</x:v>
      </x:c>
      <x:c r="L342" s="54" t="n">
        <x:f>MIN(E342,K342)</x:f>
        <x:v>1612</x:v>
      </x:c>
      <x:c r="M342" s="54" t="n">
        <x:f>MAX(E342-K342,0)</x:f>
        <x:v>185</x:v>
      </x:c>
      <x:c r="N342" s="54" t="n">
        <x:f>MAX(K342-L342,0)</x:f>
        <x:v>0</x:v>
      </x:c>
      <x:c r="O342" s="52" t="n">
        <x:v>0.025</x:v>
      </x:c>
      <x:c r="P342" s="54" t="n">
        <x:f>MIN(N342,ROUND(N342*O342,0))</x:f>
        <x:v>0</x:v>
      </x:c>
      <x:c r="Q342" s="54" t="n">
        <x:f>N342-P342</x:f>
        <x:v>0</x:v>
      </x:c>
      <x:c r="R342" s="54" t="n">
        <x:v>201</x:v>
      </x:c>
      <x:c r="S342" s="54" t="n">
        <x:f>MIN(F342,MAX(0,ROUND(D342+R342-V342,0)))</x:f>
        <x:v>1613</x:v>
      </x:c>
      <x:c r="T342" s="52" t="n">
        <x:v>1.0118504468756457</x:v>
      </x:c>
      <x:c r="U342" s="54" t="n">
        <x:f>MIN(F342,MAX(0,ROUND(S342*T342,0)))</x:f>
        <x:v>1632</x:v>
      </x:c>
      <x:c r="V342" s="54" t="n">
        <x:f>AB337</x:f>
        <x:v>259</x:v>
      </x:c>
      <x:c r="W342" s="54" t="n">
        <x:f>U342+V342</x:f>
        <x:v>1891</x:v>
      </x:c>
      <x:c r="X342" s="54" t="n">
        <x:f>MIN(E342,W342)</x:f>
        <x:v>1797</x:v>
      </x:c>
      <x:c r="Y342" s="54" t="n">
        <x:f>MAX(E342-W342,0)</x:f>
        <x:v>0</x:v>
      </x:c>
      <x:c r="Z342" s="54" t="n">
        <x:f>MAX(W342-X342,0)</x:f>
        <x:v>94</x:v>
      </x:c>
      <x:c r="AA342" s="54" t="n">
        <x:f>MIN(Z342,ROUND(Z342*O342,0))</x:f>
        <x:v>2</x:v>
      </x:c>
      <x:c r="AB342" s="54" t="n">
        <x:f>Z342-AA342</x:f>
        <x:v>92</x:v>
      </x:c>
      <x:c r="AC342" s="52" t="n">
        <x:f>IFERROR(ABS(E342-D342)/E342,0)</x:f>
        <x:v>0.07011686143572621</x:v>
      </x:c>
      <x:c r="AD342" s="52" t="n">
        <x:f>IFERROR(L342/E342,1)</x:f>
        <x:v>0.8970506399554814</x:v>
      </x:c>
      <x:c r="AE342" s="52" t="n">
        <x:f>IFERROR(X342/E342,1)</x:f>
        <x:v>1</x:v>
      </x:c>
      <x:c r="AF342" s="52" t="n">
        <x:f>IFERROR(I342/F342,0)</x:f>
        <x:v>0.7164444444444444</x:v>
      </x:c>
      <x:c r="AG342" s="52" t="n">
        <x:f>IFERROR(U342/F342,0)</x:f>
        <x:v>0.7253333333333334</x:v>
      </x:c>
    </x:row>
    <x:row r="343">
      <x:c r="A343" s="50" t="n">
        <x:v>46230</x:v>
      </x:c>
      <x:c r="B343" s="48" t="str">
        <x:v>Full Cream Milk</x:v>
      </x:c>
      <x:c r="C343" s="48" t="n">
        <x:v>2</x:v>
      </x:c>
      <x:c r="D343" s="54" t="n">
        <x:v>827</x:v>
      </x:c>
      <x:c r="E343" s="54" t="n">
        <x:v>935</x:v>
      </x:c>
      <x:c r="F343" s="54" t="n">
        <x:v>1200</x:v>
      </x:c>
      <x:c r="G343" s="54" t="n">
        <x:f>ROUND(D343*0.97,0)</x:f>
        <x:v>802</x:v>
      </x:c>
      <x:c r="H343" s="52" t="n">
        <x:v>1.0091368335541213</x:v>
      </x:c>
      <x:c r="I343" s="54" t="n">
        <x:f>MIN(F343,ROUND(G343*H343,0))</x:f>
        <x:v>809</x:v>
      </x:c>
      <x:c r="J343" s="54" t="n">
        <x:f>Q338</x:f>
        <x:v>0</x:v>
      </x:c>
      <x:c r="K343" s="54" t="n">
        <x:f>I343+J343</x:f>
        <x:v>809</x:v>
      </x:c>
      <x:c r="L343" s="54" t="n">
        <x:f>MIN(E343,K343)</x:f>
        <x:v>809</x:v>
      </x:c>
      <x:c r="M343" s="54" t="n">
        <x:f>MAX(E343-K343,0)</x:f>
        <x:v>126</x:v>
      </x:c>
      <x:c r="N343" s="54" t="n">
        <x:f>MAX(K343-L343,0)</x:f>
        <x:v>0</x:v>
      </x:c>
      <x:c r="O343" s="52" t="n">
        <x:v>0.03</x:v>
      </x:c>
      <x:c r="P343" s="54" t="n">
        <x:f>MIN(N343,ROUND(N343*O343,0))</x:f>
        <x:v>0</x:v>
      </x:c>
      <x:c r="Q343" s="54" t="n">
        <x:f>N343-P343</x:f>
        <x:v>0</x:v>
      </x:c>
      <x:c r="R343" s="54" t="n">
        <x:v>99</x:v>
      </x:c>
      <x:c r="S343" s="54" t="n">
        <x:f>MIN(F343,MAX(0,ROUND(D343+R343-V343,0)))</x:f>
        <x:v>867</x:v>
      </x:c>
      <x:c r="T343" s="52" t="n">
        <x:v>1.0182159737465688</x:v>
      </x:c>
      <x:c r="U343" s="54" t="n">
        <x:f>MIN(F343,MAX(0,ROUND(S343*T343,0)))</x:f>
        <x:v>883</x:v>
      </x:c>
      <x:c r="V343" s="54" t="n">
        <x:f>AB338</x:f>
        <x:v>59</x:v>
      </x:c>
      <x:c r="W343" s="54" t="n">
        <x:f>U343+V343</x:f>
        <x:v>942</x:v>
      </x:c>
      <x:c r="X343" s="54" t="n">
        <x:f>MIN(E343,W343)</x:f>
        <x:v>935</x:v>
      </x:c>
      <x:c r="Y343" s="54" t="n">
        <x:f>MAX(E343-W343,0)</x:f>
        <x:v>0</x:v>
      </x:c>
      <x:c r="Z343" s="54" t="n">
        <x:f>MAX(W343-X343,0)</x:f>
        <x:v>7</x:v>
      </x:c>
      <x:c r="AA343" s="54" t="n">
        <x:f>MIN(Z343,ROUND(Z343*O343,0))</x:f>
        <x:v>0</x:v>
      </x:c>
      <x:c r="AB343" s="54" t="n">
        <x:f>Z343-AA343</x:f>
        <x:v>7</x:v>
      </x:c>
      <x:c r="AC343" s="52" t="n">
        <x:f>IFERROR(ABS(E343-D343)/E343,0)</x:f>
        <x:v>0.11550802139037433</x:v>
      </x:c>
      <x:c r="AD343" s="52" t="n">
        <x:f>IFERROR(L343/E343,1)</x:f>
        <x:v>0.8652406417112299</x:v>
      </x:c>
      <x:c r="AE343" s="52" t="n">
        <x:f>IFERROR(X343/E343,1)</x:f>
        <x:v>1</x:v>
      </x:c>
      <x:c r="AF343" s="52" t="n">
        <x:f>IFERROR(I343/F343,0)</x:f>
        <x:v>0.6741666666666667</x:v>
      </x:c>
      <x:c r="AG343" s="52" t="n">
        <x:f>IFERROR(U343/F343,0)</x:f>
        <x:v>0.7358333333333333</x:v>
      </x:c>
    </x:row>
    <x:row r="344">
      <x:c r="A344" s="50" t="n">
        <x:v>46230</x:v>
      </x:c>
      <x:c r="B344" s="48" t="str">
        <x:v>Curd</x:v>
      </x:c>
      <x:c r="C344" s="48" t="n">
        <x:v>7</x:v>
      </x:c>
      <x:c r="D344" s="54" t="n">
        <x:v>476</x:v>
      </x:c>
      <x:c r="E344" s="54" t="n">
        <x:v>559</x:v>
      </x:c>
      <x:c r="F344" s="54" t="n">
        <x:v>700</x:v>
      </x:c>
      <x:c r="G344" s="54" t="n">
        <x:f>ROUND(D344*0.97,0)</x:f>
        <x:v>462</x:v>
      </x:c>
      <x:c r="H344" s="52" t="n">
        <x:v>1.006800201736801</x:v>
      </x:c>
      <x:c r="I344" s="54" t="n">
        <x:f>MIN(F344,ROUND(G344*H344,0))</x:f>
        <x:v>465</x:v>
      </x:c>
      <x:c r="J344" s="54" t="n">
        <x:f>Q339</x:f>
        <x:v>29</x:v>
      </x:c>
      <x:c r="K344" s="54" t="n">
        <x:f>I344+J344</x:f>
        <x:v>494</x:v>
      </x:c>
      <x:c r="L344" s="54" t="n">
        <x:f>MIN(E344,K344)</x:f>
        <x:v>494</x:v>
      </x:c>
      <x:c r="M344" s="54" t="n">
        <x:f>MAX(E344-K344,0)</x:f>
        <x:v>65</x:v>
      </x:c>
      <x:c r="N344" s="54" t="n">
        <x:f>MAX(K344-L344,0)</x:f>
        <x:v>0</x:v>
      </x:c>
      <x:c r="O344" s="52" t="n">
        <x:v>0.018</x:v>
      </x:c>
      <x:c r="P344" s="54" t="n">
        <x:f>MIN(N344,ROUND(N344*O344,0))</x:f>
        <x:v>0</x:v>
      </x:c>
      <x:c r="Q344" s="54" t="n">
        <x:f>N344-P344</x:f>
        <x:v>0</x:v>
      </x:c>
      <x:c r="R344" s="54" t="n">
        <x:v>86</x:v>
      </x:c>
      <x:c r="S344" s="54" t="n">
        <x:f>MIN(F344,MAX(0,ROUND(D344+R344-V344,0)))</x:f>
        <x:v>506</x:v>
      </x:c>
      <x:c r="T344" s="52" t="n">
        <x:v>1.0119265045853272</x:v>
      </x:c>
      <x:c r="U344" s="54" t="n">
        <x:f>MIN(F344,MAX(0,ROUND(S344*T344,0)))</x:f>
        <x:v>512</x:v>
      </x:c>
      <x:c r="V344" s="54" t="n">
        <x:f>AB339</x:f>
        <x:v>56</x:v>
      </x:c>
      <x:c r="W344" s="54" t="n">
        <x:f>U344+V344</x:f>
        <x:v>568</x:v>
      </x:c>
      <x:c r="X344" s="54" t="n">
        <x:f>MIN(E344,W344)</x:f>
        <x:v>559</x:v>
      </x:c>
      <x:c r="Y344" s="54" t="n">
        <x:f>MAX(E344-W344,0)</x:f>
        <x:v>0</x:v>
      </x:c>
      <x:c r="Z344" s="54" t="n">
        <x:f>MAX(W344-X344,0)</x:f>
        <x:v>9</x:v>
      </x:c>
      <x:c r="AA344" s="54" t="n">
        <x:f>MIN(Z344,ROUND(Z344*O344,0))</x:f>
        <x:v>0</x:v>
      </x:c>
      <x:c r="AB344" s="54" t="n">
        <x:f>Z344-AA344</x:f>
        <x:v>9</x:v>
      </x:c>
      <x:c r="AC344" s="52" t="n">
        <x:f>IFERROR(ABS(E344-D344)/E344,0)</x:f>
        <x:v>0.148479427549195</x:v>
      </x:c>
      <x:c r="AD344" s="52" t="n">
        <x:f>IFERROR(L344/E344,1)</x:f>
        <x:v>0.8837209302325582</x:v>
      </x:c>
      <x:c r="AE344" s="52" t="n">
        <x:f>IFERROR(X344/E344,1)</x:f>
        <x:v>1</x:v>
      </x:c>
      <x:c r="AF344" s="52" t="n">
        <x:f>IFERROR(I344/F344,0)</x:f>
        <x:v>0.6642857142857143</x:v>
      </x:c>
      <x:c r="AG344" s="52" t="n">
        <x:f>IFERROR(U344/F344,0)</x:f>
        <x:v>0.7314285714285714</x:v>
      </x:c>
    </x:row>
    <x:row r="345">
      <x:c r="A345" s="50" t="n">
        <x:v>46230</x:v>
      </x:c>
      <x:c r="B345" s="48" t="str">
        <x:v>Lassi</x:v>
      </x:c>
      <x:c r="C345" s="48" t="n">
        <x:v>7</x:v>
      </x:c>
      <x:c r="D345" s="54" t="n">
        <x:v>369</x:v>
      </x:c>
      <x:c r="E345" s="54" t="n">
        <x:v>318</x:v>
      </x:c>
      <x:c r="F345" s="54" t="n">
        <x:v>560</x:v>
      </x:c>
      <x:c r="G345" s="54" t="n">
        <x:f>ROUND(D345*0.97,0)</x:f>
        <x:v>358</x:v>
      </x:c>
      <x:c r="H345" s="52" t="n">
        <x:v>0.9894185291444753</x:v>
      </x:c>
      <x:c r="I345" s="54" t="n">
        <x:f>MIN(F345,ROUND(G345*H345,0))</x:f>
        <x:v>354</x:v>
      </x:c>
      <x:c r="J345" s="54" t="n">
        <x:f>Q340</x:f>
        <x:v>0</x:v>
      </x:c>
      <x:c r="K345" s="54" t="n">
        <x:f>I345+J345</x:f>
        <x:v>354</x:v>
      </x:c>
      <x:c r="L345" s="54" t="n">
        <x:f>MIN(E345,K345)</x:f>
        <x:v>318</x:v>
      </x:c>
      <x:c r="M345" s="54" t="n">
        <x:f>MAX(E345-K345,0)</x:f>
        <x:v>0</x:v>
      </x:c>
      <x:c r="N345" s="54" t="n">
        <x:f>MAX(K345-L345,0)</x:f>
        <x:v>36</x:v>
      </x:c>
      <x:c r="O345" s="52" t="n">
        <x:v>0.02</x:v>
      </x:c>
      <x:c r="P345" s="54" t="n">
        <x:f>MIN(N345,ROUND(N345*O345,0))</x:f>
        <x:v>1</x:v>
      </x:c>
      <x:c r="Q345" s="54" t="n">
        <x:f>N345-P345</x:f>
        <x:v>35</x:v>
      </x:c>
      <x:c r="R345" s="54" t="n">
        <x:v>66</x:v>
      </x:c>
      <x:c r="S345" s="54" t="n">
        <x:f>MIN(F345,MAX(0,ROUND(D345+R345-V345,0)))</x:f>
        <x:v>418</x:v>
      </x:c>
      <x:c r="T345" s="52" t="n">
        <x:v>1.0118053789562085</x:v>
      </x:c>
      <x:c r="U345" s="54" t="n">
        <x:f>MIN(F345,MAX(0,ROUND(S345*T345,0)))</x:f>
        <x:v>423</x:v>
      </x:c>
      <x:c r="V345" s="54" t="n">
        <x:f>AB340</x:f>
        <x:v>17</x:v>
      </x:c>
      <x:c r="W345" s="54" t="n">
        <x:f>U345+V345</x:f>
        <x:v>440</x:v>
      </x:c>
      <x:c r="X345" s="54" t="n">
        <x:f>MIN(E345,W345)</x:f>
        <x:v>318</x:v>
      </x:c>
      <x:c r="Y345" s="54" t="n">
        <x:f>MAX(E345-W345,0)</x:f>
        <x:v>0</x:v>
      </x:c>
      <x:c r="Z345" s="54" t="n">
        <x:f>MAX(W345-X345,0)</x:f>
        <x:v>122</x:v>
      </x:c>
      <x:c r="AA345" s="54" t="n">
        <x:f>MIN(Z345,ROUND(Z345*O345,0))</x:f>
        <x:v>2</x:v>
      </x:c>
      <x:c r="AB345" s="54" t="n">
        <x:f>Z345-AA345</x:f>
        <x:v>120</x:v>
      </x:c>
      <x:c r="AC345" s="52" t="n">
        <x:f>IFERROR(ABS(E345-D345)/E345,0)</x:f>
        <x:v>0.16037735849056603</x:v>
      </x:c>
      <x:c r="AD345" s="52" t="n">
        <x:f>IFERROR(L345/E345,1)</x:f>
        <x:v>1</x:v>
      </x:c>
      <x:c r="AE345" s="52" t="n">
        <x:f>IFERROR(X345/E345,1)</x:f>
        <x:v>1</x:v>
      </x:c>
      <x:c r="AF345" s="52" t="n">
        <x:f>IFERROR(I345/F345,0)</x:f>
        <x:v>0.6321428571428571</x:v>
      </x:c>
      <x:c r="AG345" s="52" t="n">
        <x:f>IFERROR(U345/F345,0)</x:f>
        <x:v>0.7553571428571428</x:v>
      </x:c>
    </x:row>
    <x:row r="346">
      <x:c r="A346" s="50" t="n">
        <x:v>46230</x:v>
      </x:c>
      <x:c r="B346" s="48" t="str">
        <x:v>Paneer</x:v>
      </x:c>
      <x:c r="C346" s="48" t="n">
        <x:v>5</x:v>
      </x:c>
      <x:c r="D346" s="54" t="n">
        <x:v>151</x:v>
      </x:c>
      <x:c r="E346" s="54" t="n">
        <x:v>136</x:v>
      </x:c>
      <x:c r="F346" s="54" t="n">
        <x:v>230</x:v>
      </x:c>
      <x:c r="G346" s="54" t="n">
        <x:f>ROUND(D346*0.97,0)</x:f>
        <x:v>146</x:v>
      </x:c>
      <x:c r="H346" s="52" t="n">
        <x:v>0.9902592970358068</x:v>
      </x:c>
      <x:c r="I346" s="54" t="n">
        <x:f>MIN(F346,ROUND(G346*H346,0))</x:f>
        <x:v>145</x:v>
      </x:c>
      <x:c r="J346" s="54" t="n">
        <x:f>Q341</x:f>
        <x:v>8</x:v>
      </x:c>
      <x:c r="K346" s="54" t="n">
        <x:f>I346+J346</x:f>
        <x:v>153</x:v>
      </x:c>
      <x:c r="L346" s="54" t="n">
        <x:f>MIN(E346,K346)</x:f>
        <x:v>136</x:v>
      </x:c>
      <x:c r="M346" s="54" t="n">
        <x:f>MAX(E346-K346,0)</x:f>
        <x:v>0</x:v>
      </x:c>
      <x:c r="N346" s="54" t="n">
        <x:f>MAX(K346-L346,0)</x:f>
        <x:v>17</x:v>
      </x:c>
      <x:c r="O346" s="52" t="n">
        <x:v>0.025</x:v>
      </x:c>
      <x:c r="P346" s="54" t="n">
        <x:f>MIN(N346,ROUND(N346*O346,0))</x:f>
        <x:v>0</x:v>
      </x:c>
      <x:c r="Q346" s="54" t="n">
        <x:f>N346-P346</x:f>
        <x:v>17</x:v>
      </x:c>
      <x:c r="R346" s="54" t="n">
        <x:v>30</x:v>
      </x:c>
      <x:c r="S346" s="54" t="n">
        <x:f>MIN(F346,MAX(0,ROUND(D346+R346-V346,0)))</x:f>
        <x:v>130</x:v>
      </x:c>
      <x:c r="T346" s="52" t="n">
        <x:v>1.010520299160642</x:v>
      </x:c>
      <x:c r="U346" s="54" t="n">
        <x:f>MIN(F346,MAX(0,ROUND(S346*T346,0)))</x:f>
        <x:v>131</x:v>
      </x:c>
      <x:c r="V346" s="54" t="n">
        <x:f>AB341</x:f>
        <x:v>51</x:v>
      </x:c>
      <x:c r="W346" s="54" t="n">
        <x:f>U346+V346</x:f>
        <x:v>182</x:v>
      </x:c>
      <x:c r="X346" s="54" t="n">
        <x:f>MIN(E346,W346)</x:f>
        <x:v>136</x:v>
      </x:c>
      <x:c r="Y346" s="54" t="n">
        <x:f>MAX(E346-W346,0)</x:f>
        <x:v>0</x:v>
      </x:c>
      <x:c r="Z346" s="54" t="n">
        <x:f>MAX(W346-X346,0)</x:f>
        <x:v>46</x:v>
      </x:c>
      <x:c r="AA346" s="54" t="n">
        <x:f>MIN(Z346,ROUND(Z346*O346,0))</x:f>
        <x:v>1</x:v>
      </x:c>
      <x:c r="AB346" s="54" t="n">
        <x:f>Z346-AA346</x:f>
        <x:v>45</x:v>
      </x:c>
      <x:c r="AC346" s="52" t="n">
        <x:f>IFERROR(ABS(E346-D346)/E346,0)</x:f>
        <x:v>0.11029411764705882</x:v>
      </x:c>
      <x:c r="AD346" s="52" t="n">
        <x:f>IFERROR(L346/E346,1)</x:f>
        <x:v>1</x:v>
      </x:c>
      <x:c r="AE346" s="52" t="n">
        <x:f>IFERROR(X346/E346,1)</x:f>
        <x:v>1</x:v>
      </x:c>
      <x:c r="AF346" s="52" t="n">
        <x:f>IFERROR(I346/F346,0)</x:f>
        <x:v>0.6304347826086957</x:v>
      </x:c>
      <x:c r="AG346" s="52" t="n">
        <x:f>IFERROR(U346/F346,0)</x:f>
        <x:v>0.5695652173913044</x:v>
      </x:c>
    </x:row>
    <x:row r="347">
      <x:c r="A347" s="50" t="n">
        <x:v>46231</x:v>
      </x:c>
      <x:c r="B347" s="48" t="str">
        <x:v>Toned Milk</x:v>
      </x:c>
      <x:c r="C347" s="48" t="n">
        <x:v>2</x:v>
      </x:c>
      <x:c r="D347" s="54" t="n">
        <x:v>1706</x:v>
      </x:c>
      <x:c r="E347" s="54" t="n">
        <x:v>2003</x:v>
      </x:c>
      <x:c r="F347" s="54" t="n">
        <x:v>2250</x:v>
      </x:c>
      <x:c r="G347" s="54" t="n">
        <x:f>ROUND(D347*0.97,0)</x:f>
        <x:v>1655</x:v>
      </x:c>
      <x:c r="H347" s="52" t="n">
        <x:v>0.9900813618148676</x:v>
      </x:c>
      <x:c r="I347" s="54" t="n">
        <x:f>MIN(F347,ROUND(G347*H347,0))</x:f>
        <x:v>1639</x:v>
      </x:c>
      <x:c r="J347" s="54" t="n">
        <x:f>Q342</x:f>
        <x:v>0</x:v>
      </x:c>
      <x:c r="K347" s="54" t="n">
        <x:f>I347+J347</x:f>
        <x:v>1639</x:v>
      </x:c>
      <x:c r="L347" s="54" t="n">
        <x:f>MIN(E347,K347)</x:f>
        <x:v>1639</x:v>
      </x:c>
      <x:c r="M347" s="54" t="n">
        <x:f>MAX(E347-K347,0)</x:f>
        <x:v>364</x:v>
      </x:c>
      <x:c r="N347" s="54" t="n">
        <x:f>MAX(K347-L347,0)</x:f>
        <x:v>0</x:v>
      </x:c>
      <x:c r="O347" s="52" t="n">
        <x:v>0.025</x:v>
      </x:c>
      <x:c r="P347" s="54" t="n">
        <x:f>MIN(N347,ROUND(N347*O347,0))</x:f>
        <x:v>0</x:v>
      </x:c>
      <x:c r="Q347" s="54" t="n">
        <x:f>N347-P347</x:f>
        <x:v>0</x:v>
      </x:c>
      <x:c r="R347" s="54" t="n">
        <x:v>205</x:v>
      </x:c>
      <x:c r="S347" s="54" t="n">
        <x:f>MIN(F347,MAX(0,ROUND(D347+R347-V347,0)))</x:f>
        <x:v>1819</x:v>
      </x:c>
      <x:c r="T347" s="52" t="n">
        <x:v>0.9993541768719113</x:v>
      </x:c>
      <x:c r="U347" s="54" t="n">
        <x:f>MIN(F347,MAX(0,ROUND(S347*T347,0)))</x:f>
        <x:v>1818</x:v>
      </x:c>
      <x:c r="V347" s="54" t="n">
        <x:f>AB342</x:f>
        <x:v>92</x:v>
      </x:c>
      <x:c r="W347" s="54" t="n">
        <x:f>U347+V347</x:f>
        <x:v>1910</x:v>
      </x:c>
      <x:c r="X347" s="54" t="n">
        <x:f>MIN(E347,W347)</x:f>
        <x:v>1910</x:v>
      </x:c>
      <x:c r="Y347" s="54" t="n">
        <x:f>MAX(E347-W347,0)</x:f>
        <x:v>93</x:v>
      </x:c>
      <x:c r="Z347" s="54" t="n">
        <x:f>MAX(W347-X347,0)</x:f>
        <x:v>0</x:v>
      </x:c>
      <x:c r="AA347" s="54" t="n">
        <x:f>MIN(Z347,ROUND(Z347*O347,0))</x:f>
        <x:v>0</x:v>
      </x:c>
      <x:c r="AB347" s="54" t="n">
        <x:f>Z347-AA347</x:f>
        <x:v>0</x:v>
      </x:c>
      <x:c r="AC347" s="52" t="n">
        <x:f>IFERROR(ABS(E347-D347)/E347,0)</x:f>
        <x:v>0.14827758362456314</x:v>
      </x:c>
      <x:c r="AD347" s="52" t="n">
        <x:f>IFERROR(L347/E347,1)</x:f>
        <x:v>0.81827259111333</x:v>
      </x:c>
      <x:c r="AE347" s="52" t="n">
        <x:f>IFERROR(X347/E347,1)</x:f>
        <x:v>0.9535696455317024</x:v>
      </x:c>
      <x:c r="AF347" s="52" t="n">
        <x:f>IFERROR(I347/F347,0)</x:f>
        <x:v>0.7284444444444444</x:v>
      </x:c>
      <x:c r="AG347" s="52" t="n">
        <x:f>IFERROR(U347/F347,0)</x:f>
        <x:v>0.808</x:v>
      </x:c>
    </x:row>
    <x:row r="348">
      <x:c r="A348" s="50" t="n">
        <x:v>46231</x:v>
      </x:c>
      <x:c r="B348" s="48" t="str">
        <x:v>Full Cream Milk</x:v>
      </x:c>
      <x:c r="C348" s="48" t="n">
        <x:v>2</x:v>
      </x:c>
      <x:c r="D348" s="54" t="n">
        <x:v>853</x:v>
      </x:c>
      <x:c r="E348" s="54" t="n">
        <x:v>776</x:v>
      </x:c>
      <x:c r="F348" s="54" t="n">
        <x:v>1200</x:v>
      </x:c>
      <x:c r="G348" s="54" t="n">
        <x:f>ROUND(D348*0.97,0)</x:f>
        <x:v>827</x:v>
      </x:c>
      <x:c r="H348" s="52" t="n">
        <x:v>0.9830009492278593</x:v>
      </x:c>
      <x:c r="I348" s="54" t="n">
        <x:f>MIN(F348,ROUND(G348*H348,0))</x:f>
        <x:v>813</x:v>
      </x:c>
      <x:c r="J348" s="54" t="n">
        <x:f>Q343</x:f>
        <x:v>0</x:v>
      </x:c>
      <x:c r="K348" s="54" t="n">
        <x:f>I348+J348</x:f>
        <x:v>813</x:v>
      </x:c>
      <x:c r="L348" s="54" t="n">
        <x:f>MIN(E348,K348)</x:f>
        <x:v>776</x:v>
      </x:c>
      <x:c r="M348" s="54" t="n">
        <x:f>MAX(E348-K348,0)</x:f>
        <x:v>0</x:v>
      </x:c>
      <x:c r="N348" s="54" t="n">
        <x:f>MAX(K348-L348,0)</x:f>
        <x:v>37</x:v>
      </x:c>
      <x:c r="O348" s="52" t="n">
        <x:v>0.03</x:v>
      </x:c>
      <x:c r="P348" s="54" t="n">
        <x:f>MIN(N348,ROUND(N348*O348,0))</x:f>
        <x:v>1</x:v>
      </x:c>
      <x:c r="Q348" s="54" t="n">
        <x:f>N348-P348</x:f>
        <x:v>36</x:v>
      </x:c>
      <x:c r="R348" s="54" t="n">
        <x:v>102</x:v>
      </x:c>
      <x:c r="S348" s="54" t="n">
        <x:f>MIN(F348,MAX(0,ROUND(D348+R348-V348,0)))</x:f>
        <x:v>948</x:v>
      </x:c>
      <x:c r="T348" s="52" t="n">
        <x:v>0.992594911048079</x:v>
      </x:c>
      <x:c r="U348" s="54" t="n">
        <x:f>MIN(F348,MAX(0,ROUND(S348*T348,0)))</x:f>
        <x:v>941</x:v>
      </x:c>
      <x:c r="V348" s="54" t="n">
        <x:f>AB343</x:f>
        <x:v>7</x:v>
      </x:c>
      <x:c r="W348" s="54" t="n">
        <x:f>U348+V348</x:f>
        <x:v>948</x:v>
      </x:c>
      <x:c r="X348" s="54" t="n">
        <x:f>MIN(E348,W348)</x:f>
        <x:v>776</x:v>
      </x:c>
      <x:c r="Y348" s="54" t="n">
        <x:f>MAX(E348-W348,0)</x:f>
        <x:v>0</x:v>
      </x:c>
      <x:c r="Z348" s="54" t="n">
        <x:f>MAX(W348-X348,0)</x:f>
        <x:v>172</x:v>
      </x:c>
      <x:c r="AA348" s="54" t="n">
        <x:f>MIN(Z348,ROUND(Z348*O348,0))</x:f>
        <x:v>5</x:v>
      </x:c>
      <x:c r="AB348" s="54" t="n">
        <x:f>Z348-AA348</x:f>
        <x:v>167</x:v>
      </x:c>
      <x:c r="AC348" s="52" t="n">
        <x:f>IFERROR(ABS(E348-D348)/E348,0)</x:f>
        <x:v>0.09922680412371133</x:v>
      </x:c>
      <x:c r="AD348" s="52" t="n">
        <x:f>IFERROR(L348/E348,1)</x:f>
        <x:v>1</x:v>
      </x:c>
      <x:c r="AE348" s="52" t="n">
        <x:f>IFERROR(X348/E348,1)</x:f>
        <x:v>1</x:v>
      </x:c>
      <x:c r="AF348" s="52" t="n">
        <x:f>IFERROR(I348/F348,0)</x:f>
        <x:v>0.6775</x:v>
      </x:c>
      <x:c r="AG348" s="52" t="n">
        <x:f>IFERROR(U348/F348,0)</x:f>
        <x:v>0.7841666666666667</x:v>
      </x:c>
    </x:row>
    <x:row r="349">
      <x:c r="A349" s="50" t="n">
        <x:v>46231</x:v>
      </x:c>
      <x:c r="B349" s="48" t="str">
        <x:v>Curd</x:v>
      </x:c>
      <x:c r="C349" s="48" t="n">
        <x:v>7</x:v>
      </x:c>
      <x:c r="D349" s="54" t="n">
        <x:v>492</x:v>
      </x:c>
      <x:c r="E349" s="54" t="n">
        <x:v>462</x:v>
      </x:c>
      <x:c r="F349" s="54" t="n">
        <x:v>700</x:v>
      </x:c>
      <x:c r="G349" s="54" t="n">
        <x:f>ROUND(D349*0.97,0)</x:f>
        <x:v>477</x:v>
      </x:c>
      <x:c r="H349" s="52" t="n">
        <x:v>0.9930822028675632</x:v>
      </x:c>
      <x:c r="I349" s="54" t="n">
        <x:f>MIN(F349,ROUND(G349*H349,0))</x:f>
        <x:v>474</x:v>
      </x:c>
      <x:c r="J349" s="54" t="n">
        <x:f>Q344</x:f>
        <x:v>0</x:v>
      </x:c>
      <x:c r="K349" s="54" t="n">
        <x:f>I349+J349</x:f>
        <x:v>474</x:v>
      </x:c>
      <x:c r="L349" s="54" t="n">
        <x:f>MIN(E349,K349)</x:f>
        <x:v>462</x:v>
      </x:c>
      <x:c r="M349" s="54" t="n">
        <x:f>MAX(E349-K349,0)</x:f>
        <x:v>0</x:v>
      </x:c>
      <x:c r="N349" s="54" t="n">
        <x:f>MAX(K349-L349,0)</x:f>
        <x:v>12</x:v>
      </x:c>
      <x:c r="O349" s="52" t="n">
        <x:v>0.018</x:v>
      </x:c>
      <x:c r="P349" s="54" t="n">
        <x:f>MIN(N349,ROUND(N349*O349,0))</x:f>
        <x:v>0</x:v>
      </x:c>
      <x:c r="Q349" s="54" t="n">
        <x:f>N349-P349</x:f>
        <x:v>12</x:v>
      </x:c>
      <x:c r="R349" s="54" t="n">
        <x:v>89</x:v>
      </x:c>
      <x:c r="S349" s="54" t="n">
        <x:f>MIN(F349,MAX(0,ROUND(D349+R349-V349,0)))</x:f>
        <x:v>572</x:v>
      </x:c>
      <x:c r="T349" s="52" t="n">
        <x:v>0.9954915377595214</x:v>
      </x:c>
      <x:c r="U349" s="54" t="n">
        <x:f>MIN(F349,MAX(0,ROUND(S349*T349,0)))</x:f>
        <x:v>569</x:v>
      </x:c>
      <x:c r="V349" s="54" t="n">
        <x:f>AB344</x:f>
        <x:v>9</x:v>
      </x:c>
      <x:c r="W349" s="54" t="n">
        <x:f>U349+V349</x:f>
        <x:v>578</x:v>
      </x:c>
      <x:c r="X349" s="54" t="n">
        <x:f>MIN(E349,W349)</x:f>
        <x:v>462</x:v>
      </x:c>
      <x:c r="Y349" s="54" t="n">
        <x:f>MAX(E349-W349,0)</x:f>
        <x:v>0</x:v>
      </x:c>
      <x:c r="Z349" s="54" t="n">
        <x:f>MAX(W349-X349,0)</x:f>
        <x:v>116</x:v>
      </x:c>
      <x:c r="AA349" s="54" t="n">
        <x:f>MIN(Z349,ROUND(Z349*O349,0))</x:f>
        <x:v>2</x:v>
      </x:c>
      <x:c r="AB349" s="54" t="n">
        <x:f>Z349-AA349</x:f>
        <x:v>114</x:v>
      </x:c>
      <x:c r="AC349" s="52" t="n">
        <x:f>IFERROR(ABS(E349-D349)/E349,0)</x:f>
        <x:v>0.06493506493506493</x:v>
      </x:c>
      <x:c r="AD349" s="52" t="n">
        <x:f>IFERROR(L349/E349,1)</x:f>
        <x:v>1</x:v>
      </x:c>
      <x:c r="AE349" s="52" t="n">
        <x:f>IFERROR(X349/E349,1)</x:f>
        <x:v>1</x:v>
      </x:c>
      <x:c r="AF349" s="52" t="n">
        <x:f>IFERROR(I349/F349,0)</x:f>
        <x:v>0.6771428571428572</x:v>
      </x:c>
      <x:c r="AG349" s="52" t="n">
        <x:f>IFERROR(U349/F349,0)</x:f>
        <x:v>0.8128571428571428</x:v>
      </x:c>
    </x:row>
    <x:row r="350">
      <x:c r="A350" s="50" t="n">
        <x:v>46231</x:v>
      </x:c>
      <x:c r="B350" s="48" t="str">
        <x:v>Lassi</x:v>
      </x:c>
      <x:c r="C350" s="48" t="n">
        <x:v>7</x:v>
      </x:c>
      <x:c r="D350" s="54" t="n">
        <x:v>385</x:v>
      </x:c>
      <x:c r="E350" s="54" t="n">
        <x:v>329</x:v>
      </x:c>
      <x:c r="F350" s="54" t="n">
        <x:v>560</x:v>
      </x:c>
      <x:c r="G350" s="54" t="n">
        <x:f>ROUND(D350*0.97,0)</x:f>
        <x:v>373</x:v>
      </x:c>
      <x:c r="H350" s="52" t="n">
        <x:v>1.0148642575039954</x:v>
      </x:c>
      <x:c r="I350" s="54" t="n">
        <x:f>MIN(F350,ROUND(G350*H350,0))</x:f>
        <x:v>379</x:v>
      </x:c>
      <x:c r="J350" s="54" t="n">
        <x:f>Q345</x:f>
        <x:v>35</x:v>
      </x:c>
      <x:c r="K350" s="54" t="n">
        <x:f>I350+J350</x:f>
        <x:v>414</x:v>
      </x:c>
      <x:c r="L350" s="54" t="n">
        <x:f>MIN(E350,K350)</x:f>
        <x:v>329</x:v>
      </x:c>
      <x:c r="M350" s="54" t="n">
        <x:f>MAX(E350-K350,0)</x:f>
        <x:v>0</x:v>
      </x:c>
      <x:c r="N350" s="54" t="n">
        <x:f>MAX(K350-L350,0)</x:f>
        <x:v>85</x:v>
      </x:c>
      <x:c r="O350" s="52" t="n">
        <x:v>0.02</x:v>
      </x:c>
      <x:c r="P350" s="54" t="n">
        <x:f>MIN(N350,ROUND(N350*O350,0))</x:f>
        <x:v>2</x:v>
      </x:c>
      <x:c r="Q350" s="54" t="n">
        <x:f>N350-P350</x:f>
        <x:v>83</x:v>
      </x:c>
      <x:c r="R350" s="54" t="n">
        <x:v>69</x:v>
      </x:c>
      <x:c r="S350" s="54" t="n">
        <x:f>MIN(F350,MAX(0,ROUND(D350+R350-V350,0)))</x:f>
        <x:v>334</x:v>
      </x:c>
      <x:c r="T350" s="52" t="n">
        <x:v>1.0127905262696366</x:v>
      </x:c>
      <x:c r="U350" s="54" t="n">
        <x:f>MIN(F350,MAX(0,ROUND(S350*T350,0)))</x:f>
        <x:v>338</x:v>
      </x:c>
      <x:c r="V350" s="54" t="n">
        <x:f>AB345</x:f>
        <x:v>120</x:v>
      </x:c>
      <x:c r="W350" s="54" t="n">
        <x:f>U350+V350</x:f>
        <x:v>458</x:v>
      </x:c>
      <x:c r="X350" s="54" t="n">
        <x:f>MIN(E350,W350)</x:f>
        <x:v>329</x:v>
      </x:c>
      <x:c r="Y350" s="54" t="n">
        <x:f>MAX(E350-W350,0)</x:f>
        <x:v>0</x:v>
      </x:c>
      <x:c r="Z350" s="54" t="n">
        <x:f>MAX(W350-X350,0)</x:f>
        <x:v>129</x:v>
      </x:c>
      <x:c r="AA350" s="54" t="n">
        <x:f>MIN(Z350,ROUND(Z350*O350,0))</x:f>
        <x:v>3</x:v>
      </x:c>
      <x:c r="AB350" s="54" t="n">
        <x:f>Z350-AA350</x:f>
        <x:v>126</x:v>
      </x:c>
      <x:c r="AC350" s="52" t="n">
        <x:f>IFERROR(ABS(E350-D350)/E350,0)</x:f>
        <x:v>0.1702127659574468</x:v>
      </x:c>
      <x:c r="AD350" s="52" t="n">
        <x:f>IFERROR(L350/E350,1)</x:f>
        <x:v>1</x:v>
      </x:c>
      <x:c r="AE350" s="52" t="n">
        <x:f>IFERROR(X350/E350,1)</x:f>
        <x:v>1</x:v>
      </x:c>
      <x:c r="AF350" s="52" t="n">
        <x:f>IFERROR(I350/F350,0)</x:f>
        <x:v>0.6767857142857143</x:v>
      </x:c>
      <x:c r="AG350" s="52" t="n">
        <x:f>IFERROR(U350/F350,0)</x:f>
        <x:v>0.6035714285714285</x:v>
      </x:c>
    </x:row>
    <x:row r="351">
      <x:c r="A351" s="50" t="n">
        <x:v>46231</x:v>
      </x:c>
      <x:c r="B351" s="48" t="str">
        <x:v>Paneer</x:v>
      </x:c>
      <x:c r="C351" s="48" t="n">
        <x:v>5</x:v>
      </x:c>
      <x:c r="D351" s="54" t="n">
        <x:v>156</x:v>
      </x:c>
      <x:c r="E351" s="54" t="n">
        <x:v>130</x:v>
      </x:c>
      <x:c r="F351" s="54" t="n">
        <x:v>230</x:v>
      </x:c>
      <x:c r="G351" s="54" t="n">
        <x:f>ROUND(D351*0.97,0)</x:f>
        <x:v>151</x:v>
      </x:c>
      <x:c r="H351" s="52" t="n">
        <x:v>1.0036966218963814</x:v>
      </x:c>
      <x:c r="I351" s="54" t="n">
        <x:f>MIN(F351,ROUND(G351*H351,0))</x:f>
        <x:v>152</x:v>
      </x:c>
      <x:c r="J351" s="54" t="n">
        <x:f>Q346</x:f>
        <x:v>17</x:v>
      </x:c>
      <x:c r="K351" s="54" t="n">
        <x:f>I351+J351</x:f>
        <x:v>169</x:v>
      </x:c>
      <x:c r="L351" s="54" t="n">
        <x:f>MIN(E351,K351)</x:f>
        <x:v>130</x:v>
      </x:c>
      <x:c r="M351" s="54" t="n">
        <x:f>MAX(E351-K351,0)</x:f>
        <x:v>0</x:v>
      </x:c>
      <x:c r="N351" s="54" t="n">
        <x:f>MAX(K351-L351,0)</x:f>
        <x:v>39</x:v>
      </x:c>
      <x:c r="O351" s="52" t="n">
        <x:v>0.025</x:v>
      </x:c>
      <x:c r="P351" s="54" t="n">
        <x:f>MIN(N351,ROUND(N351*O351,0))</x:f>
        <x:v>1</x:v>
      </x:c>
      <x:c r="Q351" s="54" t="n">
        <x:f>N351-P351</x:f>
        <x:v>38</x:v>
      </x:c>
      <x:c r="R351" s="54" t="n">
        <x:v>31</x:v>
      </x:c>
      <x:c r="S351" s="54" t="n">
        <x:f>MIN(F351,MAX(0,ROUND(D351+R351-V351,0)))</x:f>
        <x:v>142</x:v>
      </x:c>
      <x:c r="T351" s="52" t="n">
        <x:v>1.0114000960263154</x:v>
      </x:c>
      <x:c r="U351" s="54" t="n">
        <x:f>MIN(F351,MAX(0,ROUND(S351*T351,0)))</x:f>
        <x:v>144</x:v>
      </x:c>
      <x:c r="V351" s="54" t="n">
        <x:f>AB346</x:f>
        <x:v>45</x:v>
      </x:c>
      <x:c r="W351" s="54" t="n">
        <x:f>U351+V351</x:f>
        <x:v>189</x:v>
      </x:c>
      <x:c r="X351" s="54" t="n">
        <x:f>MIN(E351,W351)</x:f>
        <x:v>130</x:v>
      </x:c>
      <x:c r="Y351" s="54" t="n">
        <x:f>MAX(E351-W351,0)</x:f>
        <x:v>0</x:v>
      </x:c>
      <x:c r="Z351" s="54" t="n">
        <x:f>MAX(W351-X351,0)</x:f>
        <x:v>59</x:v>
      </x:c>
      <x:c r="AA351" s="54" t="n">
        <x:f>MIN(Z351,ROUND(Z351*O351,0))</x:f>
        <x:v>1</x:v>
      </x:c>
      <x:c r="AB351" s="54" t="n">
        <x:f>Z351-AA351</x:f>
        <x:v>58</x:v>
      </x:c>
      <x:c r="AC351" s="52" t="n">
        <x:f>IFERROR(ABS(E351-D351)/E351,0)</x:f>
        <x:v>0.2</x:v>
      </x:c>
      <x:c r="AD351" s="52" t="n">
        <x:f>IFERROR(L351/E351,1)</x:f>
        <x:v>1</x:v>
      </x:c>
      <x:c r="AE351" s="52" t="n">
        <x:f>IFERROR(X351/E351,1)</x:f>
        <x:v>1</x:v>
      </x:c>
      <x:c r="AF351" s="52" t="n">
        <x:f>IFERROR(I351/F351,0)</x:f>
        <x:v>0.6608695652173913</x:v>
      </x:c>
      <x:c r="AG351" s="52" t="n">
        <x:f>IFERROR(U351/F351,0)</x:f>
        <x:v>0.6260869565217392</x:v>
      </x:c>
    </x:row>
    <x:row r="352">
      <x:c r="A352" s="50" t="n">
        <x:v>46232</x:v>
      </x:c>
      <x:c r="B352" s="48" t="str">
        <x:v>Toned Milk</x:v>
      </x:c>
      <x:c r="C352" s="48" t="n">
        <x:v>2</x:v>
      </x:c>
      <x:c r="D352" s="54" t="n">
        <x:v>1724</x:v>
      </x:c>
      <x:c r="E352" s="54" t="n">
        <x:v>1871</x:v>
      </x:c>
      <x:c r="F352" s="54" t="n">
        <x:v>2250</x:v>
      </x:c>
      <x:c r="G352" s="54" t="n">
        <x:f>ROUND(D352*0.97,0)</x:f>
        <x:v>1672</x:v>
      </x:c>
      <x:c r="H352" s="52" t="n">
        <x:v>0.987761535888753</x:v>
      </x:c>
      <x:c r="I352" s="54" t="n">
        <x:f>MIN(F352,ROUND(G352*H352,0))</x:f>
        <x:v>1652</x:v>
      </x:c>
      <x:c r="J352" s="54" t="n">
        <x:f>Q347</x:f>
        <x:v>0</x:v>
      </x:c>
      <x:c r="K352" s="54" t="n">
        <x:f>I352+J352</x:f>
        <x:v>1652</x:v>
      </x:c>
      <x:c r="L352" s="54" t="n">
        <x:f>MIN(E352,K352)</x:f>
        <x:v>1652</x:v>
      </x:c>
      <x:c r="M352" s="54" t="n">
        <x:f>MAX(E352-K352,0)</x:f>
        <x:v>219</x:v>
      </x:c>
      <x:c r="N352" s="54" t="n">
        <x:f>MAX(K352-L352,0)</x:f>
        <x:v>0</x:v>
      </x:c>
      <x:c r="O352" s="52" t="n">
        <x:v>0.025</x:v>
      </x:c>
      <x:c r="P352" s="54" t="n">
        <x:f>MIN(N352,ROUND(N352*O352,0))</x:f>
        <x:v>0</x:v>
      </x:c>
      <x:c r="Q352" s="54" t="n">
        <x:f>N352-P352</x:f>
        <x:v>0</x:v>
      </x:c>
      <x:c r="R352" s="54" t="n">
        <x:v>207</x:v>
      </x:c>
      <x:c r="S352" s="54" t="n">
        <x:f>MIN(F352,MAX(0,ROUND(D352+R352-V352,0)))</x:f>
        <x:v>1931</x:v>
      </x:c>
      <x:c r="T352" s="52" t="n">
        <x:v>0.9926411588170047</x:v>
      </x:c>
      <x:c r="U352" s="54" t="n">
        <x:f>MIN(F352,MAX(0,ROUND(S352*T352,0)))</x:f>
        <x:v>1917</x:v>
      </x:c>
      <x:c r="V352" s="54" t="n">
        <x:f>AB347</x:f>
        <x:v>0</x:v>
      </x:c>
      <x:c r="W352" s="54" t="n">
        <x:f>U352+V352</x:f>
        <x:v>1917</x:v>
      </x:c>
      <x:c r="X352" s="54" t="n">
        <x:f>MIN(E352,W352)</x:f>
        <x:v>1871</x:v>
      </x:c>
      <x:c r="Y352" s="54" t="n">
        <x:f>MAX(E352-W352,0)</x:f>
        <x:v>0</x:v>
      </x:c>
      <x:c r="Z352" s="54" t="n">
        <x:f>MAX(W352-X352,0)</x:f>
        <x:v>46</x:v>
      </x:c>
      <x:c r="AA352" s="54" t="n">
        <x:f>MIN(Z352,ROUND(Z352*O352,0))</x:f>
        <x:v>1</x:v>
      </x:c>
      <x:c r="AB352" s="54" t="n">
        <x:f>Z352-AA352</x:f>
        <x:v>45</x:v>
      </x:c>
      <x:c r="AC352" s="52" t="n">
        <x:f>IFERROR(ABS(E352-D352)/E352,0)</x:f>
        <x:v>0.07856761090326028</x:v>
      </x:c>
      <x:c r="AD352" s="52" t="n">
        <x:f>IFERROR(L352/E352,1)</x:f>
        <x:v>0.882950293960449</x:v>
      </x:c>
      <x:c r="AE352" s="52" t="n">
        <x:f>IFERROR(X352/E352,1)</x:f>
        <x:v>1</x:v>
      </x:c>
      <x:c r="AF352" s="52" t="n">
        <x:f>IFERROR(I352/F352,0)</x:f>
        <x:v>0.7342222222222222</x:v>
      </x:c>
      <x:c r="AG352" s="52" t="n">
        <x:f>IFERROR(U352/F352,0)</x:f>
        <x:v>0.852</x:v>
      </x:c>
    </x:row>
    <x:row r="353">
      <x:c r="A353" s="50" t="n">
        <x:v>46232</x:v>
      </x:c>
      <x:c r="B353" s="48" t="str">
        <x:v>Full Cream Milk</x:v>
      </x:c>
      <x:c r="C353" s="48" t="n">
        <x:v>2</x:v>
      </x:c>
      <x:c r="D353" s="54" t="n">
        <x:v>862</x:v>
      </x:c>
      <x:c r="E353" s="54" t="n">
        <x:v>707</x:v>
      </x:c>
      <x:c r="F353" s="54" t="n">
        <x:v>1200</x:v>
      </x:c>
      <x:c r="G353" s="54" t="n">
        <x:f>ROUND(D353*0.97,0)</x:f>
        <x:v>836</x:v>
      </x:c>
      <x:c r="H353" s="52" t="n">
        <x:v>1.0110249456155682</x:v>
      </x:c>
      <x:c r="I353" s="54" t="n">
        <x:f>MIN(F353,ROUND(G353*H353,0))</x:f>
        <x:v>845</x:v>
      </x:c>
      <x:c r="J353" s="54" t="n">
        <x:f>Q348</x:f>
        <x:v>36</x:v>
      </x:c>
      <x:c r="K353" s="54" t="n">
        <x:f>I353+J353</x:f>
        <x:v>881</x:v>
      </x:c>
      <x:c r="L353" s="54" t="n">
        <x:f>MIN(E353,K353)</x:f>
        <x:v>707</x:v>
      </x:c>
      <x:c r="M353" s="54" t="n">
        <x:f>MAX(E353-K353,0)</x:f>
        <x:v>0</x:v>
      </x:c>
      <x:c r="N353" s="54" t="n">
        <x:f>MAX(K353-L353,0)</x:f>
        <x:v>174</x:v>
      </x:c>
      <x:c r="O353" s="52" t="n">
        <x:v>0.03</x:v>
      </x:c>
      <x:c r="P353" s="54" t="n">
        <x:f>MIN(N353,ROUND(N353*O353,0))</x:f>
        <x:v>5</x:v>
      </x:c>
      <x:c r="Q353" s="54" t="n">
        <x:f>N353-P353</x:f>
        <x:v>169</x:v>
      </x:c>
      <x:c r="R353" s="54" t="n">
        <x:v>103</x:v>
      </x:c>
      <x:c r="S353" s="54" t="n">
        <x:f>MIN(F353,MAX(0,ROUND(D353+R353-V353,0)))</x:f>
        <x:v>798</x:v>
      </x:c>
      <x:c r="T353" s="52" t="n">
        <x:v>0.9964102320689484</x:v>
      </x:c>
      <x:c r="U353" s="54" t="n">
        <x:f>MIN(F353,MAX(0,ROUND(S353*T353,0)))</x:f>
        <x:v>795</x:v>
      </x:c>
      <x:c r="V353" s="54" t="n">
        <x:f>AB348</x:f>
        <x:v>167</x:v>
      </x:c>
      <x:c r="W353" s="54" t="n">
        <x:f>U353+V353</x:f>
        <x:v>962</x:v>
      </x:c>
      <x:c r="X353" s="54" t="n">
        <x:f>MIN(E353,W353)</x:f>
        <x:v>707</x:v>
      </x:c>
      <x:c r="Y353" s="54" t="n">
        <x:f>MAX(E353-W353,0)</x:f>
        <x:v>0</x:v>
      </x:c>
      <x:c r="Z353" s="54" t="n">
        <x:f>MAX(W353-X353,0)</x:f>
        <x:v>255</x:v>
      </x:c>
      <x:c r="AA353" s="54" t="n">
        <x:f>MIN(Z353,ROUND(Z353*O353,0))</x:f>
        <x:v>8</x:v>
      </x:c>
      <x:c r="AB353" s="54" t="n">
        <x:f>Z353-AA353</x:f>
        <x:v>247</x:v>
      </x:c>
      <x:c r="AC353" s="52" t="n">
        <x:f>IFERROR(ABS(E353-D353)/E353,0)</x:f>
        <x:v>0.21923620933521923</x:v>
      </x:c>
      <x:c r="AD353" s="52" t="n">
        <x:f>IFERROR(L353/E353,1)</x:f>
        <x:v>1</x:v>
      </x:c>
      <x:c r="AE353" s="52" t="n">
        <x:f>IFERROR(X353/E353,1)</x:f>
        <x:v>1</x:v>
      </x:c>
      <x:c r="AF353" s="52" t="n">
        <x:f>IFERROR(I353/F353,0)</x:f>
        <x:v>0.7041666666666667</x:v>
      </x:c>
      <x:c r="AG353" s="52" t="n">
        <x:f>IFERROR(U353/F353,0)</x:f>
        <x:v>0.6625</x:v>
      </x:c>
    </x:row>
    <x:row r="354">
      <x:c r="A354" s="50" t="n">
        <x:v>46232</x:v>
      </x:c>
      <x:c r="B354" s="48" t="str">
        <x:v>Curd</x:v>
      </x:c>
      <x:c r="C354" s="48" t="n">
        <x:v>7</x:v>
      </x:c>
      <x:c r="D354" s="54" t="n">
        <x:v>502</x:v>
      </x:c>
      <x:c r="E354" s="54" t="n">
        <x:v>564</x:v>
      </x:c>
      <x:c r="F354" s="54" t="n">
        <x:v>700</x:v>
      </x:c>
      <x:c r="G354" s="54" t="n">
        <x:f>ROUND(D354*0.97,0)</x:f>
        <x:v>487</x:v>
      </x:c>
      <x:c r="H354" s="52" t="n">
        <x:v>0.9897480501758519</x:v>
      </x:c>
      <x:c r="I354" s="54" t="n">
        <x:f>MIN(F354,ROUND(G354*H354,0))</x:f>
        <x:v>482</x:v>
      </x:c>
      <x:c r="J354" s="54" t="n">
        <x:f>Q349</x:f>
        <x:v>12</x:v>
      </x:c>
      <x:c r="K354" s="54" t="n">
        <x:f>I354+J354</x:f>
        <x:v>494</x:v>
      </x:c>
      <x:c r="L354" s="54" t="n">
        <x:f>MIN(E354,K354)</x:f>
        <x:v>494</x:v>
      </x:c>
      <x:c r="M354" s="54" t="n">
        <x:f>MAX(E354-K354,0)</x:f>
        <x:v>70</x:v>
      </x:c>
      <x:c r="N354" s="54" t="n">
        <x:f>MAX(K354-L354,0)</x:f>
        <x:v>0</x:v>
      </x:c>
      <x:c r="O354" s="52" t="n">
        <x:v>0.018</x:v>
      </x:c>
      <x:c r="P354" s="54" t="n">
        <x:f>MIN(N354,ROUND(N354*O354,0))</x:f>
        <x:v>0</x:v>
      </x:c>
      <x:c r="Q354" s="54" t="n">
        <x:f>N354-P354</x:f>
        <x:v>0</x:v>
      </x:c>
      <x:c r="R354" s="54" t="n">
        <x:v>90</x:v>
      </x:c>
      <x:c r="S354" s="54" t="n">
        <x:f>MIN(F354,MAX(0,ROUND(D354+R354-V354,0)))</x:f>
        <x:v>478</x:v>
      </x:c>
      <x:c r="T354" s="52" t="n">
        <x:v>0.9957338841360541</x:v>
      </x:c>
      <x:c r="U354" s="54" t="n">
        <x:f>MIN(F354,MAX(0,ROUND(S354*T354,0)))</x:f>
        <x:v>476</x:v>
      </x:c>
      <x:c r="V354" s="54" t="n">
        <x:f>AB349</x:f>
        <x:v>114</x:v>
      </x:c>
      <x:c r="W354" s="54" t="n">
        <x:f>U354+V354</x:f>
        <x:v>590</x:v>
      </x:c>
      <x:c r="X354" s="54" t="n">
        <x:f>MIN(E354,W354)</x:f>
        <x:v>564</x:v>
      </x:c>
      <x:c r="Y354" s="54" t="n">
        <x:f>MAX(E354-W354,0)</x:f>
        <x:v>0</x:v>
      </x:c>
      <x:c r="Z354" s="54" t="n">
        <x:f>MAX(W354-X354,0)</x:f>
        <x:v>26</x:v>
      </x:c>
      <x:c r="AA354" s="54" t="n">
        <x:f>MIN(Z354,ROUND(Z354*O354,0))</x:f>
        <x:v>0</x:v>
      </x:c>
      <x:c r="AB354" s="54" t="n">
        <x:f>Z354-AA354</x:f>
        <x:v>26</x:v>
      </x:c>
      <x:c r="AC354" s="52" t="n">
        <x:f>IFERROR(ABS(E354-D354)/E354,0)</x:f>
        <x:v>0.1099290780141844</x:v>
      </x:c>
      <x:c r="AD354" s="52" t="n">
        <x:f>IFERROR(L354/E354,1)</x:f>
        <x:v>0.875886524822695</x:v>
      </x:c>
      <x:c r="AE354" s="52" t="n">
        <x:f>IFERROR(X354/E354,1)</x:f>
        <x:v>1</x:v>
      </x:c>
      <x:c r="AF354" s="52" t="n">
        <x:f>IFERROR(I354/F354,0)</x:f>
        <x:v>0.6885714285714286</x:v>
      </x:c>
      <x:c r="AG354" s="52" t="n">
        <x:f>IFERROR(U354/F354,0)</x:f>
        <x:v>0.68</x:v>
      </x:c>
    </x:row>
    <x:row r="355">
      <x:c r="A355" s="50" t="n">
        <x:v>46232</x:v>
      </x:c>
      <x:c r="B355" s="48" t="str">
        <x:v>Lassi</x:v>
      </x:c>
      <x:c r="C355" s="48" t="n">
        <x:v>7</x:v>
      </x:c>
      <x:c r="D355" s="54" t="n">
        <x:v>402</x:v>
      </x:c>
      <x:c r="E355" s="54" t="n">
        <x:v>448</x:v>
      </x:c>
      <x:c r="F355" s="54" t="n">
        <x:v>560</x:v>
      </x:c>
      <x:c r="G355" s="54" t="n">
        <x:f>ROUND(D355*0.97,0)</x:f>
        <x:v>390</x:v>
      </x:c>
      <x:c r="H355" s="52" t="n">
        <x:v>0.9930299028948111</x:v>
      </x:c>
      <x:c r="I355" s="54" t="n">
        <x:f>MIN(F355,ROUND(G355*H355,0))</x:f>
        <x:v>387</x:v>
      </x:c>
      <x:c r="J355" s="54" t="n">
        <x:f>Q350</x:f>
        <x:v>83</x:v>
      </x:c>
      <x:c r="K355" s="54" t="n">
        <x:f>I355+J355</x:f>
        <x:v>470</x:v>
      </x:c>
      <x:c r="L355" s="54" t="n">
        <x:f>MIN(E355,K355)</x:f>
        <x:v>448</x:v>
      </x:c>
      <x:c r="M355" s="54" t="n">
        <x:f>MAX(E355-K355,0)</x:f>
        <x:v>0</x:v>
      </x:c>
      <x:c r="N355" s="54" t="n">
        <x:f>MAX(K355-L355,0)</x:f>
        <x:v>22</x:v>
      </x:c>
      <x:c r="O355" s="52" t="n">
        <x:v>0.02</x:v>
      </x:c>
      <x:c r="P355" s="54" t="n">
        <x:f>MIN(N355,ROUND(N355*O355,0))</x:f>
        <x:v>0</x:v>
      </x:c>
      <x:c r="Q355" s="54" t="n">
        <x:f>N355-P355</x:f>
        <x:v>22</x:v>
      </x:c>
      <x:c r="R355" s="54" t="n">
        <x:v>72</x:v>
      </x:c>
      <x:c r="S355" s="54" t="n">
        <x:f>MIN(F355,MAX(0,ROUND(D355+R355-V355,0)))</x:f>
        <x:v>348</x:v>
      </x:c>
      <x:c r="T355" s="52" t="n">
        <x:v>1.0049239451764818</x:v>
      </x:c>
      <x:c r="U355" s="54" t="n">
        <x:f>MIN(F355,MAX(0,ROUND(S355*T355,0)))</x:f>
        <x:v>350</x:v>
      </x:c>
      <x:c r="V355" s="54" t="n">
        <x:f>AB350</x:f>
        <x:v>126</x:v>
      </x:c>
      <x:c r="W355" s="54" t="n">
        <x:f>U355+V355</x:f>
        <x:v>476</x:v>
      </x:c>
      <x:c r="X355" s="54" t="n">
        <x:f>MIN(E355,W355)</x:f>
        <x:v>448</x:v>
      </x:c>
      <x:c r="Y355" s="54" t="n">
        <x:f>MAX(E355-W355,0)</x:f>
        <x:v>0</x:v>
      </x:c>
      <x:c r="Z355" s="54" t="n">
        <x:f>MAX(W355-X355,0)</x:f>
        <x:v>28</x:v>
      </x:c>
      <x:c r="AA355" s="54" t="n">
        <x:f>MIN(Z355,ROUND(Z355*O355,0))</x:f>
        <x:v>1</x:v>
      </x:c>
      <x:c r="AB355" s="54" t="n">
        <x:f>Z355-AA355</x:f>
        <x:v>27</x:v>
      </x:c>
      <x:c r="AC355" s="52" t="n">
        <x:f>IFERROR(ABS(E355-D355)/E355,0)</x:f>
        <x:v>0.10267857142857142</x:v>
      </x:c>
      <x:c r="AD355" s="52" t="n">
        <x:f>IFERROR(L355/E355,1)</x:f>
        <x:v>1</x:v>
      </x:c>
      <x:c r="AE355" s="52" t="n">
        <x:f>IFERROR(X355/E355,1)</x:f>
        <x:v>1</x:v>
      </x:c>
      <x:c r="AF355" s="52" t="n">
        <x:f>IFERROR(I355/F355,0)</x:f>
        <x:v>0.6910714285714286</x:v>
      </x:c>
      <x:c r="AG355" s="52" t="n">
        <x:f>IFERROR(U355/F355,0)</x:f>
        <x:v>0.625</x:v>
      </x:c>
    </x:row>
    <x:row r="356">
      <x:c r="A356" s="50" t="n">
        <x:v>46232</x:v>
      </x:c>
      <x:c r="B356" s="48" t="str">
        <x:v>Paneer</x:v>
      </x:c>
      <x:c r="C356" s="48" t="n">
        <x:v>5</x:v>
      </x:c>
      <x:c r="D356" s="54" t="n">
        <x:v>161</x:v>
      </x:c>
      <x:c r="E356" s="54" t="n">
        <x:v>134</x:v>
      </x:c>
      <x:c r="F356" s="54" t="n">
        <x:v>230</x:v>
      </x:c>
      <x:c r="G356" s="54" t="n">
        <x:f>ROUND(D356*0.97,0)</x:f>
        <x:v>156</x:v>
      </x:c>
      <x:c r="H356" s="52" t="n">
        <x:v>0.9909208535138985</x:v>
      </x:c>
      <x:c r="I356" s="54" t="n">
        <x:f>MIN(F356,ROUND(G356*H356,0))</x:f>
        <x:v>155</x:v>
      </x:c>
      <x:c r="J356" s="54" t="n">
        <x:f>Q351</x:f>
        <x:v>38</x:v>
      </x:c>
      <x:c r="K356" s="54" t="n">
        <x:f>I356+J356</x:f>
        <x:v>193</x:v>
      </x:c>
      <x:c r="L356" s="54" t="n">
        <x:f>MIN(E356,K356)</x:f>
        <x:v>134</x:v>
      </x:c>
      <x:c r="M356" s="54" t="n">
        <x:f>MAX(E356-K356,0)</x:f>
        <x:v>0</x:v>
      </x:c>
      <x:c r="N356" s="54" t="n">
        <x:f>MAX(K356-L356,0)</x:f>
        <x:v>59</x:v>
      </x:c>
      <x:c r="O356" s="52" t="n">
        <x:v>0.025</x:v>
      </x:c>
      <x:c r="P356" s="54" t="n">
        <x:f>MIN(N356,ROUND(N356*O356,0))</x:f>
        <x:v>1</x:v>
      </x:c>
      <x:c r="Q356" s="54" t="n">
        <x:f>N356-P356</x:f>
        <x:v>58</x:v>
      </x:c>
      <x:c r="R356" s="54" t="n">
        <x:v>32</x:v>
      </x:c>
      <x:c r="S356" s="54" t="n">
        <x:f>MIN(F356,MAX(0,ROUND(D356+R356-V356,0)))</x:f>
        <x:v>135</x:v>
      </x:c>
      <x:c r="T356" s="52" t="n">
        <x:v>0.9882867858764897</x:v>
      </x:c>
      <x:c r="U356" s="54" t="n">
        <x:f>MIN(F356,MAX(0,ROUND(S356*T356,0)))</x:f>
        <x:v>133</x:v>
      </x:c>
      <x:c r="V356" s="54" t="n">
        <x:f>AB351</x:f>
        <x:v>58</x:v>
      </x:c>
      <x:c r="W356" s="54" t="n">
        <x:f>U356+V356</x:f>
        <x:v>191</x:v>
      </x:c>
      <x:c r="X356" s="54" t="n">
        <x:f>MIN(E356,W356)</x:f>
        <x:v>134</x:v>
      </x:c>
      <x:c r="Y356" s="54" t="n">
        <x:f>MAX(E356-W356,0)</x:f>
        <x:v>0</x:v>
      </x:c>
      <x:c r="Z356" s="54" t="n">
        <x:f>MAX(W356-X356,0)</x:f>
        <x:v>57</x:v>
      </x:c>
      <x:c r="AA356" s="54" t="n">
        <x:f>MIN(Z356,ROUND(Z356*O356,0))</x:f>
        <x:v>1</x:v>
      </x:c>
      <x:c r="AB356" s="54" t="n">
        <x:f>Z356-AA356</x:f>
        <x:v>56</x:v>
      </x:c>
      <x:c r="AC356" s="52" t="n">
        <x:f>IFERROR(ABS(E356-D356)/E356,0)</x:f>
        <x:v>0.20149253731343283</x:v>
      </x:c>
      <x:c r="AD356" s="52" t="n">
        <x:f>IFERROR(L356/E356,1)</x:f>
        <x:v>1</x:v>
      </x:c>
      <x:c r="AE356" s="52" t="n">
        <x:f>IFERROR(X356/E356,1)</x:f>
        <x:v>1</x:v>
      </x:c>
      <x:c r="AF356" s="52" t="n">
        <x:f>IFERROR(I356/F356,0)</x:f>
        <x:v>0.6739130434782609</x:v>
      </x:c>
      <x:c r="AG356" s="52" t="n">
        <x:f>IFERROR(U356/F356,0)</x:f>
        <x:v>0.5782608695652174</x:v>
      </x:c>
    </x:row>
    <x:row r="357">
      <x:c r="A357" s="50" t="n">
        <x:v>46233</x:v>
      </x:c>
      <x:c r="B357" s="48" t="str">
        <x:v>Toned Milk</x:v>
      </x:c>
      <x:c r="C357" s="48" t="n">
        <x:v>2</x:v>
      </x:c>
      <x:c r="D357" s="54" t="n">
        <x:v>1742</x:v>
      </x:c>
      <x:c r="E357" s="54" t="n">
        <x:v>1983</x:v>
      </x:c>
      <x:c r="F357" s="54" t="n">
        <x:v>2250</x:v>
      </x:c>
      <x:c r="G357" s="54" t="n">
        <x:f>ROUND(D357*0.97,0)</x:f>
        <x:v>1690</x:v>
      </x:c>
      <x:c r="H357" s="52" t="n">
        <x:v>1.0101243605620163</x:v>
      </x:c>
      <x:c r="I357" s="54" t="n">
        <x:f>MIN(F357,ROUND(G357*H357,0))</x:f>
        <x:v>1707</x:v>
      </x:c>
      <x:c r="J357" s="54" t="n">
        <x:f>Q352</x:f>
        <x:v>0</x:v>
      </x:c>
      <x:c r="K357" s="54" t="n">
        <x:f>I357+J357</x:f>
        <x:v>1707</x:v>
      </x:c>
      <x:c r="L357" s="54" t="n">
        <x:f>MIN(E357,K357)</x:f>
        <x:v>1707</x:v>
      </x:c>
      <x:c r="M357" s="54" t="n">
        <x:f>MAX(E357-K357,0)</x:f>
        <x:v>276</x:v>
      </x:c>
      <x:c r="N357" s="54" t="n">
        <x:f>MAX(K357-L357,0)</x:f>
        <x:v>0</x:v>
      </x:c>
      <x:c r="O357" s="52" t="n">
        <x:v>0.025</x:v>
      </x:c>
      <x:c r="P357" s="54" t="n">
        <x:f>MIN(N357,ROUND(N357*O357,0))</x:f>
        <x:v>0</x:v>
      </x:c>
      <x:c r="Q357" s="54" t="n">
        <x:f>N357-P357</x:f>
        <x:v>0</x:v>
      </x:c>
      <x:c r="R357" s="54" t="n">
        <x:v>209</x:v>
      </x:c>
      <x:c r="S357" s="54" t="n">
        <x:f>MIN(F357,MAX(0,ROUND(D357+R357-V357,0)))</x:f>
        <x:v>1906</x:v>
      </x:c>
      <x:c r="T357" s="52" t="n">
        <x:v>1.0052212995602938</x:v>
      </x:c>
      <x:c r="U357" s="54" t="n">
        <x:f>MIN(F357,MAX(0,ROUND(S357*T357,0)))</x:f>
        <x:v>1916</x:v>
      </x:c>
      <x:c r="V357" s="54" t="n">
        <x:f>AB352</x:f>
        <x:v>45</x:v>
      </x:c>
      <x:c r="W357" s="54" t="n">
        <x:f>U357+V357</x:f>
        <x:v>1961</x:v>
      </x:c>
      <x:c r="X357" s="54" t="n">
        <x:f>MIN(E357,W357)</x:f>
        <x:v>1961</x:v>
      </x:c>
      <x:c r="Y357" s="54" t="n">
        <x:f>MAX(E357-W357,0)</x:f>
        <x:v>22</x:v>
      </x:c>
      <x:c r="Z357" s="54" t="n">
        <x:f>MAX(W357-X357,0)</x:f>
        <x:v>0</x:v>
      </x:c>
      <x:c r="AA357" s="54" t="n">
        <x:f>MIN(Z357,ROUND(Z357*O357,0))</x:f>
        <x:v>0</x:v>
      </x:c>
      <x:c r="AB357" s="54" t="n">
        <x:f>Z357-AA357</x:f>
        <x:v>0</x:v>
      </x:c>
      <x:c r="AC357" s="52" t="n">
        <x:f>IFERROR(ABS(E357-D357)/E357,0)</x:f>
        <x:v>0.12153303076147251</x:v>
      </x:c>
      <x:c r="AD357" s="52" t="n">
        <x:f>IFERROR(L357/E357,1)</x:f>
        <x:v>0.8608169440242057</x:v>
      </x:c>
      <x:c r="AE357" s="52" t="n">
        <x:f>IFERROR(X357/E357,1)</x:f>
        <x:v>0.988905698436712</x:v>
      </x:c>
      <x:c r="AF357" s="52" t="n">
        <x:f>IFERROR(I357/F357,0)</x:f>
        <x:v>0.7586666666666667</x:v>
      </x:c>
      <x:c r="AG357" s="52" t="n">
        <x:f>IFERROR(U357/F357,0)</x:f>
        <x:v>0.8515555555555555</x:v>
      </x:c>
    </x:row>
    <x:row r="358">
      <x:c r="A358" s="50" t="n">
        <x:v>46233</x:v>
      </x:c>
      <x:c r="B358" s="48" t="str">
        <x:v>Full Cream Milk</x:v>
      </x:c>
      <x:c r="C358" s="48" t="n">
        <x:v>2</x:v>
      </x:c>
      <x:c r="D358" s="54" t="n">
        <x:v>871</x:v>
      </x:c>
      <x:c r="E358" s="54" t="n">
        <x:v>790</x:v>
      </x:c>
      <x:c r="F358" s="54" t="n">
        <x:v>1200</x:v>
      </x:c>
      <x:c r="G358" s="54" t="n">
        <x:f>ROUND(D358*0.97,0)</x:f>
        <x:v>845</x:v>
      </x:c>
      <x:c r="H358" s="52" t="n">
        <x:v>1.016286074697008</x:v>
      </x:c>
      <x:c r="I358" s="54" t="n">
        <x:f>MIN(F358,ROUND(G358*H358,0))</x:f>
        <x:v>859</x:v>
      </x:c>
      <x:c r="J358" s="54" t="n">
        <x:f>Q353</x:f>
        <x:v>169</x:v>
      </x:c>
      <x:c r="K358" s="54" t="n">
        <x:f>I358+J358</x:f>
        <x:v>1028</x:v>
      </x:c>
      <x:c r="L358" s="54" t="n">
        <x:f>MIN(E358,K358)</x:f>
        <x:v>790</x:v>
      </x:c>
      <x:c r="M358" s="54" t="n">
        <x:f>MAX(E358-K358,0)</x:f>
        <x:v>0</x:v>
      </x:c>
      <x:c r="N358" s="54" t="n">
        <x:f>MAX(K358-L358,0)</x:f>
        <x:v>238</x:v>
      </x:c>
      <x:c r="O358" s="52" t="n">
        <x:v>0.03</x:v>
      </x:c>
      <x:c r="P358" s="54" t="n">
        <x:f>MIN(N358,ROUND(N358*O358,0))</x:f>
        <x:v>7</x:v>
      </x:c>
      <x:c r="Q358" s="54" t="n">
        <x:f>N358-P358</x:f>
        <x:v>231</x:v>
      </x:c>
      <x:c r="R358" s="54" t="n">
        <x:v>105</x:v>
      </x:c>
      <x:c r="S358" s="54" t="n">
        <x:f>MIN(F358,MAX(0,ROUND(D358+R358-V358,0)))</x:f>
        <x:v>729</x:v>
      </x:c>
      <x:c r="T358" s="52" t="n">
        <x:v>1.0092491460477648</x:v>
      </x:c>
      <x:c r="U358" s="54" t="n">
        <x:f>MIN(F358,MAX(0,ROUND(S358*T358,0)))</x:f>
        <x:v>736</x:v>
      </x:c>
      <x:c r="V358" s="54" t="n">
        <x:f>AB353</x:f>
        <x:v>247</x:v>
      </x:c>
      <x:c r="W358" s="54" t="n">
        <x:f>U358+V358</x:f>
        <x:v>983</x:v>
      </x:c>
      <x:c r="X358" s="54" t="n">
        <x:f>MIN(E358,W358)</x:f>
        <x:v>790</x:v>
      </x:c>
      <x:c r="Y358" s="54" t="n">
        <x:f>MAX(E358-W358,0)</x:f>
        <x:v>0</x:v>
      </x:c>
      <x:c r="Z358" s="54" t="n">
        <x:f>MAX(W358-X358,0)</x:f>
        <x:v>193</x:v>
      </x:c>
      <x:c r="AA358" s="54" t="n">
        <x:f>MIN(Z358,ROUND(Z358*O358,0))</x:f>
        <x:v>6</x:v>
      </x:c>
      <x:c r="AB358" s="54" t="n">
        <x:f>Z358-AA358</x:f>
        <x:v>187</x:v>
      </x:c>
      <x:c r="AC358" s="52" t="n">
        <x:f>IFERROR(ABS(E358-D358)/E358,0)</x:f>
        <x:v>0.10253164556962026</x:v>
      </x:c>
      <x:c r="AD358" s="52" t="n">
        <x:f>IFERROR(L358/E358,1)</x:f>
        <x:v>1</x:v>
      </x:c>
      <x:c r="AE358" s="52" t="n">
        <x:f>IFERROR(X358/E358,1)</x:f>
        <x:v>1</x:v>
      </x:c>
      <x:c r="AF358" s="52" t="n">
        <x:f>IFERROR(I358/F358,0)</x:f>
        <x:v>0.7158333333333333</x:v>
      </x:c>
      <x:c r="AG358" s="52" t="n">
        <x:f>IFERROR(U358/F358,0)</x:f>
        <x:v>0.6133333333333333</x:v>
      </x:c>
    </x:row>
    <x:row r="359">
      <x:c r="A359" s="50" t="n">
        <x:v>46233</x:v>
      </x:c>
      <x:c r="B359" s="48" t="str">
        <x:v>Curd</x:v>
      </x:c>
      <x:c r="C359" s="48" t="n">
        <x:v>7</x:v>
      </x:c>
      <x:c r="D359" s="54" t="n">
        <x:v>512</x:v>
      </x:c>
      <x:c r="E359" s="54" t="n">
        <x:v>532</x:v>
      </x:c>
      <x:c r="F359" s="54" t="n">
        <x:v>700</x:v>
      </x:c>
      <x:c r="G359" s="54" t="n">
        <x:f>ROUND(D359*0.97,0)</x:f>
        <x:v>497</x:v>
      </x:c>
      <x:c r="H359" s="52" t="n">
        <x:v>0.986212635048824</x:v>
      </x:c>
      <x:c r="I359" s="54" t="n">
        <x:f>MIN(F359,ROUND(G359*H359,0))</x:f>
        <x:v>490</x:v>
      </x:c>
      <x:c r="J359" s="54" t="n">
        <x:f>Q354</x:f>
        <x:v>0</x:v>
      </x:c>
      <x:c r="K359" s="54" t="n">
        <x:f>I359+J359</x:f>
        <x:v>490</x:v>
      </x:c>
      <x:c r="L359" s="54" t="n">
        <x:f>MIN(E359,K359)</x:f>
        <x:v>490</x:v>
      </x:c>
      <x:c r="M359" s="54" t="n">
        <x:f>MAX(E359-K359,0)</x:f>
        <x:v>42</x:v>
      </x:c>
      <x:c r="N359" s="54" t="n">
        <x:f>MAX(K359-L359,0)</x:f>
        <x:v>0</x:v>
      </x:c>
      <x:c r="O359" s="52" t="n">
        <x:v>0.018</x:v>
      </x:c>
      <x:c r="P359" s="54" t="n">
        <x:f>MIN(N359,ROUND(N359*O359,0))</x:f>
        <x:v>0</x:v>
      </x:c>
      <x:c r="Q359" s="54" t="n">
        <x:f>N359-P359</x:f>
        <x:v>0</x:v>
      </x:c>
      <x:c r="R359" s="54" t="n">
        <x:v>92</x:v>
      </x:c>
      <x:c r="S359" s="54" t="n">
        <x:f>MIN(F359,MAX(0,ROUND(D359+R359-V359,0)))</x:f>
        <x:v>578</x:v>
      </x:c>
      <x:c r="T359" s="52" t="n">
        <x:v>1.003833368616233</x:v>
      </x:c>
      <x:c r="U359" s="54" t="n">
        <x:f>MIN(F359,MAX(0,ROUND(S359*T359,0)))</x:f>
        <x:v>580</x:v>
      </x:c>
      <x:c r="V359" s="54" t="n">
        <x:f>AB354</x:f>
        <x:v>26</x:v>
      </x:c>
      <x:c r="W359" s="54" t="n">
        <x:f>U359+V359</x:f>
        <x:v>606</x:v>
      </x:c>
      <x:c r="X359" s="54" t="n">
        <x:f>MIN(E359,W359)</x:f>
        <x:v>532</x:v>
      </x:c>
      <x:c r="Y359" s="54" t="n">
        <x:f>MAX(E359-W359,0)</x:f>
        <x:v>0</x:v>
      </x:c>
      <x:c r="Z359" s="54" t="n">
        <x:f>MAX(W359-X359,0)</x:f>
        <x:v>74</x:v>
      </x:c>
      <x:c r="AA359" s="54" t="n">
        <x:f>MIN(Z359,ROUND(Z359*O359,0))</x:f>
        <x:v>1</x:v>
      </x:c>
      <x:c r="AB359" s="54" t="n">
        <x:f>Z359-AA359</x:f>
        <x:v>73</x:v>
      </x:c>
      <x:c r="AC359" s="52" t="n">
        <x:f>IFERROR(ABS(E359-D359)/E359,0)</x:f>
        <x:v>0.03759398496240601</x:v>
      </x:c>
      <x:c r="AD359" s="52" t="n">
        <x:f>IFERROR(L359/E359,1)</x:f>
        <x:v>0.9210526315789473</x:v>
      </x:c>
      <x:c r="AE359" s="52" t="n">
        <x:f>IFERROR(X359/E359,1)</x:f>
        <x:v>1</x:v>
      </x:c>
      <x:c r="AF359" s="52" t="n">
        <x:f>IFERROR(I359/F359,0)</x:f>
        <x:v>0.7</x:v>
      </x:c>
      <x:c r="AG359" s="52" t="n">
        <x:f>IFERROR(U359/F359,0)</x:f>
        <x:v>0.8285714285714286</x:v>
      </x:c>
    </x:row>
    <x:row r="360">
      <x:c r="A360" s="50" t="n">
        <x:v>46233</x:v>
      </x:c>
      <x:c r="B360" s="48" t="str">
        <x:v>Lassi</x:v>
      </x:c>
      <x:c r="C360" s="48" t="n">
        <x:v>7</x:v>
      </x:c>
      <x:c r="D360" s="54" t="n">
        <x:v>410</x:v>
      </x:c>
      <x:c r="E360" s="54" t="n">
        <x:v>439</x:v>
      </x:c>
      <x:c r="F360" s="54" t="n">
        <x:v>560</x:v>
      </x:c>
      <x:c r="G360" s="54" t="n">
        <x:f>ROUND(D360*0.97,0)</x:f>
        <x:v>398</x:v>
      </x:c>
      <x:c r="H360" s="52" t="n">
        <x:v>1.003938173031503</x:v>
      </x:c>
      <x:c r="I360" s="54" t="n">
        <x:f>MIN(F360,ROUND(G360*H360,0))</x:f>
        <x:v>400</x:v>
      </x:c>
      <x:c r="J360" s="54" t="n">
        <x:f>Q355</x:f>
        <x:v>22</x:v>
      </x:c>
      <x:c r="K360" s="54" t="n">
        <x:f>I360+J360</x:f>
        <x:v>422</x:v>
      </x:c>
      <x:c r="L360" s="54" t="n">
        <x:f>MIN(E360,K360)</x:f>
        <x:v>422</x:v>
      </x:c>
      <x:c r="M360" s="54" t="n">
        <x:f>MAX(E360-K360,0)</x:f>
        <x:v>17</x:v>
      </x:c>
      <x:c r="N360" s="54" t="n">
        <x:f>MAX(K360-L360,0)</x:f>
        <x:v>0</x:v>
      </x:c>
      <x:c r="O360" s="52" t="n">
        <x:v>0.02</x:v>
      </x:c>
      <x:c r="P360" s="54" t="n">
        <x:f>MIN(N360,ROUND(N360*O360,0))</x:f>
        <x:v>0</x:v>
      </x:c>
      <x:c r="Q360" s="54" t="n">
        <x:f>N360-P360</x:f>
        <x:v>0</x:v>
      </x:c>
      <x:c r="R360" s="54" t="n">
        <x:v>74</x:v>
      </x:c>
      <x:c r="S360" s="54" t="n">
        <x:f>MIN(F360,MAX(0,ROUND(D360+R360-V360,0)))</x:f>
        <x:v>457</x:v>
      </x:c>
      <x:c r="T360" s="52" t="n">
        <x:v>1.0020474429161776</x:v>
      </x:c>
      <x:c r="U360" s="54" t="n">
        <x:f>MIN(F360,MAX(0,ROUND(S360*T360,0)))</x:f>
        <x:v>458</x:v>
      </x:c>
      <x:c r="V360" s="54" t="n">
        <x:f>AB355</x:f>
        <x:v>27</x:v>
      </x:c>
      <x:c r="W360" s="54" t="n">
        <x:f>U360+V360</x:f>
        <x:v>485</x:v>
      </x:c>
      <x:c r="X360" s="54" t="n">
        <x:f>MIN(E360,W360)</x:f>
        <x:v>439</x:v>
      </x:c>
      <x:c r="Y360" s="54" t="n">
        <x:f>MAX(E360-W360,0)</x:f>
        <x:v>0</x:v>
      </x:c>
      <x:c r="Z360" s="54" t="n">
        <x:f>MAX(W360-X360,0)</x:f>
        <x:v>46</x:v>
      </x:c>
      <x:c r="AA360" s="54" t="n">
        <x:f>MIN(Z360,ROUND(Z360*O360,0))</x:f>
        <x:v>1</x:v>
      </x:c>
      <x:c r="AB360" s="54" t="n">
        <x:f>Z360-AA360</x:f>
        <x:v>45</x:v>
      </x:c>
      <x:c r="AC360" s="52" t="n">
        <x:f>IFERROR(ABS(E360-D360)/E360,0)</x:f>
        <x:v>0.06605922551252848</x:v>
      </x:c>
      <x:c r="AD360" s="52" t="n">
        <x:f>IFERROR(L360/E360,1)</x:f>
        <x:v>0.9612756264236902</x:v>
      </x:c>
      <x:c r="AE360" s="52" t="n">
        <x:f>IFERROR(X360/E360,1)</x:f>
        <x:v>1</x:v>
      </x:c>
      <x:c r="AF360" s="52" t="n">
        <x:f>IFERROR(I360/F360,0)</x:f>
        <x:v>0.7142857142857143</x:v>
      </x:c>
      <x:c r="AG360" s="52" t="n">
        <x:f>IFERROR(U360/F360,0)</x:f>
        <x:v>0.8178571428571428</x:v>
      </x:c>
    </x:row>
    <x:row r="361">
      <x:c r="A361" s="50" t="n">
        <x:v>46233</x:v>
      </x:c>
      <x:c r="B361" s="48" t="str">
        <x:v>Paneer</x:v>
      </x:c>
      <x:c r="C361" s="48" t="n">
        <x:v>5</x:v>
      </x:c>
      <x:c r="D361" s="54" t="n">
        <x:v>164</x:v>
      </x:c>
      <x:c r="E361" s="54" t="n">
        <x:v>180</x:v>
      </x:c>
      <x:c r="F361" s="54" t="n">
        <x:v>230</x:v>
      </x:c>
      <x:c r="G361" s="54" t="n">
        <x:f>ROUND(D361*0.97,0)</x:f>
        <x:v>159</x:v>
      </x:c>
      <x:c r="H361" s="52" t="n">
        <x:v>0.9806346122446884</x:v>
      </x:c>
      <x:c r="I361" s="54" t="n">
        <x:f>MIN(F361,ROUND(G361*H361,0))</x:f>
        <x:v>156</x:v>
      </x:c>
      <x:c r="J361" s="54" t="n">
        <x:f>Q356</x:f>
        <x:v>58</x:v>
      </x:c>
      <x:c r="K361" s="54" t="n">
        <x:f>I361+J361</x:f>
        <x:v>214</x:v>
      </x:c>
      <x:c r="L361" s="54" t="n">
        <x:f>MIN(E361,K361)</x:f>
        <x:v>180</x:v>
      </x:c>
      <x:c r="M361" s="54" t="n">
        <x:f>MAX(E361-K361,0)</x:f>
        <x:v>0</x:v>
      </x:c>
      <x:c r="N361" s="54" t="n">
        <x:f>MAX(K361-L361,0)</x:f>
        <x:v>34</x:v>
      </x:c>
      <x:c r="O361" s="52" t="n">
        <x:v>0.025</x:v>
      </x:c>
      <x:c r="P361" s="54" t="n">
        <x:f>MIN(N361,ROUND(N361*O361,0))</x:f>
        <x:v>1</x:v>
      </x:c>
      <x:c r="Q361" s="54" t="n">
        <x:f>N361-P361</x:f>
        <x:v>33</x:v>
      </x:c>
      <x:c r="R361" s="54" t="n">
        <x:v>33</x:v>
      </x:c>
      <x:c r="S361" s="54" t="n">
        <x:f>MIN(F361,MAX(0,ROUND(D361+R361-V361,0)))</x:f>
        <x:v>141</x:v>
      </x:c>
      <x:c r="T361" s="52" t="n">
        <x:v>0.9901845490821239</x:v>
      </x:c>
      <x:c r="U361" s="54" t="n">
        <x:f>MIN(F361,MAX(0,ROUND(S361*T361,0)))</x:f>
        <x:v>140</x:v>
      </x:c>
      <x:c r="V361" s="54" t="n">
        <x:f>AB356</x:f>
        <x:v>56</x:v>
      </x:c>
      <x:c r="W361" s="54" t="n">
        <x:f>U361+V361</x:f>
        <x:v>196</x:v>
      </x:c>
      <x:c r="X361" s="54" t="n">
        <x:f>MIN(E361,W361)</x:f>
        <x:v>180</x:v>
      </x:c>
      <x:c r="Y361" s="54" t="n">
        <x:f>MAX(E361-W361,0)</x:f>
        <x:v>0</x:v>
      </x:c>
      <x:c r="Z361" s="54" t="n">
        <x:f>MAX(W361-X361,0)</x:f>
        <x:v>16</x:v>
      </x:c>
      <x:c r="AA361" s="54" t="n">
        <x:f>MIN(Z361,ROUND(Z361*O361,0))</x:f>
        <x:v>0</x:v>
      </x:c>
      <x:c r="AB361" s="54" t="n">
        <x:f>Z361-AA361</x:f>
        <x:v>16</x:v>
      </x:c>
      <x:c r="AC361" s="52" t="n">
        <x:f>IFERROR(ABS(E361-D361)/E361,0)</x:f>
        <x:v>0.08888888888888889</x:v>
      </x:c>
      <x:c r="AD361" s="52" t="n">
        <x:f>IFERROR(L361/E361,1)</x:f>
        <x:v>1</x:v>
      </x:c>
      <x:c r="AE361" s="52" t="n">
        <x:f>IFERROR(X361/E361,1)</x:f>
        <x:v>1</x:v>
      </x:c>
      <x:c r="AF361" s="52" t="n">
        <x:f>IFERROR(I361/F361,0)</x:f>
        <x:v>0.6782608695652174</x:v>
      </x:c>
      <x:c r="AG361" s="52" t="n">
        <x:f>IFERROR(U361/F361,0)</x:f>
        <x:v>0.6086956521739131</x:v>
      </x:c>
    </x:row>
    <x:row r="362">
      <x:c r="A362" s="50" t="n">
        <x:v>46234</x:v>
      </x:c>
      <x:c r="B362" s="48" t="str">
        <x:v>Toned Milk</x:v>
      </x:c>
      <x:c r="C362" s="48" t="n">
        <x:v>2</x:v>
      </x:c>
      <x:c r="D362" s="54" t="n">
        <x:v>1813</x:v>
      </x:c>
      <x:c r="E362" s="54" t="n">
        <x:v>1964</x:v>
      </x:c>
      <x:c r="F362" s="54" t="n">
        <x:v>2250</x:v>
      </x:c>
      <x:c r="G362" s="54" t="n">
        <x:f>ROUND(D362*0.97,0)</x:f>
        <x:v>1759</x:v>
      </x:c>
      <x:c r="H362" s="52" t="n">
        <x:v>0.9983371850903456</x:v>
      </x:c>
      <x:c r="I362" s="54" t="n">
        <x:f>MIN(F362,ROUND(G362*H362,0))</x:f>
        <x:v>1756</x:v>
      </x:c>
      <x:c r="J362" s="54" t="n">
        <x:f>Q357</x:f>
        <x:v>0</x:v>
      </x:c>
      <x:c r="K362" s="54" t="n">
        <x:f>I362+J362</x:f>
        <x:v>1756</x:v>
      </x:c>
      <x:c r="L362" s="54" t="n">
        <x:f>MIN(E362,K362)</x:f>
        <x:v>1756</x:v>
      </x:c>
      <x:c r="M362" s="54" t="n">
        <x:f>MAX(E362-K362,0)</x:f>
        <x:v>208</x:v>
      </x:c>
      <x:c r="N362" s="54" t="n">
        <x:f>MAX(K362-L362,0)</x:f>
        <x:v>0</x:v>
      </x:c>
      <x:c r="O362" s="52" t="n">
        <x:v>0.025</x:v>
      </x:c>
      <x:c r="P362" s="54" t="n">
        <x:f>MIN(N362,ROUND(N362*O362,0))</x:f>
        <x:v>0</x:v>
      </x:c>
      <x:c r="Q362" s="54" t="n">
        <x:f>N362-P362</x:f>
        <x:v>0</x:v>
      </x:c>
      <x:c r="R362" s="54" t="n">
        <x:v>218</x:v>
      </x:c>
      <x:c r="S362" s="54" t="n">
        <x:f>MIN(F362,MAX(0,ROUND(D362+R362-V362,0)))</x:f>
        <x:v>2031</x:v>
      </x:c>
      <x:c r="T362" s="52" t="n">
        <x:v>1.0191885242522118</x:v>
      </x:c>
      <x:c r="U362" s="54" t="n">
        <x:f>MIN(F362,MAX(0,ROUND(S362*T362,0)))</x:f>
        <x:v>2070</x:v>
      </x:c>
      <x:c r="V362" s="54" t="n">
        <x:f>AB357</x:f>
        <x:v>0</x:v>
      </x:c>
      <x:c r="W362" s="54" t="n">
        <x:f>U362+V362</x:f>
        <x:v>2070</x:v>
      </x:c>
      <x:c r="X362" s="54" t="n">
        <x:f>MIN(E362,W362)</x:f>
        <x:v>1964</x:v>
      </x:c>
      <x:c r="Y362" s="54" t="n">
        <x:f>MAX(E362-W362,0)</x:f>
        <x:v>0</x:v>
      </x:c>
      <x:c r="Z362" s="54" t="n">
        <x:f>MAX(W362-X362,0)</x:f>
        <x:v>106</x:v>
      </x:c>
      <x:c r="AA362" s="54" t="n">
        <x:f>MIN(Z362,ROUND(Z362*O362,0))</x:f>
        <x:v>3</x:v>
      </x:c>
      <x:c r="AB362" s="54" t="n">
        <x:f>Z362-AA362</x:f>
        <x:v>103</x:v>
      </x:c>
      <x:c r="AC362" s="52" t="n">
        <x:f>IFERROR(ABS(E362-D362)/E362,0)</x:f>
        <x:v>0.07688391038696538</x:v>
      </x:c>
      <x:c r="AD362" s="52" t="n">
        <x:f>IFERROR(L362/E362,1)</x:f>
        <x:v>0.8940936863543788</x:v>
      </x:c>
      <x:c r="AE362" s="52" t="n">
        <x:f>IFERROR(X362/E362,1)</x:f>
        <x:v>1</x:v>
      </x:c>
      <x:c r="AF362" s="52" t="n">
        <x:f>IFERROR(I362/F362,0)</x:f>
        <x:v>0.7804444444444445</x:v>
      </x:c>
      <x:c r="AG362" s="52" t="n">
        <x:f>IFERROR(U362/F362,0)</x:f>
        <x:v>0.92</x:v>
      </x:c>
    </x:row>
    <x:row r="363">
      <x:c r="A363" s="50" t="n">
        <x:v>46234</x:v>
      </x:c>
      <x:c r="B363" s="48" t="str">
        <x:v>Full Cream Milk</x:v>
      </x:c>
      <x:c r="C363" s="48" t="n">
        <x:v>2</x:v>
      </x:c>
      <x:c r="D363" s="54" t="n">
        <x:v>906</x:v>
      </x:c>
      <x:c r="E363" s="54" t="n">
        <x:v>851</x:v>
      </x:c>
      <x:c r="F363" s="54" t="n">
        <x:v>1200</x:v>
      </x:c>
      <x:c r="G363" s="54" t="n">
        <x:f>ROUND(D363*0.97,0)</x:f>
        <x:v>879</x:v>
      </x:c>
      <x:c r="H363" s="52" t="n">
        <x:v>1.0175463104696605</x:v>
      </x:c>
      <x:c r="I363" s="54" t="n">
        <x:f>MIN(F363,ROUND(G363*H363,0))</x:f>
        <x:v>894</x:v>
      </x:c>
      <x:c r="J363" s="54" t="n">
        <x:f>Q358</x:f>
        <x:v>231</x:v>
      </x:c>
      <x:c r="K363" s="54" t="n">
        <x:f>I363+J363</x:f>
        <x:v>1125</x:v>
      </x:c>
      <x:c r="L363" s="54" t="n">
        <x:f>MIN(E363,K363)</x:f>
        <x:v>851</x:v>
      </x:c>
      <x:c r="M363" s="54" t="n">
        <x:f>MAX(E363-K363,0)</x:f>
        <x:v>0</x:v>
      </x:c>
      <x:c r="N363" s="54" t="n">
        <x:f>MAX(K363-L363,0)</x:f>
        <x:v>274</x:v>
      </x:c>
      <x:c r="O363" s="52" t="n">
        <x:v>0.03</x:v>
      </x:c>
      <x:c r="P363" s="54" t="n">
        <x:f>MIN(N363,ROUND(N363*O363,0))</x:f>
        <x:v>8</x:v>
      </x:c>
      <x:c r="Q363" s="54" t="n">
        <x:f>N363-P363</x:f>
        <x:v>266</x:v>
      </x:c>
      <x:c r="R363" s="54" t="n">
        <x:v>109</x:v>
      </x:c>
      <x:c r="S363" s="54" t="n">
        <x:f>MIN(F363,MAX(0,ROUND(D363+R363-V363,0)))</x:f>
        <x:v>828</x:v>
      </x:c>
      <x:c r="T363" s="52" t="n">
        <x:v>1.0086441336149303</x:v>
      </x:c>
      <x:c r="U363" s="54" t="n">
        <x:f>MIN(F363,MAX(0,ROUND(S363*T363,0)))</x:f>
        <x:v>835</x:v>
      </x:c>
      <x:c r="V363" s="54" t="n">
        <x:f>AB358</x:f>
        <x:v>187</x:v>
      </x:c>
      <x:c r="W363" s="54" t="n">
        <x:f>U363+V363</x:f>
        <x:v>1022</x:v>
      </x:c>
      <x:c r="X363" s="54" t="n">
        <x:f>MIN(E363,W363)</x:f>
        <x:v>851</x:v>
      </x:c>
      <x:c r="Y363" s="54" t="n">
        <x:f>MAX(E363-W363,0)</x:f>
        <x:v>0</x:v>
      </x:c>
      <x:c r="Z363" s="54" t="n">
        <x:f>MAX(W363-X363,0)</x:f>
        <x:v>171</x:v>
      </x:c>
      <x:c r="AA363" s="54" t="n">
        <x:f>MIN(Z363,ROUND(Z363*O363,0))</x:f>
        <x:v>5</x:v>
      </x:c>
      <x:c r="AB363" s="54" t="n">
        <x:f>Z363-AA363</x:f>
        <x:v>166</x:v>
      </x:c>
      <x:c r="AC363" s="52" t="n">
        <x:f>IFERROR(ABS(E363-D363)/E363,0)</x:f>
        <x:v>0.06462984723854288</x:v>
      </x:c>
      <x:c r="AD363" s="52" t="n">
        <x:f>IFERROR(L363/E363,1)</x:f>
        <x:v>1</x:v>
      </x:c>
      <x:c r="AE363" s="52" t="n">
        <x:f>IFERROR(X363/E363,1)</x:f>
        <x:v>1</x:v>
      </x:c>
      <x:c r="AF363" s="52" t="n">
        <x:f>IFERROR(I363/F363,0)</x:f>
        <x:v>0.745</x:v>
      </x:c>
      <x:c r="AG363" s="52" t="n">
        <x:f>IFERROR(U363/F363,0)</x:f>
        <x:v>0.6958333333333333</x:v>
      </x:c>
    </x:row>
    <x:row r="364">
      <x:c r="A364" s="50" t="n">
        <x:v>46234</x:v>
      </x:c>
      <x:c r="B364" s="48" t="str">
        <x:v>Curd</x:v>
      </x:c>
      <x:c r="C364" s="48" t="n">
        <x:v>7</x:v>
      </x:c>
      <x:c r="D364" s="54" t="n">
        <x:v>533</x:v>
      </x:c>
      <x:c r="E364" s="54" t="n">
        <x:v>574</x:v>
      </x:c>
      <x:c r="F364" s="54" t="n">
        <x:v>700</x:v>
      </x:c>
      <x:c r="G364" s="54" t="n">
        <x:f>ROUND(D364*0.97,0)</x:f>
        <x:v>517</x:v>
      </x:c>
      <x:c r="H364" s="52" t="n">
        <x:v>1.000058494765926</x:v>
      </x:c>
      <x:c r="I364" s="54" t="n">
        <x:f>MIN(F364,ROUND(G364*H364,0))</x:f>
        <x:v>517</x:v>
      </x:c>
      <x:c r="J364" s="54" t="n">
        <x:f>Q359</x:f>
        <x:v>0</x:v>
      </x:c>
      <x:c r="K364" s="54" t="n">
        <x:f>I364+J364</x:f>
        <x:v>517</x:v>
      </x:c>
      <x:c r="L364" s="54" t="n">
        <x:f>MIN(E364,K364)</x:f>
        <x:v>517</x:v>
      </x:c>
      <x:c r="M364" s="54" t="n">
        <x:f>MAX(E364-K364,0)</x:f>
        <x:v>57</x:v>
      </x:c>
      <x:c r="N364" s="54" t="n">
        <x:f>MAX(K364-L364,0)</x:f>
        <x:v>0</x:v>
      </x:c>
      <x:c r="O364" s="52" t="n">
        <x:v>0.018</x:v>
      </x:c>
      <x:c r="P364" s="54" t="n">
        <x:f>MIN(N364,ROUND(N364*O364,0))</x:f>
        <x:v>0</x:v>
      </x:c>
      <x:c r="Q364" s="54" t="n">
        <x:f>N364-P364</x:f>
        <x:v>0</x:v>
      </x:c>
      <x:c r="R364" s="54" t="n">
        <x:v>96</x:v>
      </x:c>
      <x:c r="S364" s="54" t="n">
        <x:f>MIN(F364,MAX(0,ROUND(D364+R364-V364,0)))</x:f>
        <x:v>556</x:v>
      </x:c>
      <x:c r="T364" s="52" t="n">
        <x:v>1.0109408656356786</x:v>
      </x:c>
      <x:c r="U364" s="54" t="n">
        <x:f>MIN(F364,MAX(0,ROUND(S364*T364,0)))</x:f>
        <x:v>562</x:v>
      </x:c>
      <x:c r="V364" s="54" t="n">
        <x:f>AB359</x:f>
        <x:v>73</x:v>
      </x:c>
      <x:c r="W364" s="54" t="n">
        <x:f>U364+V364</x:f>
        <x:v>635</x:v>
      </x:c>
      <x:c r="X364" s="54" t="n">
        <x:f>MIN(E364,W364)</x:f>
        <x:v>574</x:v>
      </x:c>
      <x:c r="Y364" s="54" t="n">
        <x:f>MAX(E364-W364,0)</x:f>
        <x:v>0</x:v>
      </x:c>
      <x:c r="Z364" s="54" t="n">
        <x:f>MAX(W364-X364,0)</x:f>
        <x:v>61</x:v>
      </x:c>
      <x:c r="AA364" s="54" t="n">
        <x:f>MIN(Z364,ROUND(Z364*O364,0))</x:f>
        <x:v>1</x:v>
      </x:c>
      <x:c r="AB364" s="54" t="n">
        <x:f>Z364-AA364</x:f>
        <x:v>60</x:v>
      </x:c>
      <x:c r="AC364" s="52" t="n">
        <x:f>IFERROR(ABS(E364-D364)/E364,0)</x:f>
        <x:v>0.07142857142857142</x:v>
      </x:c>
      <x:c r="AD364" s="52" t="n">
        <x:f>IFERROR(L364/E364,1)</x:f>
        <x:v>0.9006968641114983</x:v>
      </x:c>
      <x:c r="AE364" s="52" t="n">
        <x:f>IFERROR(X364/E364,1)</x:f>
        <x:v>1</x:v>
      </x:c>
      <x:c r="AF364" s="52" t="n">
        <x:f>IFERROR(I364/F364,0)</x:f>
        <x:v>0.7385714285714285</x:v>
      </x:c>
      <x:c r="AG364" s="52" t="n">
        <x:f>IFERROR(U364/F364,0)</x:f>
        <x:v>0.8028571428571428</x:v>
      </x:c>
    </x:row>
    <x:row r="365">
      <x:c r="A365" s="50" t="n">
        <x:v>46234</x:v>
      </x:c>
      <x:c r="B365" s="48" t="str">
        <x:v>Lassi</x:v>
      </x:c>
      <x:c r="C365" s="48" t="n">
        <x:v>7</x:v>
      </x:c>
      <x:c r="D365" s="54" t="n">
        <x:v>426</x:v>
      </x:c>
      <x:c r="E365" s="54" t="n">
        <x:v>353</x:v>
      </x:c>
      <x:c r="F365" s="54" t="n">
        <x:v>560</x:v>
      </x:c>
      <x:c r="G365" s="54" t="n">
        <x:f>ROUND(D365*0.97,0)</x:f>
        <x:v>413</x:v>
      </x:c>
      <x:c r="H365" s="52" t="n">
        <x:v>1.0078327150338557</x:v>
      </x:c>
      <x:c r="I365" s="54" t="n">
        <x:f>MIN(F365,ROUND(G365*H365,0))</x:f>
        <x:v>416</x:v>
      </x:c>
      <x:c r="J365" s="54" t="n">
        <x:f>Q360</x:f>
        <x:v>0</x:v>
      </x:c>
      <x:c r="K365" s="54" t="n">
        <x:f>I365+J365</x:f>
        <x:v>416</x:v>
      </x:c>
      <x:c r="L365" s="54" t="n">
        <x:f>MIN(E365,K365)</x:f>
        <x:v>353</x:v>
      </x:c>
      <x:c r="M365" s="54" t="n">
        <x:f>MAX(E365-K365,0)</x:f>
        <x:v>0</x:v>
      </x:c>
      <x:c r="N365" s="54" t="n">
        <x:f>MAX(K365-L365,0)</x:f>
        <x:v>63</x:v>
      </x:c>
      <x:c r="O365" s="52" t="n">
        <x:v>0.02</x:v>
      </x:c>
      <x:c r="P365" s="54" t="n">
        <x:f>MIN(N365,ROUND(N365*O365,0))</x:f>
        <x:v>1</x:v>
      </x:c>
      <x:c r="Q365" s="54" t="n">
        <x:f>N365-P365</x:f>
        <x:v>62</x:v>
      </x:c>
      <x:c r="R365" s="54" t="n">
        <x:v>77</x:v>
      </x:c>
      <x:c r="S365" s="54" t="n">
        <x:f>MIN(F365,MAX(0,ROUND(D365+R365-V365,0)))</x:f>
        <x:v>458</x:v>
      </x:c>
      <x:c r="T365" s="52" t="n">
        <x:v>1.0161262435048695</x:v>
      </x:c>
      <x:c r="U365" s="54" t="n">
        <x:f>MIN(F365,MAX(0,ROUND(S365*T365,0)))</x:f>
        <x:v>465</x:v>
      </x:c>
      <x:c r="V365" s="54" t="n">
        <x:f>AB360</x:f>
        <x:v>45</x:v>
      </x:c>
      <x:c r="W365" s="54" t="n">
        <x:f>U365+V365</x:f>
        <x:v>510</x:v>
      </x:c>
      <x:c r="X365" s="54" t="n">
        <x:f>MIN(E365,W365)</x:f>
        <x:v>353</x:v>
      </x:c>
      <x:c r="Y365" s="54" t="n">
        <x:f>MAX(E365-W365,0)</x:f>
        <x:v>0</x:v>
      </x:c>
      <x:c r="Z365" s="54" t="n">
        <x:f>MAX(W365-X365,0)</x:f>
        <x:v>157</x:v>
      </x:c>
      <x:c r="AA365" s="54" t="n">
        <x:f>MIN(Z365,ROUND(Z365*O365,0))</x:f>
        <x:v>3</x:v>
      </x:c>
      <x:c r="AB365" s="54" t="n">
        <x:f>Z365-AA365</x:f>
        <x:v>154</x:v>
      </x:c>
      <x:c r="AC365" s="52" t="n">
        <x:f>IFERROR(ABS(E365-D365)/E365,0)</x:f>
        <x:v>0.20679886685552407</x:v>
      </x:c>
      <x:c r="AD365" s="52" t="n">
        <x:f>IFERROR(L365/E365,1)</x:f>
        <x:v>1</x:v>
      </x:c>
      <x:c r="AE365" s="52" t="n">
        <x:f>IFERROR(X365/E365,1)</x:f>
        <x:v>1</x:v>
      </x:c>
      <x:c r="AF365" s="52" t="n">
        <x:f>IFERROR(I365/F365,0)</x:f>
        <x:v>0.7428571428571429</x:v>
      </x:c>
      <x:c r="AG365" s="52" t="n">
        <x:f>IFERROR(U365/F365,0)</x:f>
        <x:v>0.8303571428571429</x:v>
      </x:c>
    </x:row>
    <x:row r="366">
      <x:c r="A366" s="50" t="n">
        <x:v>46234</x:v>
      </x:c>
      <x:c r="B366" s="48" t="str">
        <x:v>Paneer</x:v>
      </x:c>
      <x:c r="C366" s="48" t="n">
        <x:v>5</x:v>
      </x:c>
      <x:c r="D366" s="54" t="n">
        <x:v>171</x:v>
      </x:c>
      <x:c r="E366" s="54" t="n">
        <x:v>179</x:v>
      </x:c>
      <x:c r="F366" s="54" t="n">
        <x:v>230</x:v>
      </x:c>
      <x:c r="G366" s="54" t="n">
        <x:f>ROUND(D366*0.97,0)</x:f>
        <x:v>166</x:v>
      </x:c>
      <x:c r="H366" s="52" t="n">
        <x:v>0.993749283387581</x:v>
      </x:c>
      <x:c r="I366" s="54" t="n">
        <x:f>MIN(F366,ROUND(G366*H366,0))</x:f>
        <x:v>165</x:v>
      </x:c>
      <x:c r="J366" s="54" t="n">
        <x:f>Q361</x:f>
        <x:v>33</x:v>
      </x:c>
      <x:c r="K366" s="54" t="n">
        <x:f>I366+J366</x:f>
        <x:v>198</x:v>
      </x:c>
      <x:c r="L366" s="54" t="n">
        <x:f>MIN(E366,K366)</x:f>
        <x:v>179</x:v>
      </x:c>
      <x:c r="M366" s="54" t="n">
        <x:f>MAX(E366-K366,0)</x:f>
        <x:v>0</x:v>
      </x:c>
      <x:c r="N366" s="54" t="n">
        <x:f>MAX(K366-L366,0)</x:f>
        <x:v>19</x:v>
      </x:c>
      <x:c r="O366" s="52" t="n">
        <x:v>0.025</x:v>
      </x:c>
      <x:c r="P366" s="54" t="n">
        <x:f>MIN(N366,ROUND(N366*O366,0))</x:f>
        <x:v>0</x:v>
      </x:c>
      <x:c r="Q366" s="54" t="n">
        <x:f>N366-P366</x:f>
        <x:v>19</x:v>
      </x:c>
      <x:c r="R366" s="54" t="n">
        <x:v>34</x:v>
      </x:c>
      <x:c r="S366" s="54" t="n">
        <x:f>MIN(F366,MAX(0,ROUND(D366+R366-V366,0)))</x:f>
        <x:v>189</x:v>
      </x:c>
      <x:c r="T366" s="52" t="n">
        <x:v>1.0082515693207268</x:v>
      </x:c>
      <x:c r="U366" s="54" t="n">
        <x:f>MIN(F366,MAX(0,ROUND(S366*T366,0)))</x:f>
        <x:v>191</x:v>
      </x:c>
      <x:c r="V366" s="54" t="n">
        <x:f>AB361</x:f>
        <x:v>16</x:v>
      </x:c>
      <x:c r="W366" s="54" t="n">
        <x:f>U366+V366</x:f>
        <x:v>207</x:v>
      </x:c>
      <x:c r="X366" s="54" t="n">
        <x:f>MIN(E366,W366)</x:f>
        <x:v>179</x:v>
      </x:c>
      <x:c r="Y366" s="54" t="n">
        <x:f>MAX(E366-W366,0)</x:f>
        <x:v>0</x:v>
      </x:c>
      <x:c r="Z366" s="54" t="n">
        <x:f>MAX(W366-X366,0)</x:f>
        <x:v>28</x:v>
      </x:c>
      <x:c r="AA366" s="54" t="n">
        <x:f>MIN(Z366,ROUND(Z366*O366,0))</x:f>
        <x:v>1</x:v>
      </x:c>
      <x:c r="AB366" s="54" t="n">
        <x:f>Z366-AA366</x:f>
        <x:v>27</x:v>
      </x:c>
      <x:c r="AC366" s="52" t="n">
        <x:f>IFERROR(ABS(E366-D366)/E366,0)</x:f>
        <x:v>0.0446927374301676</x:v>
      </x:c>
      <x:c r="AD366" s="52" t="n">
        <x:f>IFERROR(L366/E366,1)</x:f>
        <x:v>1</x:v>
      </x:c>
      <x:c r="AE366" s="52" t="n">
        <x:f>IFERROR(X366/E366,1)</x:f>
        <x:v>1</x:v>
      </x:c>
      <x:c r="AF366" s="52" t="n">
        <x:f>IFERROR(I366/F366,0)</x:f>
        <x:v>0.717391304347826</x:v>
      </x:c>
      <x:c r="AG366" s="52" t="n">
        <x:f>IFERROR(U366/F366,0)</x:f>
        <x:v>0.8304347826086956</x:v>
      </x:c>
    </x:row>
    <x:row r="367">
      <x:c r="A367" s="50" t="n">
        <x:v>46235</x:v>
      </x:c>
      <x:c r="B367" s="48" t="str">
        <x:v>Toned Milk</x:v>
      </x:c>
      <x:c r="C367" s="48" t="n">
        <x:v>2</x:v>
      </x:c>
      <x:c r="D367" s="54" t="n">
        <x:v>1988</x:v>
      </x:c>
      <x:c r="E367" s="54" t="n">
        <x:v>2134</x:v>
      </x:c>
      <x:c r="F367" s="54" t="n">
        <x:v>2250</x:v>
      </x:c>
      <x:c r="G367" s="54" t="n">
        <x:f>ROUND(D367*0.97,0)</x:f>
        <x:v>1928</x:v>
      </x:c>
      <x:c r="H367" s="52" t="n">
        <x:v>1.0007159655551066</x:v>
      </x:c>
      <x:c r="I367" s="54" t="n">
        <x:f>MIN(F367,ROUND(G367*H367,0))</x:f>
        <x:v>1929</x:v>
      </x:c>
      <x:c r="J367" s="54" t="n">
        <x:f>Q362</x:f>
        <x:v>0</x:v>
      </x:c>
      <x:c r="K367" s="54" t="n">
        <x:f>I367+J367</x:f>
        <x:v>1929</x:v>
      </x:c>
      <x:c r="L367" s="54" t="n">
        <x:f>MIN(E367,K367)</x:f>
        <x:v>1929</x:v>
      </x:c>
      <x:c r="M367" s="54" t="n">
        <x:f>MAX(E367-K367,0)</x:f>
        <x:v>205</x:v>
      </x:c>
      <x:c r="N367" s="54" t="n">
        <x:f>MAX(K367-L367,0)</x:f>
        <x:v>0</x:v>
      </x:c>
      <x:c r="O367" s="52" t="n">
        <x:v>0.025</x:v>
      </x:c>
      <x:c r="P367" s="54" t="n">
        <x:f>MIN(N367,ROUND(N367*O367,0))</x:f>
        <x:v>0</x:v>
      </x:c>
      <x:c r="Q367" s="54" t="n">
        <x:f>N367-P367</x:f>
        <x:v>0</x:v>
      </x:c>
      <x:c r="R367" s="54" t="n">
        <x:v>239</x:v>
      </x:c>
      <x:c r="S367" s="54" t="n">
        <x:f>MIN(F367,MAX(0,ROUND(D367+R367-V367,0)))</x:f>
        <x:v>2124</x:v>
      </x:c>
      <x:c r="T367" s="52" t="n">
        <x:v>1.013258761257573</x:v>
      </x:c>
      <x:c r="U367" s="54" t="n">
        <x:f>MIN(F367,MAX(0,ROUND(S367*T367,0)))</x:f>
        <x:v>2152</x:v>
      </x:c>
      <x:c r="V367" s="54" t="n">
        <x:f>AB362</x:f>
        <x:v>103</x:v>
      </x:c>
      <x:c r="W367" s="54" t="n">
        <x:f>U367+V367</x:f>
        <x:v>2255</x:v>
      </x:c>
      <x:c r="X367" s="54" t="n">
        <x:f>MIN(E367,W367)</x:f>
        <x:v>2134</x:v>
      </x:c>
      <x:c r="Y367" s="54" t="n">
        <x:f>MAX(E367-W367,0)</x:f>
        <x:v>0</x:v>
      </x:c>
      <x:c r="Z367" s="54" t="n">
        <x:f>MAX(W367-X367,0)</x:f>
        <x:v>121</x:v>
      </x:c>
      <x:c r="AA367" s="54" t="n">
        <x:f>MIN(Z367,ROUND(Z367*O367,0))</x:f>
        <x:v>3</x:v>
      </x:c>
      <x:c r="AB367" s="54" t="n">
        <x:f>Z367-AA367</x:f>
        <x:v>118</x:v>
      </x:c>
      <x:c r="AC367" s="52" t="n">
        <x:f>IFERROR(ABS(E367-D367)/E367,0)</x:f>
        <x:v>0.06841611996251172</x:v>
      </x:c>
      <x:c r="AD367" s="52" t="n">
        <x:f>IFERROR(L367/E367,1)</x:f>
        <x:v>0.9039362699156513</x:v>
      </x:c>
      <x:c r="AE367" s="52" t="n">
        <x:f>IFERROR(X367/E367,1)</x:f>
        <x:v>1</x:v>
      </x:c>
      <x:c r="AF367" s="52" t="n">
        <x:f>IFERROR(I367/F367,0)</x:f>
        <x:v>0.8573333333333333</x:v>
      </x:c>
      <x:c r="AG367" s="52" t="n">
        <x:f>IFERROR(U367/F367,0)</x:f>
        <x:v>0.9564444444444444</x:v>
      </x:c>
    </x:row>
    <x:row r="368">
      <x:c r="A368" s="50" t="n">
        <x:v>46235</x:v>
      </x:c>
      <x:c r="B368" s="48" t="str">
        <x:v>Full Cream Milk</x:v>
      </x:c>
      <x:c r="C368" s="48" t="n">
        <x:v>2</x:v>
      </x:c>
      <x:c r="D368" s="54" t="n">
        <x:v>994</x:v>
      </x:c>
      <x:c r="E368" s="54" t="n">
        <x:v>1125</x:v>
      </x:c>
      <x:c r="F368" s="54" t="n">
        <x:v>1200</x:v>
      </x:c>
      <x:c r="G368" s="54" t="n">
        <x:f>ROUND(D368*0.97,0)</x:f>
        <x:v>964</x:v>
      </x:c>
      <x:c r="H368" s="52" t="n">
        <x:v>1.0003263709922752</x:v>
      </x:c>
      <x:c r="I368" s="54" t="n">
        <x:f>MIN(F368,ROUND(G368*H368,0))</x:f>
        <x:v>964</x:v>
      </x:c>
      <x:c r="J368" s="54" t="n">
        <x:f>Q363</x:f>
        <x:v>266</x:v>
      </x:c>
      <x:c r="K368" s="54" t="n">
        <x:f>I368+J368</x:f>
        <x:v>1230</x:v>
      </x:c>
      <x:c r="L368" s="54" t="n">
        <x:f>MIN(E368,K368)</x:f>
        <x:v>1125</x:v>
      </x:c>
      <x:c r="M368" s="54" t="n">
        <x:f>MAX(E368-K368,0)</x:f>
        <x:v>0</x:v>
      </x:c>
      <x:c r="N368" s="54" t="n">
        <x:f>MAX(K368-L368,0)</x:f>
        <x:v>105</x:v>
      </x:c>
      <x:c r="O368" s="52" t="n">
        <x:v>0.03</x:v>
      </x:c>
      <x:c r="P368" s="54" t="n">
        <x:f>MIN(N368,ROUND(N368*O368,0))</x:f>
        <x:v>3</x:v>
      </x:c>
      <x:c r="Q368" s="54" t="n">
        <x:f>N368-P368</x:f>
        <x:v>102</x:v>
      </x:c>
      <x:c r="R368" s="54" t="n">
        <x:v>119</x:v>
      </x:c>
      <x:c r="S368" s="54" t="n">
        <x:f>MIN(F368,MAX(0,ROUND(D368+R368-V368,0)))</x:f>
        <x:v>947</x:v>
      </x:c>
      <x:c r="T368" s="52" t="n">
        <x:v>1.0019984941037672</x:v>
      </x:c>
      <x:c r="U368" s="54" t="n">
        <x:f>MIN(F368,MAX(0,ROUND(S368*T368,0)))</x:f>
        <x:v>949</x:v>
      </x:c>
      <x:c r="V368" s="54" t="n">
        <x:f>AB363</x:f>
        <x:v>166</x:v>
      </x:c>
      <x:c r="W368" s="54" t="n">
        <x:f>U368+V368</x:f>
        <x:v>1115</x:v>
      </x:c>
      <x:c r="X368" s="54" t="n">
        <x:f>MIN(E368,W368)</x:f>
        <x:v>1115</x:v>
      </x:c>
      <x:c r="Y368" s="54" t="n">
        <x:f>MAX(E368-W368,0)</x:f>
        <x:v>10</x:v>
      </x:c>
      <x:c r="Z368" s="54" t="n">
        <x:f>MAX(W368-X368,0)</x:f>
        <x:v>0</x:v>
      </x:c>
      <x:c r="AA368" s="54" t="n">
        <x:f>MIN(Z368,ROUND(Z368*O368,0))</x:f>
        <x:v>0</x:v>
      </x:c>
      <x:c r="AB368" s="54" t="n">
        <x:f>Z368-AA368</x:f>
        <x:v>0</x:v>
      </x:c>
      <x:c r="AC368" s="52" t="n">
        <x:f>IFERROR(ABS(E368-D368)/E368,0)</x:f>
        <x:v>0.11644444444444445</x:v>
      </x:c>
      <x:c r="AD368" s="52" t="n">
        <x:f>IFERROR(L368/E368,1)</x:f>
        <x:v>1</x:v>
      </x:c>
      <x:c r="AE368" s="52" t="n">
        <x:f>IFERROR(X368/E368,1)</x:f>
        <x:v>0.9911111111111112</x:v>
      </x:c>
      <x:c r="AF368" s="52" t="n">
        <x:f>IFERROR(I368/F368,0)</x:f>
        <x:v>0.8033333333333333</x:v>
      </x:c>
      <x:c r="AG368" s="52" t="n">
        <x:f>IFERROR(U368/F368,0)</x:f>
        <x:v>0.7908333333333334</x:v>
      </x:c>
    </x:row>
    <x:row r="369">
      <x:c r="A369" s="50" t="n">
        <x:v>46235</x:v>
      </x:c>
      <x:c r="B369" s="48" t="str">
        <x:v>Curd</x:v>
      </x:c>
      <x:c r="C369" s="48" t="n">
        <x:v>7</x:v>
      </x:c>
      <x:c r="D369" s="54" t="n">
        <x:v>585</x:v>
      </x:c>
      <x:c r="E369" s="54" t="n">
        <x:v>609</x:v>
      </x:c>
      <x:c r="F369" s="54" t="n">
        <x:v>700</x:v>
      </x:c>
      <x:c r="G369" s="54" t="n">
        <x:f>ROUND(D369*0.97,0)</x:f>
        <x:v>567</x:v>
      </x:c>
      <x:c r="H369" s="52" t="n">
        <x:v>1.0021833033701393</x:v>
      </x:c>
      <x:c r="I369" s="54" t="n">
        <x:f>MIN(F369,ROUND(G369*H369,0))</x:f>
        <x:v>568</x:v>
      </x:c>
      <x:c r="J369" s="54" t="n">
        <x:f>Q364</x:f>
        <x:v>0</x:v>
      </x:c>
      <x:c r="K369" s="54" t="n">
        <x:f>I369+J369</x:f>
        <x:v>568</x:v>
      </x:c>
      <x:c r="L369" s="54" t="n">
        <x:f>MIN(E369,K369)</x:f>
        <x:v>568</x:v>
      </x:c>
      <x:c r="M369" s="54" t="n">
        <x:f>MAX(E369-K369,0)</x:f>
        <x:v>41</x:v>
      </x:c>
      <x:c r="N369" s="54" t="n">
        <x:f>MAX(K369-L369,0)</x:f>
        <x:v>0</x:v>
      </x:c>
      <x:c r="O369" s="52" t="n">
        <x:v>0.018</x:v>
      </x:c>
      <x:c r="P369" s="54" t="n">
        <x:f>MIN(N369,ROUND(N369*O369,0))</x:f>
        <x:v>0</x:v>
      </x:c>
      <x:c r="Q369" s="54" t="n">
        <x:f>N369-P369</x:f>
        <x:v>0</x:v>
      </x:c>
      <x:c r="R369" s="54" t="n">
        <x:v>105</x:v>
      </x:c>
      <x:c r="S369" s="54" t="n">
        <x:f>MIN(F369,MAX(0,ROUND(D369+R369-V369,0)))</x:f>
        <x:v>630</x:v>
      </x:c>
      <x:c r="T369" s="52" t="n">
        <x:v>1.0193968158810807</x:v>
      </x:c>
      <x:c r="U369" s="54" t="n">
        <x:f>MIN(F369,MAX(0,ROUND(S369*T369,0)))</x:f>
        <x:v>642</x:v>
      </x:c>
      <x:c r="V369" s="54" t="n">
        <x:f>AB364</x:f>
        <x:v>60</x:v>
      </x:c>
      <x:c r="W369" s="54" t="n">
        <x:f>U369+V369</x:f>
        <x:v>702</x:v>
      </x:c>
      <x:c r="X369" s="54" t="n">
        <x:f>MIN(E369,W369)</x:f>
        <x:v>609</x:v>
      </x:c>
      <x:c r="Y369" s="54" t="n">
        <x:f>MAX(E369-W369,0)</x:f>
        <x:v>0</x:v>
      </x:c>
      <x:c r="Z369" s="54" t="n">
        <x:f>MAX(W369-X369,0)</x:f>
        <x:v>93</x:v>
      </x:c>
      <x:c r="AA369" s="54" t="n">
        <x:f>MIN(Z369,ROUND(Z369*O369,0))</x:f>
        <x:v>2</x:v>
      </x:c>
      <x:c r="AB369" s="54" t="n">
        <x:f>Z369-AA369</x:f>
        <x:v>91</x:v>
      </x:c>
      <x:c r="AC369" s="52" t="n">
        <x:f>IFERROR(ABS(E369-D369)/E369,0)</x:f>
        <x:v>0.03940886699507389</x:v>
      </x:c>
      <x:c r="AD369" s="52" t="n">
        <x:f>IFERROR(L369/E369,1)</x:f>
        <x:v>0.9326765188834154</x:v>
      </x:c>
      <x:c r="AE369" s="52" t="n">
        <x:f>IFERROR(X369/E369,1)</x:f>
        <x:v>1</x:v>
      </x:c>
      <x:c r="AF369" s="52" t="n">
        <x:f>IFERROR(I369/F369,0)</x:f>
        <x:v>0.8114285714285714</x:v>
      </x:c>
      <x:c r="AG369" s="52" t="n">
        <x:f>IFERROR(U369/F369,0)</x:f>
        <x:v>0.9171428571428571</x:v>
      </x:c>
    </x:row>
    <x:row r="370">
      <x:c r="A370" s="50" t="n">
        <x:v>46235</x:v>
      </x:c>
      <x:c r="B370" s="48" t="str">
        <x:v>Lassi</x:v>
      </x:c>
      <x:c r="C370" s="48" t="n">
        <x:v>7</x:v>
      </x:c>
      <x:c r="D370" s="54" t="n">
        <x:v>464</x:v>
      </x:c>
      <x:c r="E370" s="54" t="n">
        <x:v>426</x:v>
      </x:c>
      <x:c r="F370" s="54" t="n">
        <x:v>560</x:v>
      </x:c>
      <x:c r="G370" s="54" t="n">
        <x:f>ROUND(D370*0.97,0)</x:f>
        <x:v>450</x:v>
      </x:c>
      <x:c r="H370" s="52" t="n">
        <x:v>1.0096715261203602</x:v>
      </x:c>
      <x:c r="I370" s="54" t="n">
        <x:f>MIN(F370,ROUND(G370*H370,0))</x:f>
        <x:v>454</x:v>
      </x:c>
      <x:c r="J370" s="54" t="n">
        <x:f>Q365</x:f>
        <x:v>62</x:v>
      </x:c>
      <x:c r="K370" s="54" t="n">
        <x:f>I370+J370</x:f>
        <x:v>516</x:v>
      </x:c>
      <x:c r="L370" s="54" t="n">
        <x:f>MIN(E370,K370)</x:f>
        <x:v>426</x:v>
      </x:c>
      <x:c r="M370" s="54" t="n">
        <x:f>MAX(E370-K370,0)</x:f>
        <x:v>0</x:v>
      </x:c>
      <x:c r="N370" s="54" t="n">
        <x:f>MAX(K370-L370,0)</x:f>
        <x:v>90</x:v>
      </x:c>
      <x:c r="O370" s="52" t="n">
        <x:v>0.02</x:v>
      </x:c>
      <x:c r="P370" s="54" t="n">
        <x:f>MIN(N370,ROUND(N370*O370,0))</x:f>
        <x:v>2</x:v>
      </x:c>
      <x:c r="Q370" s="54" t="n">
        <x:f>N370-P370</x:f>
        <x:v>88</x:v>
      </x:c>
      <x:c r="R370" s="54" t="n">
        <x:v>84</x:v>
      </x:c>
      <x:c r="S370" s="54" t="n">
        <x:f>MIN(F370,MAX(0,ROUND(D370+R370-V370,0)))</x:f>
        <x:v>394</x:v>
      </x:c>
      <x:c r="T370" s="52" t="n">
        <x:v>1.003472780033738</x:v>
      </x:c>
      <x:c r="U370" s="54" t="n">
        <x:f>MIN(F370,MAX(0,ROUND(S370*T370,0)))</x:f>
        <x:v>395</x:v>
      </x:c>
      <x:c r="V370" s="54" t="n">
        <x:f>AB365</x:f>
        <x:v>154</x:v>
      </x:c>
      <x:c r="W370" s="54" t="n">
        <x:f>U370+V370</x:f>
        <x:v>549</x:v>
      </x:c>
      <x:c r="X370" s="54" t="n">
        <x:f>MIN(E370,W370)</x:f>
        <x:v>426</x:v>
      </x:c>
      <x:c r="Y370" s="54" t="n">
        <x:f>MAX(E370-W370,0)</x:f>
        <x:v>0</x:v>
      </x:c>
      <x:c r="Z370" s="54" t="n">
        <x:f>MAX(W370-X370,0)</x:f>
        <x:v>123</x:v>
      </x:c>
      <x:c r="AA370" s="54" t="n">
        <x:f>MIN(Z370,ROUND(Z370*O370,0))</x:f>
        <x:v>2</x:v>
      </x:c>
      <x:c r="AB370" s="54" t="n">
        <x:f>Z370-AA370</x:f>
        <x:v>121</x:v>
      </x:c>
      <x:c r="AC370" s="52" t="n">
        <x:f>IFERROR(ABS(E370-D370)/E370,0)</x:f>
        <x:v>0.0892018779342723</x:v>
      </x:c>
      <x:c r="AD370" s="52" t="n">
        <x:f>IFERROR(L370/E370,1)</x:f>
        <x:v>1</x:v>
      </x:c>
      <x:c r="AE370" s="52" t="n">
        <x:f>IFERROR(X370/E370,1)</x:f>
        <x:v>1</x:v>
      </x:c>
      <x:c r="AF370" s="52" t="n">
        <x:f>IFERROR(I370/F370,0)</x:f>
        <x:v>0.8107142857142857</x:v>
      </x:c>
      <x:c r="AG370" s="52" t="n">
        <x:f>IFERROR(U370/F370,0)</x:f>
        <x:v>0.7053571428571429</x:v>
      </x:c>
    </x:row>
    <x:row r="371">
      <x:c r="A371" s="50" t="n">
        <x:v>46235</x:v>
      </x:c>
      <x:c r="B371" s="48" t="str">
        <x:v>Paneer</x:v>
      </x:c>
      <x:c r="C371" s="48" t="n">
        <x:v>5</x:v>
      </x:c>
      <x:c r="D371" s="54" t="n">
        <x:v>184</x:v>
      </x:c>
      <x:c r="E371" s="54" t="n">
        <x:v>203</x:v>
      </x:c>
      <x:c r="F371" s="54" t="n">
        <x:v>230</x:v>
      </x:c>
      <x:c r="G371" s="54" t="n">
        <x:f>ROUND(D371*0.97,0)</x:f>
        <x:v>178</x:v>
      </x:c>
      <x:c r="H371" s="52" t="n">
        <x:v>1.0084629127278721</x:v>
      </x:c>
      <x:c r="I371" s="54" t="n">
        <x:f>MIN(F371,ROUND(G371*H371,0))</x:f>
        <x:v>180</x:v>
      </x:c>
      <x:c r="J371" s="54" t="n">
        <x:f>Q366</x:f>
        <x:v>19</x:v>
      </x:c>
      <x:c r="K371" s="54" t="n">
        <x:f>I371+J371</x:f>
        <x:v>199</x:v>
      </x:c>
      <x:c r="L371" s="54" t="n">
        <x:f>MIN(E371,K371)</x:f>
        <x:v>199</x:v>
      </x:c>
      <x:c r="M371" s="54" t="n">
        <x:f>MAX(E371-K371,0)</x:f>
        <x:v>4</x:v>
      </x:c>
      <x:c r="N371" s="54" t="n">
        <x:f>MAX(K371-L371,0)</x:f>
        <x:v>0</x:v>
      </x:c>
      <x:c r="O371" s="52" t="n">
        <x:v>0.025</x:v>
      </x:c>
      <x:c r="P371" s="54" t="n">
        <x:f>MIN(N371,ROUND(N371*O371,0))</x:f>
        <x:v>0</x:v>
      </x:c>
      <x:c r="Q371" s="54" t="n">
        <x:f>N371-P371</x:f>
        <x:v>0</x:v>
      </x:c>
      <x:c r="R371" s="54" t="n">
        <x:v>37</x:v>
      </x:c>
      <x:c r="S371" s="54" t="n">
        <x:f>MIN(F371,MAX(0,ROUND(D371+R371-V371,0)))</x:f>
        <x:v>194</x:v>
      </x:c>
      <x:c r="T371" s="52" t="n">
        <x:v>0.9910281640470856</x:v>
      </x:c>
      <x:c r="U371" s="54" t="n">
        <x:f>MIN(F371,MAX(0,ROUND(S371*T371,0)))</x:f>
        <x:v>192</x:v>
      </x:c>
      <x:c r="V371" s="54" t="n">
        <x:f>AB366</x:f>
        <x:v>27</x:v>
      </x:c>
      <x:c r="W371" s="54" t="n">
        <x:f>U371+V371</x:f>
        <x:v>219</x:v>
      </x:c>
      <x:c r="X371" s="54" t="n">
        <x:f>MIN(E371,W371)</x:f>
        <x:v>203</x:v>
      </x:c>
      <x:c r="Y371" s="54" t="n">
        <x:f>MAX(E371-W371,0)</x:f>
        <x:v>0</x:v>
      </x:c>
      <x:c r="Z371" s="54" t="n">
        <x:f>MAX(W371-X371,0)</x:f>
        <x:v>16</x:v>
      </x:c>
      <x:c r="AA371" s="54" t="n">
        <x:f>MIN(Z371,ROUND(Z371*O371,0))</x:f>
        <x:v>0</x:v>
      </x:c>
      <x:c r="AB371" s="54" t="n">
        <x:f>Z371-AA371</x:f>
        <x:v>16</x:v>
      </x:c>
      <x:c r="AC371" s="52" t="n">
        <x:f>IFERROR(ABS(E371-D371)/E371,0)</x:f>
        <x:v>0.09359605911330049</x:v>
      </x:c>
      <x:c r="AD371" s="52" t="n">
        <x:f>IFERROR(L371/E371,1)</x:f>
        <x:v>0.9802955665024631</x:v>
      </x:c>
      <x:c r="AE371" s="52" t="n">
        <x:f>IFERROR(X371/E371,1)</x:f>
        <x:v>1</x:v>
      </x:c>
      <x:c r="AF371" s="52" t="n">
        <x:f>IFERROR(I371/F371,0)</x:f>
        <x:v>0.782608695652174</x:v>
      </x:c>
      <x:c r="AG371" s="52" t="n">
        <x:f>IFERROR(U371/F371,0)</x:f>
        <x:v>0.8347826086956521</x:v>
      </x:c>
    </x:row>
    <x:row r="372">
      <x:c r="A372" s="50" t="n">
        <x:v>46236</x:v>
      </x:c>
      <x:c r="B372" s="48" t="str">
        <x:v>Toned Milk</x:v>
      </x:c>
      <x:c r="C372" s="48" t="n">
        <x:v>2</x:v>
      </x:c>
      <x:c r="D372" s="54" t="n">
        <x:v>1953</x:v>
      </x:c>
      <x:c r="E372" s="54" t="n">
        <x:v>1821</x:v>
      </x:c>
      <x:c r="F372" s="54" t="n">
        <x:v>2250</x:v>
      </x:c>
      <x:c r="G372" s="54" t="n">
        <x:f>ROUND(D372*0.97,0)</x:f>
        <x:v>1894</x:v>
      </x:c>
      <x:c r="H372" s="52" t="n">
        <x:v>0.9907414194444847</x:v>
      </x:c>
      <x:c r="I372" s="54" t="n">
        <x:f>MIN(F372,ROUND(G372*H372,0))</x:f>
        <x:v>1876</x:v>
      </x:c>
      <x:c r="J372" s="54" t="n">
        <x:f>Q367</x:f>
        <x:v>0</x:v>
      </x:c>
      <x:c r="K372" s="54" t="n">
        <x:f>I372+J372</x:f>
        <x:v>1876</x:v>
      </x:c>
      <x:c r="L372" s="54" t="n">
        <x:f>MIN(E372,K372)</x:f>
        <x:v>1821</x:v>
      </x:c>
      <x:c r="M372" s="54" t="n">
        <x:f>MAX(E372-K372,0)</x:f>
        <x:v>0</x:v>
      </x:c>
      <x:c r="N372" s="54" t="n">
        <x:f>MAX(K372-L372,0)</x:f>
        <x:v>55</x:v>
      </x:c>
      <x:c r="O372" s="52" t="n">
        <x:v>0.025</x:v>
      </x:c>
      <x:c r="P372" s="54" t="n">
        <x:f>MIN(N372,ROUND(N372*O372,0))</x:f>
        <x:v>1</x:v>
      </x:c>
      <x:c r="Q372" s="54" t="n">
        <x:f>N372-P372</x:f>
        <x:v>54</x:v>
      </x:c>
      <x:c r="R372" s="54" t="n">
        <x:v>234</x:v>
      </x:c>
      <x:c r="S372" s="54" t="n">
        <x:f>MIN(F372,MAX(0,ROUND(D372+R372-V372,0)))</x:f>
        <x:v>2069</x:v>
      </x:c>
      <x:c r="T372" s="52" t="n">
        <x:v>1.0144380312078243</x:v>
      </x:c>
      <x:c r="U372" s="54" t="n">
        <x:f>MIN(F372,MAX(0,ROUND(S372*T372,0)))</x:f>
        <x:v>2099</x:v>
      </x:c>
      <x:c r="V372" s="54" t="n">
        <x:f>AB367</x:f>
        <x:v>118</x:v>
      </x:c>
      <x:c r="W372" s="54" t="n">
        <x:f>U372+V372</x:f>
        <x:v>2217</x:v>
      </x:c>
      <x:c r="X372" s="54" t="n">
        <x:f>MIN(E372,W372)</x:f>
        <x:v>1821</x:v>
      </x:c>
      <x:c r="Y372" s="54" t="n">
        <x:f>MAX(E372-W372,0)</x:f>
        <x:v>0</x:v>
      </x:c>
      <x:c r="Z372" s="54" t="n">
        <x:f>MAX(W372-X372,0)</x:f>
        <x:v>396</x:v>
      </x:c>
      <x:c r="AA372" s="54" t="n">
        <x:f>MIN(Z372,ROUND(Z372*O372,0))</x:f>
        <x:v>10</x:v>
      </x:c>
      <x:c r="AB372" s="54" t="n">
        <x:f>Z372-AA372</x:f>
        <x:v>386</x:v>
      </x:c>
      <x:c r="AC372" s="52" t="n">
        <x:f>IFERROR(ABS(E372-D372)/E372,0)</x:f>
        <x:v>0.07248764415156507</x:v>
      </x:c>
      <x:c r="AD372" s="52" t="n">
        <x:f>IFERROR(L372/E372,1)</x:f>
        <x:v>1</x:v>
      </x:c>
      <x:c r="AE372" s="52" t="n">
        <x:f>IFERROR(X372/E372,1)</x:f>
        <x:v>1</x:v>
      </x:c>
      <x:c r="AF372" s="52" t="n">
        <x:f>IFERROR(I372/F372,0)</x:f>
        <x:v>0.8337777777777777</x:v>
      </x:c>
      <x:c r="AG372" s="52" t="n">
        <x:f>IFERROR(U372/F372,0)</x:f>
        <x:v>0.9328888888888889</x:v>
      </x:c>
    </x:row>
    <x:row r="373">
      <x:c r="A373" s="50" t="n">
        <x:v>46236</x:v>
      </x:c>
      <x:c r="B373" s="48" t="str">
        <x:v>Full Cream Milk</x:v>
      </x:c>
      <x:c r="C373" s="48" t="n">
        <x:v>2</x:v>
      </x:c>
      <x:c r="D373" s="54" t="n">
        <x:v>977</x:v>
      </x:c>
      <x:c r="E373" s="54" t="n">
        <x:v>1137</x:v>
      </x:c>
      <x:c r="F373" s="54" t="n">
        <x:v>1200</x:v>
      </x:c>
      <x:c r="G373" s="54" t="n">
        <x:f>ROUND(D373*0.97,0)</x:f>
        <x:v>948</x:v>
      </x:c>
      <x:c r="H373" s="52" t="n">
        <x:v>1.0115038240598042</x:v>
      </x:c>
      <x:c r="I373" s="54" t="n">
        <x:f>MIN(F373,ROUND(G373*H373,0))</x:f>
        <x:v>959</x:v>
      </x:c>
      <x:c r="J373" s="54" t="n">
        <x:f>Q368</x:f>
        <x:v>102</x:v>
      </x:c>
      <x:c r="K373" s="54" t="n">
        <x:f>I373+J373</x:f>
        <x:v>1061</x:v>
      </x:c>
      <x:c r="L373" s="54" t="n">
        <x:f>MIN(E373,K373)</x:f>
        <x:v>1061</x:v>
      </x:c>
      <x:c r="M373" s="54" t="n">
        <x:f>MAX(E373-K373,0)</x:f>
        <x:v>76</x:v>
      </x:c>
      <x:c r="N373" s="54" t="n">
        <x:f>MAX(K373-L373,0)</x:f>
        <x:v>0</x:v>
      </x:c>
      <x:c r="O373" s="52" t="n">
        <x:v>0.03</x:v>
      </x:c>
      <x:c r="P373" s="54" t="n">
        <x:f>MIN(N373,ROUND(N373*O373,0))</x:f>
        <x:v>0</x:v>
      </x:c>
      <x:c r="Q373" s="54" t="n">
        <x:f>N373-P373</x:f>
        <x:v>0</x:v>
      </x:c>
      <x:c r="R373" s="54" t="n">
        <x:v>117</x:v>
      </x:c>
      <x:c r="S373" s="54" t="n">
        <x:f>MIN(F373,MAX(0,ROUND(D373+R373-V373,0)))</x:f>
        <x:v>1094</x:v>
      </x:c>
      <x:c r="T373" s="52" t="n">
        <x:v>1.00747951469347</x:v>
      </x:c>
      <x:c r="U373" s="54" t="n">
        <x:f>MIN(F373,MAX(0,ROUND(S373*T373,0)))</x:f>
        <x:v>1102</x:v>
      </x:c>
      <x:c r="V373" s="54" t="n">
        <x:f>AB368</x:f>
        <x:v>0</x:v>
      </x:c>
      <x:c r="W373" s="54" t="n">
        <x:f>U373+V373</x:f>
        <x:v>1102</x:v>
      </x:c>
      <x:c r="X373" s="54" t="n">
        <x:f>MIN(E373,W373)</x:f>
        <x:v>1102</x:v>
      </x:c>
      <x:c r="Y373" s="54" t="n">
        <x:f>MAX(E373-W373,0)</x:f>
        <x:v>35</x:v>
      </x:c>
      <x:c r="Z373" s="54" t="n">
        <x:f>MAX(W373-X373,0)</x:f>
        <x:v>0</x:v>
      </x:c>
      <x:c r="AA373" s="54" t="n">
        <x:f>MIN(Z373,ROUND(Z373*O373,0))</x:f>
        <x:v>0</x:v>
      </x:c>
      <x:c r="AB373" s="54" t="n">
        <x:f>Z373-AA373</x:f>
        <x:v>0</x:v>
      </x:c>
      <x:c r="AC373" s="52" t="n">
        <x:f>IFERROR(ABS(E373-D373)/E373,0)</x:f>
        <x:v>0.14072119613016712</x:v>
      </x:c>
      <x:c r="AD373" s="52" t="n">
        <x:f>IFERROR(L373/E373,1)</x:f>
        <x:v>0.9331574318381706</x:v>
      </x:c>
      <x:c r="AE373" s="52" t="n">
        <x:f>IFERROR(X373/E373,1)</x:f>
        <x:v>0.969217238346526</x:v>
      </x:c>
      <x:c r="AF373" s="52" t="n">
        <x:f>IFERROR(I373/F373,0)</x:f>
        <x:v>0.7991666666666667</x:v>
      </x:c>
      <x:c r="AG373" s="52" t="n">
        <x:f>IFERROR(U373/F373,0)</x:f>
        <x:v>0.9183333333333333</x:v>
      </x:c>
    </x:row>
    <x:row r="374">
      <x:c r="A374" s="50" t="n">
        <x:v>46236</x:v>
      </x:c>
      <x:c r="B374" s="48" t="str">
        <x:v>Curd</x:v>
      </x:c>
      <x:c r="C374" s="48" t="n">
        <x:v>7</x:v>
      </x:c>
      <x:c r="D374" s="54" t="n">
        <x:v>595</x:v>
      </x:c>
      <x:c r="E374" s="54" t="n">
        <x:v>590</x:v>
      </x:c>
      <x:c r="F374" s="54" t="n">
        <x:v>700</x:v>
      </x:c>
      <x:c r="G374" s="54" t="n">
        <x:f>ROUND(D374*0.97,0)</x:f>
        <x:v>577</x:v>
      </x:c>
      <x:c r="H374" s="52" t="n">
        <x:v>0.9925579328696776</x:v>
      </x:c>
      <x:c r="I374" s="54" t="n">
        <x:f>MIN(F374,ROUND(G374*H374,0))</x:f>
        <x:v>573</x:v>
      </x:c>
      <x:c r="J374" s="54" t="n">
        <x:f>Q369</x:f>
        <x:v>0</x:v>
      </x:c>
      <x:c r="K374" s="54" t="n">
        <x:f>I374+J374</x:f>
        <x:v>573</x:v>
      </x:c>
      <x:c r="L374" s="54" t="n">
        <x:f>MIN(E374,K374)</x:f>
        <x:v>573</x:v>
      </x:c>
      <x:c r="M374" s="54" t="n">
        <x:f>MAX(E374-K374,0)</x:f>
        <x:v>17</x:v>
      </x:c>
      <x:c r="N374" s="54" t="n">
        <x:f>MAX(K374-L374,0)</x:f>
        <x:v>0</x:v>
      </x:c>
      <x:c r="O374" s="52" t="n">
        <x:v>0.018</x:v>
      </x:c>
      <x:c r="P374" s="54" t="n">
        <x:f>MIN(N374,ROUND(N374*O374,0))</x:f>
        <x:v>0</x:v>
      </x:c>
      <x:c r="Q374" s="54" t="n">
        <x:f>N374-P374</x:f>
        <x:v>0</x:v>
      </x:c>
      <x:c r="R374" s="54" t="n">
        <x:v>107</x:v>
      </x:c>
      <x:c r="S374" s="54" t="n">
        <x:f>MIN(F374,MAX(0,ROUND(D374+R374-V374,0)))</x:f>
        <x:v>611</x:v>
      </x:c>
      <x:c r="T374" s="52" t="n">
        <x:v>0.9977367996826868</x:v>
      </x:c>
      <x:c r="U374" s="54" t="n">
        <x:f>MIN(F374,MAX(0,ROUND(S374*T374,0)))</x:f>
        <x:v>610</x:v>
      </x:c>
      <x:c r="V374" s="54" t="n">
        <x:f>AB369</x:f>
        <x:v>91</x:v>
      </x:c>
      <x:c r="W374" s="54" t="n">
        <x:f>U374+V374</x:f>
        <x:v>701</x:v>
      </x:c>
      <x:c r="X374" s="54" t="n">
        <x:f>MIN(E374,W374)</x:f>
        <x:v>590</x:v>
      </x:c>
      <x:c r="Y374" s="54" t="n">
        <x:f>MAX(E374-W374,0)</x:f>
        <x:v>0</x:v>
      </x:c>
      <x:c r="Z374" s="54" t="n">
        <x:f>MAX(W374-X374,0)</x:f>
        <x:v>111</x:v>
      </x:c>
      <x:c r="AA374" s="54" t="n">
        <x:f>MIN(Z374,ROUND(Z374*O374,0))</x:f>
        <x:v>2</x:v>
      </x:c>
      <x:c r="AB374" s="54" t="n">
        <x:f>Z374-AA374</x:f>
        <x:v>109</x:v>
      </x:c>
      <x:c r="AC374" s="52" t="n">
        <x:f>IFERROR(ABS(E374-D374)/E374,0)</x:f>
        <x:v>0.00847457627118644</x:v>
      </x:c>
      <x:c r="AD374" s="52" t="n">
        <x:f>IFERROR(L374/E374,1)</x:f>
        <x:v>0.9711864406779661</x:v>
      </x:c>
      <x:c r="AE374" s="52" t="n">
        <x:f>IFERROR(X374/E374,1)</x:f>
        <x:v>1</x:v>
      </x:c>
      <x:c r="AF374" s="52" t="n">
        <x:f>IFERROR(I374/F374,0)</x:f>
        <x:v>0.8185714285714286</x:v>
      </x:c>
      <x:c r="AG374" s="52" t="n">
        <x:f>IFERROR(U374/F374,0)</x:f>
        <x:v>0.8714285714285714</x:v>
      </x:c>
    </x:row>
    <x:row r="375">
      <x:c r="A375" s="50" t="n">
        <x:v>46236</x:v>
      </x:c>
      <x:c r="B375" s="48" t="str">
        <x:v>Lassi</x:v>
      </x:c>
      <x:c r="C375" s="48" t="n">
        <x:v>7</x:v>
      </x:c>
      <x:c r="D375" s="54" t="n">
        <x:v>476</x:v>
      </x:c>
      <x:c r="E375" s="54" t="n">
        <x:v>461</x:v>
      </x:c>
      <x:c r="F375" s="54" t="n">
        <x:v>560</x:v>
      </x:c>
      <x:c r="G375" s="54" t="n">
        <x:f>ROUND(D375*0.97,0)</x:f>
        <x:v>462</x:v>
      </x:c>
      <x:c r="H375" s="52" t="n">
        <x:v>0.9878838466787265</x:v>
      </x:c>
      <x:c r="I375" s="54" t="n">
        <x:f>MIN(F375,ROUND(G375*H375,0))</x:f>
        <x:v>456</x:v>
      </x:c>
      <x:c r="J375" s="54" t="n">
        <x:f>Q370</x:f>
        <x:v>88</x:v>
      </x:c>
      <x:c r="K375" s="54" t="n">
        <x:f>I375+J375</x:f>
        <x:v>544</x:v>
      </x:c>
      <x:c r="L375" s="54" t="n">
        <x:f>MIN(E375,K375)</x:f>
        <x:v>461</x:v>
      </x:c>
      <x:c r="M375" s="54" t="n">
        <x:f>MAX(E375-K375,0)</x:f>
        <x:v>0</x:v>
      </x:c>
      <x:c r="N375" s="54" t="n">
        <x:f>MAX(K375-L375,0)</x:f>
        <x:v>83</x:v>
      </x:c>
      <x:c r="O375" s="52" t="n">
        <x:v>0.02</x:v>
      </x:c>
      <x:c r="P375" s="54" t="n">
        <x:f>MIN(N375,ROUND(N375*O375,0))</x:f>
        <x:v>2</x:v>
      </x:c>
      <x:c r="Q375" s="54" t="n">
        <x:f>N375-P375</x:f>
        <x:v>81</x:v>
      </x:c>
      <x:c r="R375" s="54" t="n">
        <x:v>86</x:v>
      </x:c>
      <x:c r="S375" s="54" t="n">
        <x:f>MIN(F375,MAX(0,ROUND(D375+R375-V375,0)))</x:f>
        <x:v>441</x:v>
      </x:c>
      <x:c r="T375" s="52" t="n">
        <x:v>0.9906381162444166</x:v>
      </x:c>
      <x:c r="U375" s="54" t="n">
        <x:f>MIN(F375,MAX(0,ROUND(S375*T375,0)))</x:f>
        <x:v>437</x:v>
      </x:c>
      <x:c r="V375" s="54" t="n">
        <x:f>AB370</x:f>
        <x:v>121</x:v>
      </x:c>
      <x:c r="W375" s="54" t="n">
        <x:f>U375+V375</x:f>
        <x:v>558</x:v>
      </x:c>
      <x:c r="X375" s="54" t="n">
        <x:f>MIN(E375,W375)</x:f>
        <x:v>461</x:v>
      </x:c>
      <x:c r="Y375" s="54" t="n">
        <x:f>MAX(E375-W375,0)</x:f>
        <x:v>0</x:v>
      </x:c>
      <x:c r="Z375" s="54" t="n">
        <x:f>MAX(W375-X375,0)</x:f>
        <x:v>97</x:v>
      </x:c>
      <x:c r="AA375" s="54" t="n">
        <x:f>MIN(Z375,ROUND(Z375*O375,0))</x:f>
        <x:v>2</x:v>
      </x:c>
      <x:c r="AB375" s="54" t="n">
        <x:f>Z375-AA375</x:f>
        <x:v>95</x:v>
      </x:c>
      <x:c r="AC375" s="52" t="n">
        <x:f>IFERROR(ABS(E375-D375)/E375,0)</x:f>
        <x:v>0.03253796095444685</x:v>
      </x:c>
      <x:c r="AD375" s="52" t="n">
        <x:f>IFERROR(L375/E375,1)</x:f>
        <x:v>1</x:v>
      </x:c>
      <x:c r="AE375" s="52" t="n">
        <x:f>IFERROR(X375/E375,1)</x:f>
        <x:v>1</x:v>
      </x:c>
      <x:c r="AF375" s="52" t="n">
        <x:f>IFERROR(I375/F375,0)</x:f>
        <x:v>0.8142857142857143</x:v>
      </x:c>
      <x:c r="AG375" s="52" t="n">
        <x:f>IFERROR(U375/F375,0)</x:f>
        <x:v>0.7803571428571429</x:v>
      </x:c>
    </x:row>
    <x:row r="376">
      <x:c r="A376" s="50" t="n">
        <x:v>46236</x:v>
      </x:c>
      <x:c r="B376" s="48" t="str">
        <x:v>Paneer</x:v>
      </x:c>
      <x:c r="C376" s="48" t="n">
        <x:v>5</x:v>
      </x:c>
      <x:c r="D376" s="54" t="n">
        <x:v>189</x:v>
      </x:c>
      <x:c r="E376" s="54" t="n">
        <x:v>170</x:v>
      </x:c>
      <x:c r="F376" s="54" t="n">
        <x:v>230</x:v>
      </x:c>
      <x:c r="G376" s="54" t="n">
        <x:f>ROUND(D376*0.97,0)</x:f>
        <x:v>183</x:v>
      </x:c>
      <x:c r="H376" s="52" t="n">
        <x:v>1.0007067774291143</x:v>
      </x:c>
      <x:c r="I376" s="54" t="n">
        <x:f>MIN(F376,ROUND(G376*H376,0))</x:f>
        <x:v>183</x:v>
      </x:c>
      <x:c r="J376" s="54" t="n">
        <x:f>Q371</x:f>
        <x:v>0</x:v>
      </x:c>
      <x:c r="K376" s="54" t="n">
        <x:f>I376+J376</x:f>
        <x:v>183</x:v>
      </x:c>
      <x:c r="L376" s="54" t="n">
        <x:f>MIN(E376,K376)</x:f>
        <x:v>170</x:v>
      </x:c>
      <x:c r="M376" s="54" t="n">
        <x:f>MAX(E376-K376,0)</x:f>
        <x:v>0</x:v>
      </x:c>
      <x:c r="N376" s="54" t="n">
        <x:f>MAX(K376-L376,0)</x:f>
        <x:v>13</x:v>
      </x:c>
      <x:c r="O376" s="52" t="n">
        <x:v>0.025</x:v>
      </x:c>
      <x:c r="P376" s="54" t="n">
        <x:f>MIN(N376,ROUND(N376*O376,0))</x:f>
        <x:v>0</x:v>
      </x:c>
      <x:c r="Q376" s="54" t="n">
        <x:f>N376-P376</x:f>
        <x:v>13</x:v>
      </x:c>
      <x:c r="R376" s="54" t="n">
        <x:v>38</x:v>
      </x:c>
      <x:c r="S376" s="54" t="n">
        <x:f>MIN(F376,MAX(0,ROUND(D376+R376-V376,0)))</x:f>
        <x:v>211</x:v>
      </x:c>
      <x:c r="T376" s="52" t="n">
        <x:v>0.9956318923175203</x:v>
      </x:c>
      <x:c r="U376" s="54" t="n">
        <x:f>MIN(F376,MAX(0,ROUND(S376*T376,0)))</x:f>
        <x:v>210</x:v>
      </x:c>
      <x:c r="V376" s="54" t="n">
        <x:f>AB371</x:f>
        <x:v>16</x:v>
      </x:c>
      <x:c r="W376" s="54" t="n">
        <x:f>U376+V376</x:f>
        <x:v>226</x:v>
      </x:c>
      <x:c r="X376" s="54" t="n">
        <x:f>MIN(E376,W376)</x:f>
        <x:v>170</x:v>
      </x:c>
      <x:c r="Y376" s="54" t="n">
        <x:f>MAX(E376-W376,0)</x:f>
        <x:v>0</x:v>
      </x:c>
      <x:c r="Z376" s="54" t="n">
        <x:f>MAX(W376-X376,0)</x:f>
        <x:v>56</x:v>
      </x:c>
      <x:c r="AA376" s="54" t="n">
        <x:f>MIN(Z376,ROUND(Z376*O376,0))</x:f>
        <x:v>1</x:v>
      </x:c>
      <x:c r="AB376" s="54" t="n">
        <x:f>Z376-AA376</x:f>
        <x:v>55</x:v>
      </x:c>
      <x:c r="AC376" s="52" t="n">
        <x:f>IFERROR(ABS(E376-D376)/E376,0)</x:f>
        <x:v>0.11176470588235295</x:v>
      </x:c>
      <x:c r="AD376" s="52" t="n">
        <x:f>IFERROR(L376/E376,1)</x:f>
        <x:v>1</x:v>
      </x:c>
      <x:c r="AE376" s="52" t="n">
        <x:f>IFERROR(X376/E376,1)</x:f>
        <x:v>1</x:v>
      </x:c>
      <x:c r="AF376" s="52" t="n">
        <x:f>IFERROR(I376/F376,0)</x:f>
        <x:v>0.7956521739130434</x:v>
      </x:c>
      <x:c r="AG376" s="52" t="n">
        <x:f>IFERROR(U376/F376,0)</x:f>
        <x:v>0.9130434782608695</x:v>
      </x:c>
    </x:row>
    <x:row r="377">
      <x:c r="A377" s="50" t="n">
        <x:v>46237</x:v>
      </x:c>
      <x:c r="B377" s="48" t="str">
        <x:v>Toned Milk</x:v>
      </x:c>
      <x:c r="C377" s="48" t="n">
        <x:v>2</x:v>
      </x:c>
      <x:c r="D377" s="54" t="n">
        <x:v>1675</x:v>
      </x:c>
      <x:c r="E377" s="54" t="n">
        <x:v>1867</x:v>
      </x:c>
      <x:c r="F377" s="54" t="n">
        <x:v>2250</x:v>
      </x:c>
      <x:c r="G377" s="54" t="n">
        <x:f>ROUND(D377*0.97,0)</x:f>
        <x:v>1625</x:v>
      </x:c>
      <x:c r="H377" s="52" t="n">
        <x:v>0.9803467488765516</x:v>
      </x:c>
      <x:c r="I377" s="54" t="n">
        <x:f>MIN(F377,ROUND(G377*H377,0))</x:f>
        <x:v>1593</x:v>
      </x:c>
      <x:c r="J377" s="54" t="n">
        <x:f>Q372</x:f>
        <x:v>54</x:v>
      </x:c>
      <x:c r="K377" s="54" t="n">
        <x:f>I377+J377</x:f>
        <x:v>1647</x:v>
      </x:c>
      <x:c r="L377" s="54" t="n">
        <x:f>MIN(E377,K377)</x:f>
        <x:v>1647</x:v>
      </x:c>
      <x:c r="M377" s="54" t="n">
        <x:f>MAX(E377-K377,0)</x:f>
        <x:v>220</x:v>
      </x:c>
      <x:c r="N377" s="54" t="n">
        <x:f>MAX(K377-L377,0)</x:f>
        <x:v>0</x:v>
      </x:c>
      <x:c r="O377" s="52" t="n">
        <x:v>0.025</x:v>
      </x:c>
      <x:c r="P377" s="54" t="n">
        <x:f>MIN(N377,ROUND(N377*O377,0))</x:f>
        <x:v>0</x:v>
      </x:c>
      <x:c r="Q377" s="54" t="n">
        <x:f>N377-P377</x:f>
        <x:v>0</x:v>
      </x:c>
      <x:c r="R377" s="54" t="n">
        <x:v>201</x:v>
      </x:c>
      <x:c r="S377" s="54" t="n">
        <x:f>MIN(F377,MAX(0,ROUND(D377+R377-V377,0)))</x:f>
        <x:v>1490</x:v>
      </x:c>
      <x:c r="T377" s="52" t="n">
        <x:v>1.0062274123083388</x:v>
      </x:c>
      <x:c r="U377" s="54" t="n">
        <x:f>MIN(F377,MAX(0,ROUND(S377*T377,0)))</x:f>
        <x:v>1499</x:v>
      </x:c>
      <x:c r="V377" s="54" t="n">
        <x:f>AB372</x:f>
        <x:v>386</x:v>
      </x:c>
      <x:c r="W377" s="54" t="n">
        <x:f>U377+V377</x:f>
        <x:v>1885</x:v>
      </x:c>
      <x:c r="X377" s="54" t="n">
        <x:f>MIN(E377,W377)</x:f>
        <x:v>1867</x:v>
      </x:c>
      <x:c r="Y377" s="54" t="n">
        <x:f>MAX(E377-W377,0)</x:f>
        <x:v>0</x:v>
      </x:c>
      <x:c r="Z377" s="54" t="n">
        <x:f>MAX(W377-X377,0)</x:f>
        <x:v>18</x:v>
      </x:c>
      <x:c r="AA377" s="54" t="n">
        <x:f>MIN(Z377,ROUND(Z377*O377,0))</x:f>
        <x:v>0</x:v>
      </x:c>
      <x:c r="AB377" s="54" t="n">
        <x:f>Z377-AA377</x:f>
        <x:v>18</x:v>
      </x:c>
      <x:c r="AC377" s="52" t="n">
        <x:f>IFERROR(ABS(E377-D377)/E377,0)</x:f>
        <x:v>0.10283877878950187</x:v>
      </x:c>
      <x:c r="AD377" s="52" t="n">
        <x:f>IFERROR(L377/E377,1)</x:f>
        <x:v>0.8821638993036958</x:v>
      </x:c>
      <x:c r="AE377" s="52" t="n">
        <x:f>IFERROR(X377/E377,1)</x:f>
        <x:v>1</x:v>
      </x:c>
      <x:c r="AF377" s="52" t="n">
        <x:f>IFERROR(I377/F377,0)</x:f>
        <x:v>0.708</x:v>
      </x:c>
      <x:c r="AG377" s="52" t="n">
        <x:f>IFERROR(U377/F377,0)</x:f>
        <x:v>0.6662222222222223</x:v>
      </x:c>
    </x:row>
    <x:row r="378">
      <x:c r="A378" s="50" t="n">
        <x:v>46237</x:v>
      </x:c>
      <x:c r="B378" s="48" t="str">
        <x:v>Full Cream Milk</x:v>
      </x:c>
      <x:c r="C378" s="48" t="n">
        <x:v>2</x:v>
      </x:c>
      <x:c r="D378" s="54" t="n">
        <x:v>829</x:v>
      </x:c>
      <x:c r="E378" s="54" t="n">
        <x:v>882</x:v>
      </x:c>
      <x:c r="F378" s="54" t="n">
        <x:v>1200</x:v>
      </x:c>
      <x:c r="G378" s="54" t="n">
        <x:f>ROUND(D378*0.97,0)</x:f>
        <x:v>804</x:v>
      </x:c>
      <x:c r="H378" s="52" t="n">
        <x:v>1.0061897027790558</x:v>
      </x:c>
      <x:c r="I378" s="54" t="n">
        <x:f>MIN(F378,ROUND(G378*H378,0))</x:f>
        <x:v>809</x:v>
      </x:c>
      <x:c r="J378" s="54" t="n">
        <x:f>Q373</x:f>
        <x:v>0</x:v>
      </x:c>
      <x:c r="K378" s="54" t="n">
        <x:f>I378+J378</x:f>
        <x:v>809</x:v>
      </x:c>
      <x:c r="L378" s="54" t="n">
        <x:f>MIN(E378,K378)</x:f>
        <x:v>809</x:v>
      </x:c>
      <x:c r="M378" s="54" t="n">
        <x:f>MAX(E378-K378,0)</x:f>
        <x:v>73</x:v>
      </x:c>
      <x:c r="N378" s="54" t="n">
        <x:f>MAX(K378-L378,0)</x:f>
        <x:v>0</x:v>
      </x:c>
      <x:c r="O378" s="52" t="n">
        <x:v>0.03</x:v>
      </x:c>
      <x:c r="P378" s="54" t="n">
        <x:f>MIN(N378,ROUND(N378*O378,0))</x:f>
        <x:v>0</x:v>
      </x:c>
      <x:c r="Q378" s="54" t="n">
        <x:f>N378-P378</x:f>
        <x:v>0</x:v>
      </x:c>
      <x:c r="R378" s="54" t="n">
        <x:v>99</x:v>
      </x:c>
      <x:c r="S378" s="54" t="n">
        <x:f>MIN(F378,MAX(0,ROUND(D378+R378-V378,0)))</x:f>
        <x:v>928</x:v>
      </x:c>
      <x:c r="T378" s="52" t="n">
        <x:v>1.0061827031482804</x:v>
      </x:c>
      <x:c r="U378" s="54" t="n">
        <x:f>MIN(F378,MAX(0,ROUND(S378*T378,0)))</x:f>
        <x:v>934</x:v>
      </x:c>
      <x:c r="V378" s="54" t="n">
        <x:f>AB373</x:f>
        <x:v>0</x:v>
      </x:c>
      <x:c r="W378" s="54" t="n">
        <x:f>U378+V378</x:f>
        <x:v>934</x:v>
      </x:c>
      <x:c r="X378" s="54" t="n">
        <x:f>MIN(E378,W378)</x:f>
        <x:v>882</x:v>
      </x:c>
      <x:c r="Y378" s="54" t="n">
        <x:f>MAX(E378-W378,0)</x:f>
        <x:v>0</x:v>
      </x:c>
      <x:c r="Z378" s="54" t="n">
        <x:f>MAX(W378-X378,0)</x:f>
        <x:v>52</x:v>
      </x:c>
      <x:c r="AA378" s="54" t="n">
        <x:f>MIN(Z378,ROUND(Z378*O378,0))</x:f>
        <x:v>2</x:v>
      </x:c>
      <x:c r="AB378" s="54" t="n">
        <x:f>Z378-AA378</x:f>
        <x:v>50</x:v>
      </x:c>
      <x:c r="AC378" s="52" t="n">
        <x:f>IFERROR(ABS(E378-D378)/E378,0)</x:f>
        <x:v>0.060090702947845805</x:v>
      </x:c>
      <x:c r="AD378" s="52" t="n">
        <x:f>IFERROR(L378/E378,1)</x:f>
        <x:v>0.9172335600907029</x:v>
      </x:c>
      <x:c r="AE378" s="52" t="n">
        <x:f>IFERROR(X378/E378,1)</x:f>
        <x:v>1</x:v>
      </x:c>
      <x:c r="AF378" s="52" t="n">
        <x:f>IFERROR(I378/F378,0)</x:f>
        <x:v>0.6741666666666667</x:v>
      </x:c>
      <x:c r="AG378" s="52" t="n">
        <x:f>IFERROR(U378/F378,0)</x:f>
        <x:v>0.7783333333333333</x:v>
      </x:c>
    </x:row>
    <x:row r="379">
      <x:c r="A379" s="50" t="n">
        <x:v>46237</x:v>
      </x:c>
      <x:c r="B379" s="48" t="str">
        <x:v>Curd</x:v>
      </x:c>
      <x:c r="C379" s="48" t="n">
        <x:v>7</x:v>
      </x:c>
      <x:c r="D379" s="54" t="n">
        <x:v>477</x:v>
      </x:c>
      <x:c r="E379" s="54" t="n">
        <x:v>467</x:v>
      </x:c>
      <x:c r="F379" s="54" t="n">
        <x:v>700</x:v>
      </x:c>
      <x:c r="G379" s="54" t="n">
        <x:f>ROUND(D379*0.97,0)</x:f>
        <x:v>463</x:v>
      </x:c>
      <x:c r="H379" s="52" t="n">
        <x:v>1.0060629894652846</x:v>
      </x:c>
      <x:c r="I379" s="54" t="n">
        <x:f>MIN(F379,ROUND(G379*H379,0))</x:f>
        <x:v>466</x:v>
      </x:c>
      <x:c r="J379" s="54" t="n">
        <x:f>Q374</x:f>
        <x:v>0</x:v>
      </x:c>
      <x:c r="K379" s="54" t="n">
        <x:f>I379+J379</x:f>
        <x:v>466</x:v>
      </x:c>
      <x:c r="L379" s="54" t="n">
        <x:f>MIN(E379,K379)</x:f>
        <x:v>466</x:v>
      </x:c>
      <x:c r="M379" s="54" t="n">
        <x:f>MAX(E379-K379,0)</x:f>
        <x:v>1</x:v>
      </x:c>
      <x:c r="N379" s="54" t="n">
        <x:f>MAX(K379-L379,0)</x:f>
        <x:v>0</x:v>
      </x:c>
      <x:c r="O379" s="52" t="n">
        <x:v>0.018</x:v>
      </x:c>
      <x:c r="P379" s="54" t="n">
        <x:f>MIN(N379,ROUND(N379*O379,0))</x:f>
        <x:v>0</x:v>
      </x:c>
      <x:c r="Q379" s="54" t="n">
        <x:f>N379-P379</x:f>
        <x:v>0</x:v>
      </x:c>
      <x:c r="R379" s="54" t="n">
        <x:v>86</x:v>
      </x:c>
      <x:c r="S379" s="54" t="n">
        <x:f>MIN(F379,MAX(0,ROUND(D379+R379-V379,0)))</x:f>
        <x:v>454</x:v>
      </x:c>
      <x:c r="T379" s="52" t="n">
        <x:v>1.0136089739379053</x:v>
      </x:c>
      <x:c r="U379" s="54" t="n">
        <x:f>MIN(F379,MAX(0,ROUND(S379*T379,0)))</x:f>
        <x:v>460</x:v>
      </x:c>
      <x:c r="V379" s="54" t="n">
        <x:f>AB374</x:f>
        <x:v>109</x:v>
      </x:c>
      <x:c r="W379" s="54" t="n">
        <x:f>U379+V379</x:f>
        <x:v>569</x:v>
      </x:c>
      <x:c r="X379" s="54" t="n">
        <x:f>MIN(E379,W379)</x:f>
        <x:v>467</x:v>
      </x:c>
      <x:c r="Y379" s="54" t="n">
        <x:f>MAX(E379-W379,0)</x:f>
        <x:v>0</x:v>
      </x:c>
      <x:c r="Z379" s="54" t="n">
        <x:f>MAX(W379-X379,0)</x:f>
        <x:v>102</x:v>
      </x:c>
      <x:c r="AA379" s="54" t="n">
        <x:f>MIN(Z379,ROUND(Z379*O379,0))</x:f>
        <x:v>2</x:v>
      </x:c>
      <x:c r="AB379" s="54" t="n">
        <x:f>Z379-AA379</x:f>
        <x:v>100</x:v>
      </x:c>
      <x:c r="AC379" s="52" t="n">
        <x:f>IFERROR(ABS(E379-D379)/E379,0)</x:f>
        <x:v>0.021413276231263382</x:v>
      </x:c>
      <x:c r="AD379" s="52" t="n">
        <x:f>IFERROR(L379/E379,1)</x:f>
        <x:v>0.9978586723768736</x:v>
      </x:c>
      <x:c r="AE379" s="52" t="n">
        <x:f>IFERROR(X379/E379,1)</x:f>
        <x:v>1</x:v>
      </x:c>
      <x:c r="AF379" s="52" t="n">
        <x:f>IFERROR(I379/F379,0)</x:f>
        <x:v>0.6657142857142857</x:v>
      </x:c>
      <x:c r="AG379" s="52" t="n">
        <x:f>IFERROR(U379/F379,0)</x:f>
        <x:v>0.6571428571428571</x:v>
      </x:c>
    </x:row>
    <x:row r="380">
      <x:c r="A380" s="50" t="n">
        <x:v>46237</x:v>
      </x:c>
      <x:c r="B380" s="48" t="str">
        <x:v>Lassi</x:v>
      </x:c>
      <x:c r="C380" s="48" t="n">
        <x:v>7</x:v>
      </x:c>
      <x:c r="D380" s="54" t="n">
        <x:v>369</x:v>
      </x:c>
      <x:c r="E380" s="54" t="n">
        <x:v>343</x:v>
      </x:c>
      <x:c r="F380" s="54" t="n">
        <x:v>560</x:v>
      </x:c>
      <x:c r="G380" s="54" t="n">
        <x:f>ROUND(D380*0.97,0)</x:f>
        <x:v>358</x:v>
      </x:c>
      <x:c r="H380" s="52" t="n">
        <x:v>1.0014199184172443</x:v>
      </x:c>
      <x:c r="I380" s="54" t="n">
        <x:f>MIN(F380,ROUND(G380*H380,0))</x:f>
        <x:v>359</x:v>
      </x:c>
      <x:c r="J380" s="54" t="n">
        <x:f>Q375</x:f>
        <x:v>81</x:v>
      </x:c>
      <x:c r="K380" s="54" t="n">
        <x:f>I380+J380</x:f>
        <x:v>440</x:v>
      </x:c>
      <x:c r="L380" s="54" t="n">
        <x:f>MIN(E380,K380)</x:f>
        <x:v>343</x:v>
      </x:c>
      <x:c r="M380" s="54" t="n">
        <x:f>MAX(E380-K380,0)</x:f>
        <x:v>0</x:v>
      </x:c>
      <x:c r="N380" s="54" t="n">
        <x:f>MAX(K380-L380,0)</x:f>
        <x:v>97</x:v>
      </x:c>
      <x:c r="O380" s="52" t="n">
        <x:v>0.02</x:v>
      </x:c>
      <x:c r="P380" s="54" t="n">
        <x:f>MIN(N380,ROUND(N380*O380,0))</x:f>
        <x:v>2</x:v>
      </x:c>
      <x:c r="Q380" s="54" t="n">
        <x:f>N380-P380</x:f>
        <x:v>95</x:v>
      </x:c>
      <x:c r="R380" s="54" t="n">
        <x:v>66</x:v>
      </x:c>
      <x:c r="S380" s="54" t="n">
        <x:f>MIN(F380,MAX(0,ROUND(D380+R380-V380,0)))</x:f>
        <x:v>340</x:v>
      </x:c>
      <x:c r="T380" s="52" t="n">
        <x:v>1.0090609289439343</x:v>
      </x:c>
      <x:c r="U380" s="54" t="n">
        <x:f>MIN(F380,MAX(0,ROUND(S380*T380,0)))</x:f>
        <x:v>343</x:v>
      </x:c>
      <x:c r="V380" s="54" t="n">
        <x:f>AB375</x:f>
        <x:v>95</x:v>
      </x:c>
      <x:c r="W380" s="54" t="n">
        <x:f>U380+V380</x:f>
        <x:v>438</x:v>
      </x:c>
      <x:c r="X380" s="54" t="n">
        <x:f>MIN(E380,W380)</x:f>
        <x:v>343</x:v>
      </x:c>
      <x:c r="Y380" s="54" t="n">
        <x:f>MAX(E380-W380,0)</x:f>
        <x:v>0</x:v>
      </x:c>
      <x:c r="Z380" s="54" t="n">
        <x:f>MAX(W380-X380,0)</x:f>
        <x:v>95</x:v>
      </x:c>
      <x:c r="AA380" s="54" t="n">
        <x:f>MIN(Z380,ROUND(Z380*O380,0))</x:f>
        <x:v>2</x:v>
      </x:c>
      <x:c r="AB380" s="54" t="n">
        <x:f>Z380-AA380</x:f>
        <x:v>93</x:v>
      </x:c>
      <x:c r="AC380" s="52" t="n">
        <x:f>IFERROR(ABS(E380-D380)/E380,0)</x:f>
        <x:v>0.07580174927113703</x:v>
      </x:c>
      <x:c r="AD380" s="52" t="n">
        <x:f>IFERROR(L380/E380,1)</x:f>
        <x:v>1</x:v>
      </x:c>
      <x:c r="AE380" s="52" t="n">
        <x:f>IFERROR(X380/E380,1)</x:f>
        <x:v>1</x:v>
      </x:c>
      <x:c r="AF380" s="52" t="n">
        <x:f>IFERROR(I380/F380,0)</x:f>
        <x:v>0.6410714285714286</x:v>
      </x:c>
      <x:c r="AG380" s="52" t="n">
        <x:f>IFERROR(U380/F380,0)</x:f>
        <x:v>0.6125</x:v>
      </x:c>
    </x:row>
    <x:row r="381">
      <x:c r="A381" s="50" t="n">
        <x:v>46237</x:v>
      </x:c>
      <x:c r="B381" s="48" t="str">
        <x:v>Paneer</x:v>
      </x:c>
      <x:c r="C381" s="48" t="n">
        <x:v>5</x:v>
      </x:c>
      <x:c r="D381" s="54" t="n">
        <x:v>151</x:v>
      </x:c>
      <x:c r="E381" s="54" t="n">
        <x:v>163</x:v>
      </x:c>
      <x:c r="F381" s="54" t="n">
        <x:v>230</x:v>
      </x:c>
      <x:c r="G381" s="54" t="n">
        <x:f>ROUND(D381*0.97,0)</x:f>
        <x:v>146</x:v>
      </x:c>
      <x:c r="H381" s="52" t="n">
        <x:v>0.9814948778642676</x:v>
      </x:c>
      <x:c r="I381" s="54" t="n">
        <x:f>MIN(F381,ROUND(G381*H381,0))</x:f>
        <x:v>143</x:v>
      </x:c>
      <x:c r="J381" s="54" t="n">
        <x:f>Q376</x:f>
        <x:v>13</x:v>
      </x:c>
      <x:c r="K381" s="54" t="n">
        <x:f>I381+J381</x:f>
        <x:v>156</x:v>
      </x:c>
      <x:c r="L381" s="54" t="n">
        <x:f>MIN(E381,K381)</x:f>
        <x:v>156</x:v>
      </x:c>
      <x:c r="M381" s="54" t="n">
        <x:f>MAX(E381-K381,0)</x:f>
        <x:v>7</x:v>
      </x:c>
      <x:c r="N381" s="54" t="n">
        <x:f>MAX(K381-L381,0)</x:f>
        <x:v>0</x:v>
      </x:c>
      <x:c r="O381" s="52" t="n">
        <x:v>0.025</x:v>
      </x:c>
      <x:c r="P381" s="54" t="n">
        <x:f>MIN(N381,ROUND(N381*O381,0))</x:f>
        <x:v>0</x:v>
      </x:c>
      <x:c r="Q381" s="54" t="n">
        <x:f>N381-P381</x:f>
        <x:v>0</x:v>
      </x:c>
      <x:c r="R381" s="54" t="n">
        <x:v>30</x:v>
      </x:c>
      <x:c r="S381" s="54" t="n">
        <x:f>MIN(F381,MAX(0,ROUND(D381+R381-V381,0)))</x:f>
        <x:v>126</x:v>
      </x:c>
      <x:c r="T381" s="52" t="n">
        <x:v>0.9932932186743884</x:v>
      </x:c>
      <x:c r="U381" s="54" t="n">
        <x:f>MIN(F381,MAX(0,ROUND(S381*T381,0)))</x:f>
        <x:v>125</x:v>
      </x:c>
      <x:c r="V381" s="54" t="n">
        <x:f>AB376</x:f>
        <x:v>55</x:v>
      </x:c>
      <x:c r="W381" s="54" t="n">
        <x:f>U381+V381</x:f>
        <x:v>180</x:v>
      </x:c>
      <x:c r="X381" s="54" t="n">
        <x:f>MIN(E381,W381)</x:f>
        <x:v>163</x:v>
      </x:c>
      <x:c r="Y381" s="54" t="n">
        <x:f>MAX(E381-W381,0)</x:f>
        <x:v>0</x:v>
      </x:c>
      <x:c r="Z381" s="54" t="n">
        <x:f>MAX(W381-X381,0)</x:f>
        <x:v>17</x:v>
      </x:c>
      <x:c r="AA381" s="54" t="n">
        <x:f>MIN(Z381,ROUND(Z381*O381,0))</x:f>
        <x:v>0</x:v>
      </x:c>
      <x:c r="AB381" s="54" t="n">
        <x:f>Z381-AA381</x:f>
        <x:v>17</x:v>
      </x:c>
      <x:c r="AC381" s="52" t="n">
        <x:f>IFERROR(ABS(E381-D381)/E381,0)</x:f>
        <x:v>0.0736196319018405</x:v>
      </x:c>
      <x:c r="AD381" s="52" t="n">
        <x:f>IFERROR(L381/E381,1)</x:f>
        <x:v>0.9570552147239264</x:v>
      </x:c>
      <x:c r="AE381" s="52" t="n">
        <x:f>IFERROR(X381/E381,1)</x:f>
        <x:v>1</x:v>
      </x:c>
      <x:c r="AF381" s="52" t="n">
        <x:f>IFERROR(I381/F381,0)</x:f>
        <x:v>0.6217391304347826</x:v>
      </x:c>
      <x:c r="AG381" s="52" t="n">
        <x:f>IFERROR(U381/F381,0)</x:f>
        <x:v>0.5434782608695652</x:v>
      </x:c>
    </x:row>
    <x:row r="382">
      <x:c r="A382" s="50" t="n">
        <x:v>46238</x:v>
      </x:c>
      <x:c r="B382" s="48" t="str">
        <x:v>Toned Milk</x:v>
      </x:c>
      <x:c r="C382" s="48" t="n">
        <x:v>2</x:v>
      </x:c>
      <x:c r="D382" s="54" t="n">
        <x:v>1710</x:v>
      </x:c>
      <x:c r="E382" s="54" t="n">
        <x:v>1833</x:v>
      </x:c>
      <x:c r="F382" s="54" t="n">
        <x:v>2250</x:v>
      </x:c>
      <x:c r="G382" s="54" t="n">
        <x:f>ROUND(D382*0.97,0)</x:f>
        <x:v>1659</x:v>
      </x:c>
      <x:c r="H382" s="52" t="n">
        <x:v>0.997865291247762</x:v>
      </x:c>
      <x:c r="I382" s="54" t="n">
        <x:f>MIN(F382,ROUND(G382*H382,0))</x:f>
        <x:v>1655</x:v>
      </x:c>
      <x:c r="J382" s="54" t="n">
        <x:f>Q377</x:f>
        <x:v>0</x:v>
      </x:c>
      <x:c r="K382" s="54" t="n">
        <x:f>I382+J382</x:f>
        <x:v>1655</x:v>
      </x:c>
      <x:c r="L382" s="54" t="n">
        <x:f>MIN(E382,K382)</x:f>
        <x:v>1655</x:v>
      </x:c>
      <x:c r="M382" s="54" t="n">
        <x:f>MAX(E382-K382,0)</x:f>
        <x:v>178</x:v>
      </x:c>
      <x:c r="N382" s="54" t="n">
        <x:f>MAX(K382-L382,0)</x:f>
        <x:v>0</x:v>
      </x:c>
      <x:c r="O382" s="52" t="n">
        <x:v>0.025</x:v>
      </x:c>
      <x:c r="P382" s="54" t="n">
        <x:f>MIN(N382,ROUND(N382*O382,0))</x:f>
        <x:v>0</x:v>
      </x:c>
      <x:c r="Q382" s="54" t="n">
        <x:f>N382-P382</x:f>
        <x:v>0</x:v>
      </x:c>
      <x:c r="R382" s="54" t="n">
        <x:v>205</x:v>
      </x:c>
      <x:c r="S382" s="54" t="n">
        <x:f>MIN(F382,MAX(0,ROUND(D382+R382-V382,0)))</x:f>
        <x:v>1897</x:v>
      </x:c>
      <x:c r="T382" s="52" t="n">
        <x:v>0.9941924349995896</x:v>
      </x:c>
      <x:c r="U382" s="54" t="n">
        <x:f>MIN(F382,MAX(0,ROUND(S382*T382,0)))</x:f>
        <x:v>1886</x:v>
      </x:c>
      <x:c r="V382" s="54" t="n">
        <x:f>AB377</x:f>
        <x:v>18</x:v>
      </x:c>
      <x:c r="W382" s="54" t="n">
        <x:f>U382+V382</x:f>
        <x:v>1904</x:v>
      </x:c>
      <x:c r="X382" s="54" t="n">
        <x:f>MIN(E382,W382)</x:f>
        <x:v>1833</x:v>
      </x:c>
      <x:c r="Y382" s="54" t="n">
        <x:f>MAX(E382-W382,0)</x:f>
        <x:v>0</x:v>
      </x:c>
      <x:c r="Z382" s="54" t="n">
        <x:f>MAX(W382-X382,0)</x:f>
        <x:v>71</x:v>
      </x:c>
      <x:c r="AA382" s="54" t="n">
        <x:f>MIN(Z382,ROUND(Z382*O382,0))</x:f>
        <x:v>2</x:v>
      </x:c>
      <x:c r="AB382" s="54" t="n">
        <x:f>Z382-AA382</x:f>
        <x:v>69</x:v>
      </x:c>
      <x:c r="AC382" s="52" t="n">
        <x:f>IFERROR(ABS(E382-D382)/E382,0)</x:f>
        <x:v>0.06710310965630115</x:v>
      </x:c>
      <x:c r="AD382" s="52" t="n">
        <x:f>IFERROR(L382/E382,1)</x:f>
        <x:v>0.9028914348063284</x:v>
      </x:c>
      <x:c r="AE382" s="52" t="n">
        <x:f>IFERROR(X382/E382,1)</x:f>
        <x:v>1</x:v>
      </x:c>
      <x:c r="AF382" s="52" t="n">
        <x:f>IFERROR(I382/F382,0)</x:f>
        <x:v>0.7355555555555555</x:v>
      </x:c>
      <x:c r="AG382" s="52" t="n">
        <x:f>IFERROR(U382/F382,0)</x:f>
        <x:v>0.8382222222222222</x:v>
      </x:c>
    </x:row>
    <x:row r="383">
      <x:c r="A383" s="50" t="n">
        <x:v>46238</x:v>
      </x:c>
      <x:c r="B383" s="48" t="str">
        <x:v>Full Cream Milk</x:v>
      </x:c>
      <x:c r="C383" s="48" t="n">
        <x:v>2</x:v>
      </x:c>
      <x:c r="D383" s="54" t="n">
        <x:v>855</x:v>
      </x:c>
      <x:c r="E383" s="54" t="n">
        <x:v>782</x:v>
      </x:c>
      <x:c r="F383" s="54" t="n">
        <x:v>1200</x:v>
      </x:c>
      <x:c r="G383" s="54" t="n">
        <x:f>ROUND(D383*0.97,0)</x:f>
        <x:v>829</x:v>
      </x:c>
      <x:c r="H383" s="52" t="n">
        <x:v>1.0097300674516834</x:v>
      </x:c>
      <x:c r="I383" s="54" t="n">
        <x:f>MIN(F383,ROUND(G383*H383,0))</x:f>
        <x:v>837</x:v>
      </x:c>
      <x:c r="J383" s="54" t="n">
        <x:f>Q378</x:f>
        <x:v>0</x:v>
      </x:c>
      <x:c r="K383" s="54" t="n">
        <x:f>I383+J383</x:f>
        <x:v>837</x:v>
      </x:c>
      <x:c r="L383" s="54" t="n">
        <x:f>MIN(E383,K383)</x:f>
        <x:v>782</x:v>
      </x:c>
      <x:c r="M383" s="54" t="n">
        <x:f>MAX(E383-K383,0)</x:f>
        <x:v>0</x:v>
      </x:c>
      <x:c r="N383" s="54" t="n">
        <x:f>MAX(K383-L383,0)</x:f>
        <x:v>55</x:v>
      </x:c>
      <x:c r="O383" s="52" t="n">
        <x:v>0.03</x:v>
      </x:c>
      <x:c r="P383" s="54" t="n">
        <x:f>MIN(N383,ROUND(N383*O383,0))</x:f>
        <x:v>2</x:v>
      </x:c>
      <x:c r="Q383" s="54" t="n">
        <x:f>N383-P383</x:f>
        <x:v>53</x:v>
      </x:c>
      <x:c r="R383" s="54" t="n">
        <x:v>103</x:v>
      </x:c>
      <x:c r="S383" s="54" t="n">
        <x:f>MIN(F383,MAX(0,ROUND(D383+R383-V383,0)))</x:f>
        <x:v>908</x:v>
      </x:c>
      <x:c r="T383" s="52" t="n">
        <x:v>0.9891355162804918</x:v>
      </x:c>
      <x:c r="U383" s="54" t="n">
        <x:f>MIN(F383,MAX(0,ROUND(S383*T383,0)))</x:f>
        <x:v>898</x:v>
      </x:c>
      <x:c r="V383" s="54" t="n">
        <x:f>AB378</x:f>
        <x:v>50</x:v>
      </x:c>
      <x:c r="W383" s="54" t="n">
        <x:f>U383+V383</x:f>
        <x:v>948</x:v>
      </x:c>
      <x:c r="X383" s="54" t="n">
        <x:f>MIN(E383,W383)</x:f>
        <x:v>782</x:v>
      </x:c>
      <x:c r="Y383" s="54" t="n">
        <x:f>MAX(E383-W383,0)</x:f>
        <x:v>0</x:v>
      </x:c>
      <x:c r="Z383" s="54" t="n">
        <x:f>MAX(W383-X383,0)</x:f>
        <x:v>166</x:v>
      </x:c>
      <x:c r="AA383" s="54" t="n">
        <x:f>MIN(Z383,ROUND(Z383*O383,0))</x:f>
        <x:v>5</x:v>
      </x:c>
      <x:c r="AB383" s="54" t="n">
        <x:f>Z383-AA383</x:f>
        <x:v>161</x:v>
      </x:c>
      <x:c r="AC383" s="52" t="n">
        <x:f>IFERROR(ABS(E383-D383)/E383,0)</x:f>
        <x:v>0.09335038363171355</x:v>
      </x:c>
      <x:c r="AD383" s="52" t="n">
        <x:f>IFERROR(L383/E383,1)</x:f>
        <x:v>1</x:v>
      </x:c>
      <x:c r="AE383" s="52" t="n">
        <x:f>IFERROR(X383/E383,1)</x:f>
        <x:v>1</x:v>
      </x:c>
      <x:c r="AF383" s="52" t="n">
        <x:f>IFERROR(I383/F383,0)</x:f>
        <x:v>0.6975</x:v>
      </x:c>
      <x:c r="AG383" s="52" t="n">
        <x:f>IFERROR(U383/F383,0)</x:f>
        <x:v>0.7483333333333333</x:v>
      </x:c>
    </x:row>
    <x:row r="384">
      <x:c r="A384" s="50" t="n">
        <x:v>46238</x:v>
      </x:c>
      <x:c r="B384" s="48" t="str">
        <x:v>Curd</x:v>
      </x:c>
      <x:c r="C384" s="48" t="n">
        <x:v>7</x:v>
      </x:c>
      <x:c r="D384" s="54" t="n">
        <x:v>493</x:v>
      </x:c>
      <x:c r="E384" s="54" t="n">
        <x:v>486</x:v>
      </x:c>
      <x:c r="F384" s="54" t="n">
        <x:v>700</x:v>
      </x:c>
      <x:c r="G384" s="54" t="n">
        <x:f>ROUND(D384*0.97,0)</x:f>
        <x:v>478</x:v>
      </x:c>
      <x:c r="H384" s="52" t="n">
        <x:v>0.9971683872742321</x:v>
      </x:c>
      <x:c r="I384" s="54" t="n">
        <x:f>MIN(F384,ROUND(G384*H384,0))</x:f>
        <x:v>477</x:v>
      </x:c>
      <x:c r="J384" s="54" t="n">
        <x:f>Q379</x:f>
        <x:v>0</x:v>
      </x:c>
      <x:c r="K384" s="54" t="n">
        <x:f>I384+J384</x:f>
        <x:v>477</x:v>
      </x:c>
      <x:c r="L384" s="54" t="n">
        <x:f>MIN(E384,K384)</x:f>
        <x:v>477</x:v>
      </x:c>
      <x:c r="M384" s="54" t="n">
        <x:f>MAX(E384-K384,0)</x:f>
        <x:v>9</x:v>
      </x:c>
      <x:c r="N384" s="54" t="n">
        <x:f>MAX(K384-L384,0)</x:f>
        <x:v>0</x:v>
      </x:c>
      <x:c r="O384" s="52" t="n">
        <x:v>0.018</x:v>
      </x:c>
      <x:c r="P384" s="54" t="n">
        <x:f>MIN(N384,ROUND(N384*O384,0))</x:f>
        <x:v>0</x:v>
      </x:c>
      <x:c r="Q384" s="54" t="n">
        <x:f>N384-P384</x:f>
        <x:v>0</x:v>
      </x:c>
      <x:c r="R384" s="54" t="n">
        <x:v>89</x:v>
      </x:c>
      <x:c r="S384" s="54" t="n">
        <x:f>MIN(F384,MAX(0,ROUND(D384+R384-V384,0)))</x:f>
        <x:v>482</x:v>
      </x:c>
      <x:c r="T384" s="52" t="n">
        <x:v>0.9965441013374932</x:v>
      </x:c>
      <x:c r="U384" s="54" t="n">
        <x:f>MIN(F384,MAX(0,ROUND(S384*T384,0)))</x:f>
        <x:v>480</x:v>
      </x:c>
      <x:c r="V384" s="54" t="n">
        <x:f>AB379</x:f>
        <x:v>100</x:v>
      </x:c>
      <x:c r="W384" s="54" t="n">
        <x:f>U384+V384</x:f>
        <x:v>580</x:v>
      </x:c>
      <x:c r="X384" s="54" t="n">
        <x:f>MIN(E384,W384)</x:f>
        <x:v>486</x:v>
      </x:c>
      <x:c r="Y384" s="54" t="n">
        <x:f>MAX(E384-W384,0)</x:f>
        <x:v>0</x:v>
      </x:c>
      <x:c r="Z384" s="54" t="n">
        <x:f>MAX(W384-X384,0)</x:f>
        <x:v>94</x:v>
      </x:c>
      <x:c r="AA384" s="54" t="n">
        <x:f>MIN(Z384,ROUND(Z384*O384,0))</x:f>
        <x:v>2</x:v>
      </x:c>
      <x:c r="AB384" s="54" t="n">
        <x:f>Z384-AA384</x:f>
        <x:v>92</x:v>
      </x:c>
      <x:c r="AC384" s="52" t="n">
        <x:f>IFERROR(ABS(E384-D384)/E384,0)</x:f>
        <x:v>0.01440329218106996</x:v>
      </x:c>
      <x:c r="AD384" s="52" t="n">
        <x:f>IFERROR(L384/E384,1)</x:f>
        <x:v>0.9814814814814815</x:v>
      </x:c>
      <x:c r="AE384" s="52" t="n">
        <x:f>IFERROR(X384/E384,1)</x:f>
        <x:v>1</x:v>
      </x:c>
      <x:c r="AF384" s="52" t="n">
        <x:f>IFERROR(I384/F384,0)</x:f>
        <x:v>0.6814285714285714</x:v>
      </x:c>
      <x:c r="AG384" s="52" t="n">
        <x:f>IFERROR(U384/F384,0)</x:f>
        <x:v>0.6857142857142857</x:v>
      </x:c>
    </x:row>
    <x:row r="385">
      <x:c r="A385" s="50" t="n">
        <x:v>46238</x:v>
      </x:c>
      <x:c r="B385" s="48" t="str">
        <x:v>Lassi</x:v>
      </x:c>
      <x:c r="C385" s="48" t="n">
        <x:v>7</x:v>
      </x:c>
      <x:c r="D385" s="54" t="n">
        <x:v>386</x:v>
      </x:c>
      <x:c r="E385" s="54" t="n">
        <x:v>331</x:v>
      </x:c>
      <x:c r="F385" s="54" t="n">
        <x:v>560</x:v>
      </x:c>
      <x:c r="G385" s="54" t="n">
        <x:f>ROUND(D385*0.97,0)</x:f>
        <x:v>374</x:v>
      </x:c>
      <x:c r="H385" s="52" t="n">
        <x:v>0.9956280690656888</x:v>
      </x:c>
      <x:c r="I385" s="54" t="n">
        <x:f>MIN(F385,ROUND(G385*H385,0))</x:f>
        <x:v>372</x:v>
      </x:c>
      <x:c r="J385" s="54" t="n">
        <x:f>Q380</x:f>
        <x:v>95</x:v>
      </x:c>
      <x:c r="K385" s="54" t="n">
        <x:f>I385+J385</x:f>
        <x:v>467</x:v>
      </x:c>
      <x:c r="L385" s="54" t="n">
        <x:f>MIN(E385,K385)</x:f>
        <x:v>331</x:v>
      </x:c>
      <x:c r="M385" s="54" t="n">
        <x:f>MAX(E385-K385,0)</x:f>
        <x:v>0</x:v>
      </x:c>
      <x:c r="N385" s="54" t="n">
        <x:f>MAX(K385-L385,0)</x:f>
        <x:v>136</x:v>
      </x:c>
      <x:c r="O385" s="52" t="n">
        <x:v>0.02</x:v>
      </x:c>
      <x:c r="P385" s="54" t="n">
        <x:f>MIN(N385,ROUND(N385*O385,0))</x:f>
        <x:v>3</x:v>
      </x:c>
      <x:c r="Q385" s="54" t="n">
        <x:f>N385-P385</x:f>
        <x:v>133</x:v>
      </x:c>
      <x:c r="R385" s="54" t="n">
        <x:v>69</x:v>
      </x:c>
      <x:c r="S385" s="54" t="n">
        <x:f>MIN(F385,MAX(0,ROUND(D385+R385-V385,0)))</x:f>
        <x:v>362</x:v>
      </x:c>
      <x:c r="T385" s="52" t="n">
        <x:v>0.9859761959491173</x:v>
      </x:c>
      <x:c r="U385" s="54" t="n">
        <x:f>MIN(F385,MAX(0,ROUND(S385*T385,0)))</x:f>
        <x:v>357</x:v>
      </x:c>
      <x:c r="V385" s="54" t="n">
        <x:f>AB380</x:f>
        <x:v>93</x:v>
      </x:c>
      <x:c r="W385" s="54" t="n">
        <x:f>U385+V385</x:f>
        <x:v>450</x:v>
      </x:c>
      <x:c r="X385" s="54" t="n">
        <x:f>MIN(E385,W385)</x:f>
        <x:v>331</x:v>
      </x:c>
      <x:c r="Y385" s="54" t="n">
        <x:f>MAX(E385-W385,0)</x:f>
        <x:v>0</x:v>
      </x:c>
      <x:c r="Z385" s="54" t="n">
        <x:f>MAX(W385-X385,0)</x:f>
        <x:v>119</x:v>
      </x:c>
      <x:c r="AA385" s="54" t="n">
        <x:f>MIN(Z385,ROUND(Z385*O385,0))</x:f>
        <x:v>2</x:v>
      </x:c>
      <x:c r="AB385" s="54" t="n">
        <x:f>Z385-AA385</x:f>
        <x:v>117</x:v>
      </x:c>
      <x:c r="AC385" s="52" t="n">
        <x:f>IFERROR(ABS(E385-D385)/E385,0)</x:f>
        <x:v>0.1661631419939577</x:v>
      </x:c>
      <x:c r="AD385" s="52" t="n">
        <x:f>IFERROR(L385/E385,1)</x:f>
        <x:v>1</x:v>
      </x:c>
      <x:c r="AE385" s="52" t="n">
        <x:f>IFERROR(X385/E385,1)</x:f>
        <x:v>1</x:v>
      </x:c>
      <x:c r="AF385" s="52" t="n">
        <x:f>IFERROR(I385/F385,0)</x:f>
        <x:v>0.6642857142857143</x:v>
      </x:c>
      <x:c r="AG385" s="52" t="n">
        <x:f>IFERROR(U385/F385,0)</x:f>
        <x:v>0.6375</x:v>
      </x:c>
    </x:row>
    <x:row r="386">
      <x:c r="A386" s="50" t="n">
        <x:v>46238</x:v>
      </x:c>
      <x:c r="B386" s="48" t="str">
        <x:v>Paneer</x:v>
      </x:c>
      <x:c r="C386" s="48" t="n">
        <x:v>5</x:v>
      </x:c>
      <x:c r="D386" s="54" t="n">
        <x:v>156</x:v>
      </x:c>
      <x:c r="E386" s="54" t="n">
        <x:v>183</x:v>
      </x:c>
      <x:c r="F386" s="54" t="n">
        <x:v>230</x:v>
      </x:c>
      <x:c r="G386" s="54" t="n">
        <x:f>ROUND(D386*0.97,0)</x:f>
        <x:v>151</x:v>
      </x:c>
      <x:c r="H386" s="52" t="n">
        <x:v>1.0135020916737236</x:v>
      </x:c>
      <x:c r="I386" s="54" t="n">
        <x:f>MIN(F386,ROUND(G386*H386,0))</x:f>
        <x:v>153</x:v>
      </x:c>
      <x:c r="J386" s="54" t="n">
        <x:f>Q381</x:f>
        <x:v>0</x:v>
      </x:c>
      <x:c r="K386" s="54" t="n">
        <x:f>I386+J386</x:f>
        <x:v>153</x:v>
      </x:c>
      <x:c r="L386" s="54" t="n">
        <x:f>MIN(E386,K386)</x:f>
        <x:v>153</x:v>
      </x:c>
      <x:c r="M386" s="54" t="n">
        <x:f>MAX(E386-K386,0)</x:f>
        <x:v>30</x:v>
      </x:c>
      <x:c r="N386" s="54" t="n">
        <x:f>MAX(K386-L386,0)</x:f>
        <x:v>0</x:v>
      </x:c>
      <x:c r="O386" s="52" t="n">
        <x:v>0.025</x:v>
      </x:c>
      <x:c r="P386" s="54" t="n">
        <x:f>MIN(N386,ROUND(N386*O386,0))</x:f>
        <x:v>0</x:v>
      </x:c>
      <x:c r="Q386" s="54" t="n">
        <x:f>N386-P386</x:f>
        <x:v>0</x:v>
      </x:c>
      <x:c r="R386" s="54" t="n">
        <x:v>31</x:v>
      </x:c>
      <x:c r="S386" s="54" t="n">
        <x:f>MIN(F386,MAX(0,ROUND(D386+R386-V386,0)))</x:f>
        <x:v>170</x:v>
      </x:c>
      <x:c r="T386" s="52" t="n">
        <x:v>0.9804757476627358</x:v>
      </x:c>
      <x:c r="U386" s="54" t="n">
        <x:f>MIN(F386,MAX(0,ROUND(S386*T386,0)))</x:f>
        <x:v>167</x:v>
      </x:c>
      <x:c r="V386" s="54" t="n">
        <x:f>AB381</x:f>
        <x:v>17</x:v>
      </x:c>
      <x:c r="W386" s="54" t="n">
        <x:f>U386+V386</x:f>
        <x:v>184</x:v>
      </x:c>
      <x:c r="X386" s="54" t="n">
        <x:f>MIN(E386,W386)</x:f>
        <x:v>183</x:v>
      </x:c>
      <x:c r="Y386" s="54" t="n">
        <x:f>MAX(E386-W386,0)</x:f>
        <x:v>0</x:v>
      </x:c>
      <x:c r="Z386" s="54" t="n">
        <x:f>MAX(W386-X386,0)</x:f>
        <x:v>1</x:v>
      </x:c>
      <x:c r="AA386" s="54" t="n">
        <x:f>MIN(Z386,ROUND(Z386*O386,0))</x:f>
        <x:v>0</x:v>
      </x:c>
      <x:c r="AB386" s="54" t="n">
        <x:f>Z386-AA386</x:f>
        <x:v>1</x:v>
      </x:c>
      <x:c r="AC386" s="52" t="n">
        <x:f>IFERROR(ABS(E386-D386)/E386,0)</x:f>
        <x:v>0.14754098360655737</x:v>
      </x:c>
      <x:c r="AD386" s="52" t="n">
        <x:f>IFERROR(L386/E386,1)</x:f>
        <x:v>0.8360655737704918</x:v>
      </x:c>
      <x:c r="AE386" s="52" t="n">
        <x:f>IFERROR(X386/E386,1)</x:f>
        <x:v>1</x:v>
      </x:c>
      <x:c r="AF386" s="52" t="n">
        <x:f>IFERROR(I386/F386,0)</x:f>
        <x:v>0.6652173913043479</x:v>
      </x:c>
      <x:c r="AG386" s="52" t="n">
        <x:f>IFERROR(U386/F386,0)</x:f>
        <x:v>0.7260869565217392</x:v>
      </x:c>
    </x:row>
    <x:row r="387">
      <x:c r="A387" s="50" t="n">
        <x:v>46239</x:v>
      </x:c>
      <x:c r="B387" s="48" t="str">
        <x:v>Toned Milk</x:v>
      </x:c>
      <x:c r="C387" s="48" t="n">
        <x:v>2</x:v>
      </x:c>
      <x:c r="D387" s="54" t="n">
        <x:v>1728</x:v>
      </x:c>
      <x:c r="E387" s="54" t="n">
        <x:v>2011</x:v>
      </x:c>
      <x:c r="F387" s="54" t="n">
        <x:v>2250</x:v>
      </x:c>
      <x:c r="G387" s="54" t="n">
        <x:f>ROUND(D387*0.97,0)</x:f>
        <x:v>1676</x:v>
      </x:c>
      <x:c r="H387" s="52" t="n">
        <x:v>1.0008780341858035</x:v>
      </x:c>
      <x:c r="I387" s="54" t="n">
        <x:f>MIN(F387,ROUND(G387*H387,0))</x:f>
        <x:v>1677</x:v>
      </x:c>
      <x:c r="J387" s="54" t="n">
        <x:f>Q382</x:f>
        <x:v>0</x:v>
      </x:c>
      <x:c r="K387" s="54" t="n">
        <x:f>I387+J387</x:f>
        <x:v>1677</x:v>
      </x:c>
      <x:c r="L387" s="54" t="n">
        <x:f>MIN(E387,K387)</x:f>
        <x:v>1677</x:v>
      </x:c>
      <x:c r="M387" s="54" t="n">
        <x:f>MAX(E387-K387,0)</x:f>
        <x:v>334</x:v>
      </x:c>
      <x:c r="N387" s="54" t="n">
        <x:f>MAX(K387-L387,0)</x:f>
        <x:v>0</x:v>
      </x:c>
      <x:c r="O387" s="52" t="n">
        <x:v>0.025</x:v>
      </x:c>
      <x:c r="P387" s="54" t="n">
        <x:f>MIN(N387,ROUND(N387*O387,0))</x:f>
        <x:v>0</x:v>
      </x:c>
      <x:c r="Q387" s="54" t="n">
        <x:f>N387-P387</x:f>
        <x:v>0</x:v>
      </x:c>
      <x:c r="R387" s="54" t="n">
        <x:v>207</x:v>
      </x:c>
      <x:c r="S387" s="54" t="n">
        <x:f>MIN(F387,MAX(0,ROUND(D387+R387-V387,0)))</x:f>
        <x:v>1866</x:v>
      </x:c>
      <x:c r="T387" s="52" t="n">
        <x:v>1.0029778082231358</x:v>
      </x:c>
      <x:c r="U387" s="54" t="n">
        <x:f>MIN(F387,MAX(0,ROUND(S387*T387,0)))</x:f>
        <x:v>1872</x:v>
      </x:c>
      <x:c r="V387" s="54" t="n">
        <x:f>AB382</x:f>
        <x:v>69</x:v>
      </x:c>
      <x:c r="W387" s="54" t="n">
        <x:f>U387+V387</x:f>
        <x:v>1941</x:v>
      </x:c>
      <x:c r="X387" s="54" t="n">
        <x:f>MIN(E387,W387)</x:f>
        <x:v>1941</x:v>
      </x:c>
      <x:c r="Y387" s="54" t="n">
        <x:f>MAX(E387-W387,0)</x:f>
        <x:v>70</x:v>
      </x:c>
      <x:c r="Z387" s="54" t="n">
        <x:f>MAX(W387-X387,0)</x:f>
        <x:v>0</x:v>
      </x:c>
      <x:c r="AA387" s="54" t="n">
        <x:f>MIN(Z387,ROUND(Z387*O387,0))</x:f>
        <x:v>0</x:v>
      </x:c>
      <x:c r="AB387" s="54" t="n">
        <x:f>Z387-AA387</x:f>
        <x:v>0</x:v>
      </x:c>
      <x:c r="AC387" s="52" t="n">
        <x:f>IFERROR(ABS(E387-D387)/E387,0)</x:f>
        <x:v>0.1407260069617106</x:v>
      </x:c>
      <x:c r="AD387" s="52" t="n">
        <x:f>IFERROR(L387/E387,1)</x:f>
        <x:v>0.8339134758826454</x:v>
      </x:c>
      <x:c r="AE387" s="52" t="n">
        <x:f>IFERROR(X387/E387,1)</x:f>
        <x:v>0.965191447041273</x:v>
      </x:c>
      <x:c r="AF387" s="52" t="n">
        <x:f>IFERROR(I387/F387,0)</x:f>
        <x:v>0.7453333333333333</x:v>
      </x:c>
      <x:c r="AG387" s="52" t="n">
        <x:f>IFERROR(U387/F387,0)</x:f>
        <x:v>0.832</x:v>
      </x:c>
    </x:row>
    <x:row r="388">
      <x:c r="A388" s="50" t="n">
        <x:v>46239</x:v>
      </x:c>
      <x:c r="B388" s="48" t="str">
        <x:v>Full Cream Milk</x:v>
      </x:c>
      <x:c r="C388" s="48" t="n">
        <x:v>2</x:v>
      </x:c>
      <x:c r="D388" s="54" t="n">
        <x:v>864</x:v>
      </x:c>
      <x:c r="E388" s="54" t="n">
        <x:v>877</x:v>
      </x:c>
      <x:c r="F388" s="54" t="n">
        <x:v>1200</x:v>
      </x:c>
      <x:c r="G388" s="54" t="n">
        <x:f>ROUND(D388*0.97,0)</x:f>
        <x:v>838</x:v>
      </x:c>
      <x:c r="H388" s="52" t="n">
        <x:v>1.018003522923792</x:v>
      </x:c>
      <x:c r="I388" s="54" t="n">
        <x:f>MIN(F388,ROUND(G388*H388,0))</x:f>
        <x:v>853</x:v>
      </x:c>
      <x:c r="J388" s="54" t="n">
        <x:f>Q383</x:f>
        <x:v>53</x:v>
      </x:c>
      <x:c r="K388" s="54" t="n">
        <x:f>I388+J388</x:f>
        <x:v>906</x:v>
      </x:c>
      <x:c r="L388" s="54" t="n">
        <x:f>MIN(E388,K388)</x:f>
        <x:v>877</x:v>
      </x:c>
      <x:c r="M388" s="54" t="n">
        <x:f>MAX(E388-K388,0)</x:f>
        <x:v>0</x:v>
      </x:c>
      <x:c r="N388" s="54" t="n">
        <x:f>MAX(K388-L388,0)</x:f>
        <x:v>29</x:v>
      </x:c>
      <x:c r="O388" s="52" t="n">
        <x:v>0.03</x:v>
      </x:c>
      <x:c r="P388" s="54" t="n">
        <x:f>MIN(N388,ROUND(N388*O388,0))</x:f>
        <x:v>1</x:v>
      </x:c>
      <x:c r="Q388" s="54" t="n">
        <x:f>N388-P388</x:f>
        <x:v>28</x:v>
      </x:c>
      <x:c r="R388" s="54" t="n">
        <x:v>104</x:v>
      </x:c>
      <x:c r="S388" s="54" t="n">
        <x:f>MIN(F388,MAX(0,ROUND(D388+R388-V388,0)))</x:f>
        <x:v>807</x:v>
      </x:c>
      <x:c r="T388" s="52" t="n">
        <x:v>1.0045054748119153</x:v>
      </x:c>
      <x:c r="U388" s="54" t="n">
        <x:f>MIN(F388,MAX(0,ROUND(S388*T388,0)))</x:f>
        <x:v>811</x:v>
      </x:c>
      <x:c r="V388" s="54" t="n">
        <x:f>AB383</x:f>
        <x:v>161</x:v>
      </x:c>
      <x:c r="W388" s="54" t="n">
        <x:f>U388+V388</x:f>
        <x:v>972</x:v>
      </x:c>
      <x:c r="X388" s="54" t="n">
        <x:f>MIN(E388,W388)</x:f>
        <x:v>877</x:v>
      </x:c>
      <x:c r="Y388" s="54" t="n">
        <x:f>MAX(E388-W388,0)</x:f>
        <x:v>0</x:v>
      </x:c>
      <x:c r="Z388" s="54" t="n">
        <x:f>MAX(W388-X388,0)</x:f>
        <x:v>95</x:v>
      </x:c>
      <x:c r="AA388" s="54" t="n">
        <x:f>MIN(Z388,ROUND(Z388*O388,0))</x:f>
        <x:v>3</x:v>
      </x:c>
      <x:c r="AB388" s="54" t="n">
        <x:f>Z388-AA388</x:f>
        <x:v>92</x:v>
      </x:c>
      <x:c r="AC388" s="52" t="n">
        <x:f>IFERROR(ABS(E388-D388)/E388,0)</x:f>
        <x:v>0.014823261117445839</x:v>
      </x:c>
      <x:c r="AD388" s="52" t="n">
        <x:f>IFERROR(L388/E388,1)</x:f>
        <x:v>1</x:v>
      </x:c>
      <x:c r="AE388" s="52" t="n">
        <x:f>IFERROR(X388/E388,1)</x:f>
        <x:v>1</x:v>
      </x:c>
      <x:c r="AF388" s="52" t="n">
        <x:f>IFERROR(I388/F388,0)</x:f>
        <x:v>0.7108333333333333</x:v>
      </x:c>
      <x:c r="AG388" s="52" t="n">
        <x:f>IFERROR(U388/F388,0)</x:f>
        <x:v>0.6758333333333333</x:v>
      </x:c>
    </x:row>
    <x:row r="389">
      <x:c r="A389" s="50" t="n">
        <x:v>46239</x:v>
      </x:c>
      <x:c r="B389" s="48" t="str">
        <x:v>Curd</x:v>
      </x:c>
      <x:c r="C389" s="48" t="n">
        <x:v>7</x:v>
      </x:c>
      <x:c r="D389" s="54" t="n">
        <x:v>503</x:v>
      </x:c>
      <x:c r="E389" s="54" t="n">
        <x:v>454</x:v>
      </x:c>
      <x:c r="F389" s="54" t="n">
        <x:v>700</x:v>
      </x:c>
      <x:c r="G389" s="54" t="n">
        <x:f>ROUND(D389*0.97,0)</x:f>
        <x:v>488</x:v>
      </x:c>
      <x:c r="H389" s="52" t="n">
        <x:v>1.009371210872861</x:v>
      </x:c>
      <x:c r="I389" s="54" t="n">
        <x:f>MIN(F389,ROUND(G389*H389,0))</x:f>
        <x:v>493</x:v>
      </x:c>
      <x:c r="J389" s="54" t="n">
        <x:f>Q384</x:f>
        <x:v>0</x:v>
      </x:c>
      <x:c r="K389" s="54" t="n">
        <x:f>I389+J389</x:f>
        <x:v>493</x:v>
      </x:c>
      <x:c r="L389" s="54" t="n">
        <x:f>MIN(E389,K389)</x:f>
        <x:v>454</x:v>
      </x:c>
      <x:c r="M389" s="54" t="n">
        <x:f>MAX(E389-K389,0)</x:f>
        <x:v>0</x:v>
      </x:c>
      <x:c r="N389" s="54" t="n">
        <x:f>MAX(K389-L389,0)</x:f>
        <x:v>39</x:v>
      </x:c>
      <x:c r="O389" s="52" t="n">
        <x:v>0.018</x:v>
      </x:c>
      <x:c r="P389" s="54" t="n">
        <x:f>MIN(N389,ROUND(N389*O389,0))</x:f>
        <x:v>1</x:v>
      </x:c>
      <x:c r="Q389" s="54" t="n">
        <x:f>N389-P389</x:f>
        <x:v>38</x:v>
      </x:c>
      <x:c r="R389" s="54" t="n">
        <x:v>91</x:v>
      </x:c>
      <x:c r="S389" s="54" t="n">
        <x:f>MIN(F389,MAX(0,ROUND(D389+R389-V389,0)))</x:f>
        <x:v>502</x:v>
      </x:c>
      <x:c r="T389" s="52" t="n">
        <x:v>0.9937615280790191</x:v>
      </x:c>
      <x:c r="U389" s="54" t="n">
        <x:f>MIN(F389,MAX(0,ROUND(S389*T389,0)))</x:f>
        <x:v>499</x:v>
      </x:c>
      <x:c r="V389" s="54" t="n">
        <x:f>AB384</x:f>
        <x:v>92</x:v>
      </x:c>
      <x:c r="W389" s="54" t="n">
        <x:f>U389+V389</x:f>
        <x:v>591</x:v>
      </x:c>
      <x:c r="X389" s="54" t="n">
        <x:f>MIN(E389,W389)</x:f>
        <x:v>454</x:v>
      </x:c>
      <x:c r="Y389" s="54" t="n">
        <x:f>MAX(E389-W389,0)</x:f>
        <x:v>0</x:v>
      </x:c>
      <x:c r="Z389" s="54" t="n">
        <x:f>MAX(W389-X389,0)</x:f>
        <x:v>137</x:v>
      </x:c>
      <x:c r="AA389" s="54" t="n">
        <x:f>MIN(Z389,ROUND(Z389*O389,0))</x:f>
        <x:v>2</x:v>
      </x:c>
      <x:c r="AB389" s="54" t="n">
        <x:f>Z389-AA389</x:f>
        <x:v>135</x:v>
      </x:c>
      <x:c r="AC389" s="52" t="n">
        <x:f>IFERROR(ABS(E389-D389)/E389,0)</x:f>
        <x:v>0.10792951541850221</x:v>
      </x:c>
      <x:c r="AD389" s="52" t="n">
        <x:f>IFERROR(L389/E389,1)</x:f>
        <x:v>1</x:v>
      </x:c>
      <x:c r="AE389" s="52" t="n">
        <x:f>IFERROR(X389/E389,1)</x:f>
        <x:v>1</x:v>
      </x:c>
      <x:c r="AF389" s="52" t="n">
        <x:f>IFERROR(I389/F389,0)</x:f>
        <x:v>0.7042857142857143</x:v>
      </x:c>
      <x:c r="AG389" s="52" t="n">
        <x:f>IFERROR(U389/F389,0)</x:f>
        <x:v>0.7128571428571429</x:v>
      </x:c>
    </x:row>
    <x:row r="390">
      <x:c r="A390" s="50" t="n">
        <x:v>46239</x:v>
      </x:c>
      <x:c r="B390" s="48" t="str">
        <x:v>Lassi</x:v>
      </x:c>
      <x:c r="C390" s="48" t="n">
        <x:v>7</x:v>
      </x:c>
      <x:c r="D390" s="54" t="n">
        <x:v>403</x:v>
      </x:c>
      <x:c r="E390" s="54" t="n">
        <x:v>455</x:v>
      </x:c>
      <x:c r="F390" s="54" t="n">
        <x:v>560</x:v>
      </x:c>
      <x:c r="G390" s="54" t="n">
        <x:f>ROUND(D390*0.97,0)</x:f>
        <x:v>391</x:v>
      </x:c>
      <x:c r="H390" s="52" t="n">
        <x:v>0.9939604603469518</x:v>
      </x:c>
      <x:c r="I390" s="54" t="n">
        <x:f>MIN(F390,ROUND(G390*H390,0))</x:f>
        <x:v>389</x:v>
      </x:c>
      <x:c r="J390" s="54" t="n">
        <x:f>Q385</x:f>
        <x:v>133</x:v>
      </x:c>
      <x:c r="K390" s="54" t="n">
        <x:f>I390+J390</x:f>
        <x:v>522</x:v>
      </x:c>
      <x:c r="L390" s="54" t="n">
        <x:f>MIN(E390,K390)</x:f>
        <x:v>455</x:v>
      </x:c>
      <x:c r="M390" s="54" t="n">
        <x:f>MAX(E390-K390,0)</x:f>
        <x:v>0</x:v>
      </x:c>
      <x:c r="N390" s="54" t="n">
        <x:f>MAX(K390-L390,0)</x:f>
        <x:v>67</x:v>
      </x:c>
      <x:c r="O390" s="52" t="n">
        <x:v>0.02</x:v>
      </x:c>
      <x:c r="P390" s="54" t="n">
        <x:f>MIN(N390,ROUND(N390*O390,0))</x:f>
        <x:v>1</x:v>
      </x:c>
      <x:c r="Q390" s="54" t="n">
        <x:f>N390-P390</x:f>
        <x:v>66</x:v>
      </x:c>
      <x:c r="R390" s="54" t="n">
        <x:v>73</x:v>
      </x:c>
      <x:c r="S390" s="54" t="n">
        <x:f>MIN(F390,MAX(0,ROUND(D390+R390-V390,0)))</x:f>
        <x:v>359</x:v>
      </x:c>
      <x:c r="T390" s="52" t="n">
        <x:v>1.001214902997547</x:v>
      </x:c>
      <x:c r="U390" s="54" t="n">
        <x:f>MIN(F390,MAX(0,ROUND(S390*T390,0)))</x:f>
        <x:v>359</x:v>
      </x:c>
      <x:c r="V390" s="54" t="n">
        <x:f>AB385</x:f>
        <x:v>117</x:v>
      </x:c>
      <x:c r="W390" s="54" t="n">
        <x:f>U390+V390</x:f>
        <x:v>476</x:v>
      </x:c>
      <x:c r="X390" s="54" t="n">
        <x:f>MIN(E390,W390)</x:f>
        <x:v>455</x:v>
      </x:c>
      <x:c r="Y390" s="54" t="n">
        <x:f>MAX(E390-W390,0)</x:f>
        <x:v>0</x:v>
      </x:c>
      <x:c r="Z390" s="54" t="n">
        <x:f>MAX(W390-X390,0)</x:f>
        <x:v>21</x:v>
      </x:c>
      <x:c r="AA390" s="54" t="n">
        <x:f>MIN(Z390,ROUND(Z390*O390,0))</x:f>
        <x:v>0</x:v>
      </x:c>
      <x:c r="AB390" s="54" t="n">
        <x:f>Z390-AA390</x:f>
        <x:v>21</x:v>
      </x:c>
      <x:c r="AC390" s="52" t="n">
        <x:f>IFERROR(ABS(E390-D390)/E390,0)</x:f>
        <x:v>0.11428571428571428</x:v>
      </x:c>
      <x:c r="AD390" s="52" t="n">
        <x:f>IFERROR(L390/E390,1)</x:f>
        <x:v>1</x:v>
      </x:c>
      <x:c r="AE390" s="52" t="n">
        <x:f>IFERROR(X390/E390,1)</x:f>
        <x:v>1</x:v>
      </x:c>
      <x:c r="AF390" s="52" t="n">
        <x:f>IFERROR(I390/F390,0)</x:f>
        <x:v>0.6946428571428571</x:v>
      </x:c>
      <x:c r="AG390" s="52" t="n">
        <x:f>IFERROR(U390/F390,0)</x:f>
        <x:v>0.6410714285714286</x:v>
      </x:c>
    </x:row>
    <x:row r="391">
      <x:c r="A391" s="50" t="n">
        <x:v>46239</x:v>
      </x:c>
      <x:c r="B391" s="48" t="str">
        <x:v>Paneer</x:v>
      </x:c>
      <x:c r="C391" s="48" t="n">
        <x:v>5</x:v>
      </x:c>
      <x:c r="D391" s="54" t="n">
        <x:v>161</x:v>
      </x:c>
      <x:c r="E391" s="54" t="n">
        <x:v>149</x:v>
      </x:c>
      <x:c r="F391" s="54" t="n">
        <x:v>230</x:v>
      </x:c>
      <x:c r="G391" s="54" t="n">
        <x:f>ROUND(D391*0.97,0)</x:f>
        <x:v>156</x:v>
      </x:c>
      <x:c r="H391" s="52" t="n">
        <x:v>1.0123553293743064</x:v>
      </x:c>
      <x:c r="I391" s="54" t="n">
        <x:f>MIN(F391,ROUND(G391*H391,0))</x:f>
        <x:v>158</x:v>
      </x:c>
      <x:c r="J391" s="54" t="n">
        <x:f>Q386</x:f>
        <x:v>0</x:v>
      </x:c>
      <x:c r="K391" s="54" t="n">
        <x:f>I391+J391</x:f>
        <x:v>158</x:v>
      </x:c>
      <x:c r="L391" s="54" t="n">
        <x:f>MIN(E391,K391)</x:f>
        <x:v>149</x:v>
      </x:c>
      <x:c r="M391" s="54" t="n">
        <x:f>MAX(E391-K391,0)</x:f>
        <x:v>0</x:v>
      </x:c>
      <x:c r="N391" s="54" t="n">
        <x:f>MAX(K391-L391,0)</x:f>
        <x:v>9</x:v>
      </x:c>
      <x:c r="O391" s="52" t="n">
        <x:v>0.025</x:v>
      </x:c>
      <x:c r="P391" s="54" t="n">
        <x:f>MIN(N391,ROUND(N391*O391,0))</x:f>
        <x:v>0</x:v>
      </x:c>
      <x:c r="Q391" s="54" t="n">
        <x:f>N391-P391</x:f>
        <x:v>9</x:v>
      </x:c>
      <x:c r="R391" s="54" t="n">
        <x:v>32</x:v>
      </x:c>
      <x:c r="S391" s="54" t="n">
        <x:f>MIN(F391,MAX(0,ROUND(D391+R391-V391,0)))</x:f>
        <x:v>192</x:v>
      </x:c>
      <x:c r="T391" s="52" t="n">
        <x:v>1.0185186205002317</x:v>
      </x:c>
      <x:c r="U391" s="54" t="n">
        <x:f>MIN(F391,MAX(0,ROUND(S391*T391,0)))</x:f>
        <x:v>196</x:v>
      </x:c>
      <x:c r="V391" s="54" t="n">
        <x:f>AB386</x:f>
        <x:v>1</x:v>
      </x:c>
      <x:c r="W391" s="54" t="n">
        <x:f>U391+V391</x:f>
        <x:v>197</x:v>
      </x:c>
      <x:c r="X391" s="54" t="n">
        <x:f>MIN(E391,W391)</x:f>
        <x:v>149</x:v>
      </x:c>
      <x:c r="Y391" s="54" t="n">
        <x:f>MAX(E391-W391,0)</x:f>
        <x:v>0</x:v>
      </x:c>
      <x:c r="Z391" s="54" t="n">
        <x:f>MAX(W391-X391,0)</x:f>
        <x:v>48</x:v>
      </x:c>
      <x:c r="AA391" s="54" t="n">
        <x:f>MIN(Z391,ROUND(Z391*O391,0))</x:f>
        <x:v>1</x:v>
      </x:c>
      <x:c r="AB391" s="54" t="n">
        <x:f>Z391-AA391</x:f>
        <x:v>47</x:v>
      </x:c>
      <x:c r="AC391" s="52" t="n">
        <x:f>IFERROR(ABS(E391-D391)/E391,0)</x:f>
        <x:v>0.08053691275167785</x:v>
      </x:c>
      <x:c r="AD391" s="52" t="n">
        <x:f>IFERROR(L391/E391,1)</x:f>
        <x:v>1</x:v>
      </x:c>
      <x:c r="AE391" s="52" t="n">
        <x:f>IFERROR(X391/E391,1)</x:f>
        <x:v>1</x:v>
      </x:c>
      <x:c r="AF391" s="52" t="n">
        <x:f>IFERROR(I391/F391,0)</x:f>
        <x:v>0.6869565217391305</x:v>
      </x:c>
      <x:c r="AG391" s="52" t="n">
        <x:f>IFERROR(U391/F391,0)</x:f>
        <x:v>0.8521739130434782</x:v>
      </x:c>
    </x:row>
    <x:row r="392">
      <x:c r="A392" s="50" t="n">
        <x:v>46240</x:v>
      </x:c>
      <x:c r="B392" s="48" t="str">
        <x:v>Toned Milk</x:v>
      </x:c>
      <x:c r="C392" s="48" t="n">
        <x:v>2</x:v>
      </x:c>
      <x:c r="D392" s="54" t="n">
        <x:v>1746</x:v>
      </x:c>
      <x:c r="E392" s="54" t="n">
        <x:v>1512</x:v>
      </x:c>
      <x:c r="F392" s="54" t="n">
        <x:v>2250</x:v>
      </x:c>
      <x:c r="G392" s="54" t="n">
        <x:f>ROUND(D392*0.97,0)</x:f>
        <x:v>1694</x:v>
      </x:c>
      <x:c r="H392" s="52" t="n">
        <x:v>0.9894674850983514</x:v>
      </x:c>
      <x:c r="I392" s="54" t="n">
        <x:f>MIN(F392,ROUND(G392*H392,0))</x:f>
        <x:v>1676</x:v>
      </x:c>
      <x:c r="J392" s="54" t="n">
        <x:f>Q387</x:f>
        <x:v>0</x:v>
      </x:c>
      <x:c r="K392" s="54" t="n">
        <x:f>I392+J392</x:f>
        <x:v>1676</x:v>
      </x:c>
      <x:c r="L392" s="54" t="n">
        <x:f>MIN(E392,K392)</x:f>
        <x:v>1512</x:v>
      </x:c>
      <x:c r="M392" s="54" t="n">
        <x:f>MAX(E392-K392,0)</x:f>
        <x:v>0</x:v>
      </x:c>
      <x:c r="N392" s="54" t="n">
        <x:f>MAX(K392-L392,0)</x:f>
        <x:v>164</x:v>
      </x:c>
      <x:c r="O392" s="52" t="n">
        <x:v>0.025</x:v>
      </x:c>
      <x:c r="P392" s="54" t="n">
        <x:f>MIN(N392,ROUND(N392*O392,0))</x:f>
        <x:v>4</x:v>
      </x:c>
      <x:c r="Q392" s="54" t="n">
        <x:f>N392-P392</x:f>
        <x:v>160</x:v>
      </x:c>
      <x:c r="R392" s="54" t="n">
        <x:v>210</x:v>
      </x:c>
      <x:c r="S392" s="54" t="n">
        <x:f>MIN(F392,MAX(0,ROUND(D392+R392-V392,0)))</x:f>
        <x:v>1956</x:v>
      </x:c>
      <x:c r="T392" s="52" t="n">
        <x:v>0.9850240211003782</x:v>
      </x:c>
      <x:c r="U392" s="54" t="n">
        <x:f>MIN(F392,MAX(0,ROUND(S392*T392,0)))</x:f>
        <x:v>1927</x:v>
      </x:c>
      <x:c r="V392" s="54" t="n">
        <x:f>AB387</x:f>
        <x:v>0</x:v>
      </x:c>
      <x:c r="W392" s="54" t="n">
        <x:f>U392+V392</x:f>
        <x:v>1927</x:v>
      </x:c>
      <x:c r="X392" s="54" t="n">
        <x:f>MIN(E392,W392)</x:f>
        <x:v>1512</x:v>
      </x:c>
      <x:c r="Y392" s="54" t="n">
        <x:f>MAX(E392-W392,0)</x:f>
        <x:v>0</x:v>
      </x:c>
      <x:c r="Z392" s="54" t="n">
        <x:f>MAX(W392-X392,0)</x:f>
        <x:v>415</x:v>
      </x:c>
      <x:c r="AA392" s="54" t="n">
        <x:f>MIN(Z392,ROUND(Z392*O392,0))</x:f>
        <x:v>10</x:v>
      </x:c>
      <x:c r="AB392" s="54" t="n">
        <x:f>Z392-AA392</x:f>
        <x:v>405</x:v>
      </x:c>
      <x:c r="AC392" s="52" t="n">
        <x:f>IFERROR(ABS(E392-D392)/E392,0)</x:f>
        <x:v>0.15476190476190477</x:v>
      </x:c>
      <x:c r="AD392" s="52" t="n">
        <x:f>IFERROR(L392/E392,1)</x:f>
        <x:v>1</x:v>
      </x:c>
      <x:c r="AE392" s="52" t="n">
        <x:f>IFERROR(X392/E392,1)</x:f>
        <x:v>1</x:v>
      </x:c>
      <x:c r="AF392" s="52" t="n">
        <x:f>IFERROR(I392/F392,0)</x:f>
        <x:v>0.7448888888888889</x:v>
      </x:c>
      <x:c r="AG392" s="52" t="n">
        <x:f>IFERROR(U392/F392,0)</x:f>
        <x:v>0.8564444444444445</x:v>
      </x:c>
    </x:row>
    <x:row r="393">
      <x:c r="A393" s="50" t="n">
        <x:v>46240</x:v>
      </x:c>
      <x:c r="B393" s="48" t="str">
        <x:v>Full Cream Milk</x:v>
      </x:c>
      <x:c r="C393" s="48" t="n">
        <x:v>2</x:v>
      </x:c>
      <x:c r="D393" s="54" t="n">
        <x:v>873</x:v>
      </x:c>
      <x:c r="E393" s="54" t="n">
        <x:v>930</x:v>
      </x:c>
      <x:c r="F393" s="54" t="n">
        <x:v>1200</x:v>
      </x:c>
      <x:c r="G393" s="54" t="n">
        <x:f>ROUND(D393*0.97,0)</x:f>
        <x:v>847</x:v>
      </x:c>
      <x:c r="H393" s="52" t="n">
        <x:v>0.9925297736334243</x:v>
      </x:c>
      <x:c r="I393" s="54" t="n">
        <x:f>MIN(F393,ROUND(G393*H393,0))</x:f>
        <x:v>841</x:v>
      </x:c>
      <x:c r="J393" s="54" t="n">
        <x:f>Q388</x:f>
        <x:v>28</x:v>
      </x:c>
      <x:c r="K393" s="54" t="n">
        <x:f>I393+J393</x:f>
        <x:v>869</x:v>
      </x:c>
      <x:c r="L393" s="54" t="n">
        <x:f>MIN(E393,K393)</x:f>
        <x:v>869</x:v>
      </x:c>
      <x:c r="M393" s="54" t="n">
        <x:f>MAX(E393-K393,0)</x:f>
        <x:v>61</x:v>
      </x:c>
      <x:c r="N393" s="54" t="n">
        <x:f>MAX(K393-L393,0)</x:f>
        <x:v>0</x:v>
      </x:c>
      <x:c r="O393" s="52" t="n">
        <x:v>0.03</x:v>
      </x:c>
      <x:c r="P393" s="54" t="n">
        <x:f>MIN(N393,ROUND(N393*O393,0))</x:f>
        <x:v>0</x:v>
      </x:c>
      <x:c r="Q393" s="54" t="n">
        <x:f>N393-P393</x:f>
        <x:v>0</x:v>
      </x:c>
      <x:c r="R393" s="54" t="n">
        <x:v>105</x:v>
      </x:c>
      <x:c r="S393" s="54" t="n">
        <x:f>MIN(F393,MAX(0,ROUND(D393+R393-V393,0)))</x:f>
        <x:v>886</x:v>
      </x:c>
      <x:c r="T393" s="52" t="n">
        <x:v>0.9824136372861307</x:v>
      </x:c>
      <x:c r="U393" s="54" t="n">
        <x:f>MIN(F393,MAX(0,ROUND(S393*T393,0)))</x:f>
        <x:v>870</x:v>
      </x:c>
      <x:c r="V393" s="54" t="n">
        <x:f>AB388</x:f>
        <x:v>92</x:v>
      </x:c>
      <x:c r="W393" s="54" t="n">
        <x:f>U393+V393</x:f>
        <x:v>962</x:v>
      </x:c>
      <x:c r="X393" s="54" t="n">
        <x:f>MIN(E393,W393)</x:f>
        <x:v>930</x:v>
      </x:c>
      <x:c r="Y393" s="54" t="n">
        <x:f>MAX(E393-W393,0)</x:f>
        <x:v>0</x:v>
      </x:c>
      <x:c r="Z393" s="54" t="n">
        <x:f>MAX(W393-X393,0)</x:f>
        <x:v>32</x:v>
      </x:c>
      <x:c r="AA393" s="54" t="n">
        <x:f>MIN(Z393,ROUND(Z393*O393,0))</x:f>
        <x:v>1</x:v>
      </x:c>
      <x:c r="AB393" s="54" t="n">
        <x:f>Z393-AA393</x:f>
        <x:v>31</x:v>
      </x:c>
      <x:c r="AC393" s="52" t="n">
        <x:f>IFERROR(ABS(E393-D393)/E393,0)</x:f>
        <x:v>0.06129032258064516</x:v>
      </x:c>
      <x:c r="AD393" s="52" t="n">
        <x:f>IFERROR(L393/E393,1)</x:f>
        <x:v>0.9344086021505377</x:v>
      </x:c>
      <x:c r="AE393" s="52" t="n">
        <x:f>IFERROR(X393/E393,1)</x:f>
        <x:v>1</x:v>
      </x:c>
      <x:c r="AF393" s="52" t="n">
        <x:f>IFERROR(I393/F393,0)</x:f>
        <x:v>0.7008333333333333</x:v>
      </x:c>
      <x:c r="AG393" s="52" t="n">
        <x:f>IFERROR(U393/F393,0)</x:f>
        <x:v>0.725</x:v>
      </x:c>
    </x:row>
    <x:row r="394">
      <x:c r="A394" s="50" t="n">
        <x:v>46240</x:v>
      </x:c>
      <x:c r="B394" s="48" t="str">
        <x:v>Curd</x:v>
      </x:c>
      <x:c r="C394" s="48" t="n">
        <x:v>7</x:v>
      </x:c>
      <x:c r="D394" s="54" t="n">
        <x:v>514</x:v>
      </x:c>
      <x:c r="E394" s="54" t="n">
        <x:v>580</x:v>
      </x:c>
      <x:c r="F394" s="54" t="n">
        <x:v>700</x:v>
      </x:c>
      <x:c r="G394" s="54" t="n">
        <x:f>ROUND(D394*0.97,0)</x:f>
        <x:v>499</x:v>
      </x:c>
      <x:c r="H394" s="52" t="n">
        <x:v>0.9940985271546378</x:v>
      </x:c>
      <x:c r="I394" s="54" t="n">
        <x:f>MIN(F394,ROUND(G394*H394,0))</x:f>
        <x:v>496</x:v>
      </x:c>
      <x:c r="J394" s="54" t="n">
        <x:f>Q389</x:f>
        <x:v>38</x:v>
      </x:c>
      <x:c r="K394" s="54" t="n">
        <x:f>I394+J394</x:f>
        <x:v>534</x:v>
      </x:c>
      <x:c r="L394" s="54" t="n">
        <x:f>MIN(E394,K394)</x:f>
        <x:v>534</x:v>
      </x:c>
      <x:c r="M394" s="54" t="n">
        <x:f>MAX(E394-K394,0)</x:f>
        <x:v>46</x:v>
      </x:c>
      <x:c r="N394" s="54" t="n">
        <x:f>MAX(K394-L394,0)</x:f>
        <x:v>0</x:v>
      </x:c>
      <x:c r="O394" s="52" t="n">
        <x:v>0.018</x:v>
      </x:c>
      <x:c r="P394" s="54" t="n">
        <x:f>MIN(N394,ROUND(N394*O394,0))</x:f>
        <x:v>0</x:v>
      </x:c>
      <x:c r="Q394" s="54" t="n">
        <x:f>N394-P394</x:f>
        <x:v>0</x:v>
      </x:c>
      <x:c r="R394" s="54" t="n">
        <x:v>93</x:v>
      </x:c>
      <x:c r="S394" s="54" t="n">
        <x:f>MIN(F394,MAX(0,ROUND(D394+R394-V394,0)))</x:f>
        <x:v>472</x:v>
      </x:c>
      <x:c r="T394" s="52" t="n">
        <x:v>0.9958566497604454</x:v>
      </x:c>
      <x:c r="U394" s="54" t="n">
        <x:f>MIN(F394,MAX(0,ROUND(S394*T394,0)))</x:f>
        <x:v>470</x:v>
      </x:c>
      <x:c r="V394" s="54" t="n">
        <x:f>AB389</x:f>
        <x:v>135</x:v>
      </x:c>
      <x:c r="W394" s="54" t="n">
        <x:f>U394+V394</x:f>
        <x:v>605</x:v>
      </x:c>
      <x:c r="X394" s="54" t="n">
        <x:f>MIN(E394,W394)</x:f>
        <x:v>580</x:v>
      </x:c>
      <x:c r="Y394" s="54" t="n">
        <x:f>MAX(E394-W394,0)</x:f>
        <x:v>0</x:v>
      </x:c>
      <x:c r="Z394" s="54" t="n">
        <x:f>MAX(W394-X394,0)</x:f>
        <x:v>25</x:v>
      </x:c>
      <x:c r="AA394" s="54" t="n">
        <x:f>MIN(Z394,ROUND(Z394*O394,0))</x:f>
        <x:v>0</x:v>
      </x:c>
      <x:c r="AB394" s="54" t="n">
        <x:f>Z394-AA394</x:f>
        <x:v>25</x:v>
      </x:c>
      <x:c r="AC394" s="52" t="n">
        <x:f>IFERROR(ABS(E394-D394)/E394,0)</x:f>
        <x:v>0.11379310344827587</x:v>
      </x:c>
      <x:c r="AD394" s="52" t="n">
        <x:f>IFERROR(L394/E394,1)</x:f>
        <x:v>0.9206896551724137</x:v>
      </x:c>
      <x:c r="AE394" s="52" t="n">
        <x:f>IFERROR(X394/E394,1)</x:f>
        <x:v>1</x:v>
      </x:c>
      <x:c r="AF394" s="52" t="n">
        <x:f>IFERROR(I394/F394,0)</x:f>
        <x:v>0.7085714285714285</x:v>
      </x:c>
      <x:c r="AG394" s="52" t="n">
        <x:f>IFERROR(U394/F394,0)</x:f>
        <x:v>0.6714285714285714</x:v>
      </x:c>
    </x:row>
    <x:row r="395">
      <x:c r="A395" s="50" t="n">
        <x:v>46240</x:v>
      </x:c>
      <x:c r="B395" s="48" t="str">
        <x:v>Lassi</x:v>
      </x:c>
      <x:c r="C395" s="48" t="n">
        <x:v>7</x:v>
      </x:c>
      <x:c r="D395" s="54" t="n">
        <x:v>411</x:v>
      </x:c>
      <x:c r="E395" s="54" t="n">
        <x:v>469</x:v>
      </x:c>
      <x:c r="F395" s="54" t="n">
        <x:v>560</x:v>
      </x:c>
      <x:c r="G395" s="54" t="n">
        <x:f>ROUND(D395*0.97,0)</x:f>
        <x:v>399</x:v>
      </x:c>
      <x:c r="H395" s="52" t="n">
        <x:v>0.9983198445088551</x:v>
      </x:c>
      <x:c r="I395" s="54" t="n">
        <x:f>MIN(F395,ROUND(G395*H395,0))</x:f>
        <x:v>398</x:v>
      </x:c>
      <x:c r="J395" s="54" t="n">
        <x:f>Q390</x:f>
        <x:v>66</x:v>
      </x:c>
      <x:c r="K395" s="54" t="n">
        <x:f>I395+J395</x:f>
        <x:v>464</x:v>
      </x:c>
      <x:c r="L395" s="54" t="n">
        <x:f>MIN(E395,K395)</x:f>
        <x:v>464</x:v>
      </x:c>
      <x:c r="M395" s="54" t="n">
        <x:f>MAX(E395-K395,0)</x:f>
        <x:v>5</x:v>
      </x:c>
      <x:c r="N395" s="54" t="n">
        <x:f>MAX(K395-L395,0)</x:f>
        <x:v>0</x:v>
      </x:c>
      <x:c r="O395" s="52" t="n">
        <x:v>0.02</x:v>
      </x:c>
      <x:c r="P395" s="54" t="n">
        <x:f>MIN(N395,ROUND(N395*O395,0))</x:f>
        <x:v>0</x:v>
      </x:c>
      <x:c r="Q395" s="54" t="n">
        <x:f>N395-P395</x:f>
        <x:v>0</x:v>
      </x:c>
      <x:c r="R395" s="54" t="n">
        <x:v>74</x:v>
      </x:c>
      <x:c r="S395" s="54" t="n">
        <x:f>MIN(F395,MAX(0,ROUND(D395+R395-V395,0)))</x:f>
        <x:v>464</x:v>
      </x:c>
      <x:c r="T395" s="52" t="n">
        <x:v>1.0182010297587631</x:v>
      </x:c>
      <x:c r="U395" s="54" t="n">
        <x:f>MIN(F395,MAX(0,ROUND(S395*T395,0)))</x:f>
        <x:v>472</x:v>
      </x:c>
      <x:c r="V395" s="54" t="n">
        <x:f>AB390</x:f>
        <x:v>21</x:v>
      </x:c>
      <x:c r="W395" s="54" t="n">
        <x:f>U395+V395</x:f>
        <x:v>493</x:v>
      </x:c>
      <x:c r="X395" s="54" t="n">
        <x:f>MIN(E395,W395)</x:f>
        <x:v>469</x:v>
      </x:c>
      <x:c r="Y395" s="54" t="n">
        <x:f>MAX(E395-W395,0)</x:f>
        <x:v>0</x:v>
      </x:c>
      <x:c r="Z395" s="54" t="n">
        <x:f>MAX(W395-X395,0)</x:f>
        <x:v>24</x:v>
      </x:c>
      <x:c r="AA395" s="54" t="n">
        <x:f>MIN(Z395,ROUND(Z395*O395,0))</x:f>
        <x:v>0</x:v>
      </x:c>
      <x:c r="AB395" s="54" t="n">
        <x:f>Z395-AA395</x:f>
        <x:v>24</x:v>
      </x:c>
      <x:c r="AC395" s="52" t="n">
        <x:f>IFERROR(ABS(E395-D395)/E395,0)</x:f>
        <x:v>0.12366737739872068</x:v>
      </x:c>
      <x:c r="AD395" s="52" t="n">
        <x:f>IFERROR(L395/E395,1)</x:f>
        <x:v>0.9893390191897654</x:v>
      </x:c>
      <x:c r="AE395" s="52" t="n">
        <x:f>IFERROR(X395/E395,1)</x:f>
        <x:v>1</x:v>
      </x:c>
      <x:c r="AF395" s="52" t="n">
        <x:f>IFERROR(I395/F395,0)</x:f>
        <x:v>0.7107142857142857</x:v>
      </x:c>
      <x:c r="AG395" s="52" t="n">
        <x:f>IFERROR(U395/F395,0)</x:f>
        <x:v>0.8428571428571429</x:v>
      </x:c>
    </x:row>
    <x:row r="396">
      <x:c r="A396" s="50" t="n">
        <x:v>46240</x:v>
      </x:c>
      <x:c r="B396" s="48" t="str">
        <x:v>Paneer</x:v>
      </x:c>
      <x:c r="C396" s="48" t="n">
        <x:v>5</x:v>
      </x:c>
      <x:c r="D396" s="54" t="n">
        <x:v>164</x:v>
      </x:c>
      <x:c r="E396" s="54" t="n">
        <x:v>157</x:v>
      </x:c>
      <x:c r="F396" s="54" t="n">
        <x:v>230</x:v>
      </x:c>
      <x:c r="G396" s="54" t="n">
        <x:f>ROUND(D396*0.97,0)</x:f>
        <x:v>159</x:v>
      </x:c>
      <x:c r="H396" s="52" t="n">
        <x:v>0.9939986889139591</x:v>
      </x:c>
      <x:c r="I396" s="54" t="n">
        <x:f>MIN(F396,ROUND(G396*H396,0))</x:f>
        <x:v>158</x:v>
      </x:c>
      <x:c r="J396" s="54" t="n">
        <x:f>Q391</x:f>
        <x:v>9</x:v>
      </x:c>
      <x:c r="K396" s="54" t="n">
        <x:f>I396+J396</x:f>
        <x:v>167</x:v>
      </x:c>
      <x:c r="L396" s="54" t="n">
        <x:f>MIN(E396,K396)</x:f>
        <x:v>157</x:v>
      </x:c>
      <x:c r="M396" s="54" t="n">
        <x:f>MAX(E396-K396,0)</x:f>
        <x:v>0</x:v>
      </x:c>
      <x:c r="N396" s="54" t="n">
        <x:f>MAX(K396-L396,0)</x:f>
        <x:v>10</x:v>
      </x:c>
      <x:c r="O396" s="52" t="n">
        <x:v>0.025</x:v>
      </x:c>
      <x:c r="P396" s="54" t="n">
        <x:f>MIN(N396,ROUND(N396*O396,0))</x:f>
        <x:v>0</x:v>
      </x:c>
      <x:c r="Q396" s="54" t="n">
        <x:f>N396-P396</x:f>
        <x:v>10</x:v>
      </x:c>
      <x:c r="R396" s="54" t="n">
        <x:v>33</x:v>
      </x:c>
      <x:c r="S396" s="54" t="n">
        <x:f>MIN(F396,MAX(0,ROUND(D396+R396-V396,0)))</x:f>
        <x:v>150</x:v>
      </x:c>
      <x:c r="T396" s="52" t="n">
        <x:v>1.001724401757709</x:v>
      </x:c>
      <x:c r="U396" s="54" t="n">
        <x:f>MIN(F396,MAX(0,ROUND(S396*T396,0)))</x:f>
        <x:v>150</x:v>
      </x:c>
      <x:c r="V396" s="54" t="n">
        <x:f>AB391</x:f>
        <x:v>47</x:v>
      </x:c>
      <x:c r="W396" s="54" t="n">
        <x:f>U396+V396</x:f>
        <x:v>197</x:v>
      </x:c>
      <x:c r="X396" s="54" t="n">
        <x:f>MIN(E396,W396)</x:f>
        <x:v>157</x:v>
      </x:c>
      <x:c r="Y396" s="54" t="n">
        <x:f>MAX(E396-W396,0)</x:f>
        <x:v>0</x:v>
      </x:c>
      <x:c r="Z396" s="54" t="n">
        <x:f>MAX(W396-X396,0)</x:f>
        <x:v>40</x:v>
      </x:c>
      <x:c r="AA396" s="54" t="n">
        <x:f>MIN(Z396,ROUND(Z396*O396,0))</x:f>
        <x:v>1</x:v>
      </x:c>
      <x:c r="AB396" s="54" t="n">
        <x:f>Z396-AA396</x:f>
        <x:v>39</x:v>
      </x:c>
      <x:c r="AC396" s="52" t="n">
        <x:f>IFERROR(ABS(E396-D396)/E396,0)</x:f>
        <x:v>0.044585987261146494</x:v>
      </x:c>
      <x:c r="AD396" s="52" t="n">
        <x:f>IFERROR(L396/E396,1)</x:f>
        <x:v>1</x:v>
      </x:c>
      <x:c r="AE396" s="52" t="n">
        <x:f>IFERROR(X396/E396,1)</x:f>
        <x:v>1</x:v>
      </x:c>
      <x:c r="AF396" s="52" t="n">
        <x:f>IFERROR(I396/F396,0)</x:f>
        <x:v>0.6869565217391305</x:v>
      </x:c>
      <x:c r="AG396" s="52" t="n">
        <x:f>IFERROR(U396/F396,0)</x:f>
        <x:v>0.6521739130434783</x:v>
      </x:c>
    </x:row>
    <x:row r="397">
      <x:c r="A397" s="50" t="n">
        <x:v>46241</x:v>
      </x:c>
      <x:c r="B397" s="48" t="str">
        <x:v>Toned Milk</x:v>
      </x:c>
      <x:c r="C397" s="48" t="n">
        <x:v>2</x:v>
      </x:c>
      <x:c r="D397" s="54" t="n">
        <x:v>1817</x:v>
      </x:c>
      <x:c r="E397" s="54" t="n">
        <x:v>2048</x:v>
      </x:c>
      <x:c r="F397" s="54" t="n">
        <x:v>2250</x:v>
      </x:c>
      <x:c r="G397" s="54" t="n">
        <x:f>ROUND(D397*0.97,0)</x:f>
        <x:v>1762</x:v>
      </x:c>
      <x:c r="H397" s="52" t="n">
        <x:v>0.9836870364293007</x:v>
      </x:c>
      <x:c r="I397" s="54" t="n">
        <x:f>MIN(F397,ROUND(G397*H397,0))</x:f>
        <x:v>1733</x:v>
      </x:c>
      <x:c r="J397" s="54" t="n">
        <x:f>Q392</x:f>
        <x:v>160</x:v>
      </x:c>
      <x:c r="K397" s="54" t="n">
        <x:f>I397+J397</x:f>
        <x:v>1893</x:v>
      </x:c>
      <x:c r="L397" s="54" t="n">
        <x:f>MIN(E397,K397)</x:f>
        <x:v>1893</x:v>
      </x:c>
      <x:c r="M397" s="54" t="n">
        <x:f>MAX(E397-K397,0)</x:f>
        <x:v>155</x:v>
      </x:c>
      <x:c r="N397" s="54" t="n">
        <x:f>MAX(K397-L397,0)</x:f>
        <x:v>0</x:v>
      </x:c>
      <x:c r="O397" s="52" t="n">
        <x:v>0.025</x:v>
      </x:c>
      <x:c r="P397" s="54" t="n">
        <x:f>MIN(N397,ROUND(N397*O397,0))</x:f>
        <x:v>0</x:v>
      </x:c>
      <x:c r="Q397" s="54" t="n">
        <x:f>N397-P397</x:f>
        <x:v>0</x:v>
      </x:c>
      <x:c r="R397" s="54" t="n">
        <x:v>218</x:v>
      </x:c>
      <x:c r="S397" s="54" t="n">
        <x:f>MIN(F397,MAX(0,ROUND(D397+R397-V397,0)))</x:f>
        <x:v>1630</x:v>
      </x:c>
      <x:c r="T397" s="52" t="n">
        <x:v>1.017207809470721</x:v>
      </x:c>
      <x:c r="U397" s="54" t="n">
        <x:f>MIN(F397,MAX(0,ROUND(S397*T397,0)))</x:f>
        <x:v>1658</x:v>
      </x:c>
      <x:c r="V397" s="54" t="n">
        <x:f>AB392</x:f>
        <x:v>405</x:v>
      </x:c>
      <x:c r="W397" s="54" t="n">
        <x:f>U397+V397</x:f>
        <x:v>2063</x:v>
      </x:c>
      <x:c r="X397" s="54" t="n">
        <x:f>MIN(E397,W397)</x:f>
        <x:v>2048</x:v>
      </x:c>
      <x:c r="Y397" s="54" t="n">
        <x:f>MAX(E397-W397,0)</x:f>
        <x:v>0</x:v>
      </x:c>
      <x:c r="Z397" s="54" t="n">
        <x:f>MAX(W397-X397,0)</x:f>
        <x:v>15</x:v>
      </x:c>
      <x:c r="AA397" s="54" t="n">
        <x:f>MIN(Z397,ROUND(Z397*O397,0))</x:f>
        <x:v>0</x:v>
      </x:c>
      <x:c r="AB397" s="54" t="n">
        <x:f>Z397-AA397</x:f>
        <x:v>15</x:v>
      </x:c>
      <x:c r="AC397" s="52" t="n">
        <x:f>IFERROR(ABS(E397-D397)/E397,0)</x:f>
        <x:v>0.11279296875</x:v>
      </x:c>
      <x:c r="AD397" s="52" t="n">
        <x:f>IFERROR(L397/E397,1)</x:f>
        <x:v>0.92431640625</x:v>
      </x:c>
      <x:c r="AE397" s="52" t="n">
        <x:f>IFERROR(X397/E397,1)</x:f>
        <x:v>1</x:v>
      </x:c>
      <x:c r="AF397" s="52" t="n">
        <x:f>IFERROR(I397/F397,0)</x:f>
        <x:v>0.7702222222222223</x:v>
      </x:c>
      <x:c r="AG397" s="52" t="n">
        <x:f>IFERROR(U397/F397,0)</x:f>
        <x:v>0.7368888888888889</x:v>
      </x:c>
    </x:row>
    <x:row r="398">
      <x:c r="A398" s="50" t="n">
        <x:v>46241</x:v>
      </x:c>
      <x:c r="B398" s="48" t="str">
        <x:v>Full Cream Milk</x:v>
      </x:c>
      <x:c r="C398" s="48" t="n">
        <x:v>2</x:v>
      </x:c>
      <x:c r="D398" s="54" t="n">
        <x:v>908</x:v>
      </x:c>
      <x:c r="E398" s="54" t="n">
        <x:v>867</x:v>
      </x:c>
      <x:c r="F398" s="54" t="n">
        <x:v>1200</x:v>
      </x:c>
      <x:c r="G398" s="54" t="n">
        <x:f>ROUND(D398*0.97,0)</x:f>
        <x:v>881</x:v>
      </x:c>
      <x:c r="H398" s="52" t="n">
        <x:v>1.0060648683268076</x:v>
      </x:c>
      <x:c r="I398" s="54" t="n">
        <x:f>MIN(F398,ROUND(G398*H398,0))</x:f>
        <x:v>886</x:v>
      </x:c>
      <x:c r="J398" s="54" t="n">
        <x:f>Q393</x:f>
        <x:v>0</x:v>
      </x:c>
      <x:c r="K398" s="54" t="n">
        <x:f>I398+J398</x:f>
        <x:v>886</x:v>
      </x:c>
      <x:c r="L398" s="54" t="n">
        <x:f>MIN(E398,K398)</x:f>
        <x:v>867</x:v>
      </x:c>
      <x:c r="M398" s="54" t="n">
        <x:f>MAX(E398-K398,0)</x:f>
        <x:v>0</x:v>
      </x:c>
      <x:c r="N398" s="54" t="n">
        <x:f>MAX(K398-L398,0)</x:f>
        <x:v>19</x:v>
      </x:c>
      <x:c r="O398" s="52" t="n">
        <x:v>0.03</x:v>
      </x:c>
      <x:c r="P398" s="54" t="n">
        <x:f>MIN(N398,ROUND(N398*O398,0))</x:f>
        <x:v>1</x:v>
      </x:c>
      <x:c r="Q398" s="54" t="n">
        <x:f>N398-P398</x:f>
        <x:v>18</x:v>
      </x:c>
      <x:c r="R398" s="54" t="n">
        <x:v>109</x:v>
      </x:c>
      <x:c r="S398" s="54" t="n">
        <x:f>MIN(F398,MAX(0,ROUND(D398+R398-V398,0)))</x:f>
        <x:v>986</x:v>
      </x:c>
      <x:c r="T398" s="52" t="n">
        <x:v>1.0012178633671729</x:v>
      </x:c>
      <x:c r="U398" s="54" t="n">
        <x:f>MIN(F398,MAX(0,ROUND(S398*T398,0)))</x:f>
        <x:v>987</x:v>
      </x:c>
      <x:c r="V398" s="54" t="n">
        <x:f>AB393</x:f>
        <x:v>31</x:v>
      </x:c>
      <x:c r="W398" s="54" t="n">
        <x:f>U398+V398</x:f>
        <x:v>1018</x:v>
      </x:c>
      <x:c r="X398" s="54" t="n">
        <x:f>MIN(E398,W398)</x:f>
        <x:v>867</x:v>
      </x:c>
      <x:c r="Y398" s="54" t="n">
        <x:f>MAX(E398-W398,0)</x:f>
        <x:v>0</x:v>
      </x:c>
      <x:c r="Z398" s="54" t="n">
        <x:f>MAX(W398-X398,0)</x:f>
        <x:v>151</x:v>
      </x:c>
      <x:c r="AA398" s="54" t="n">
        <x:f>MIN(Z398,ROUND(Z398*O398,0))</x:f>
        <x:v>5</x:v>
      </x:c>
      <x:c r="AB398" s="54" t="n">
        <x:f>Z398-AA398</x:f>
        <x:v>146</x:v>
      </x:c>
      <x:c r="AC398" s="52" t="n">
        <x:f>IFERROR(ABS(E398-D398)/E398,0)</x:f>
        <x:v>0.04728950403690888</x:v>
      </x:c>
      <x:c r="AD398" s="52" t="n">
        <x:f>IFERROR(L398/E398,1)</x:f>
        <x:v>1</x:v>
      </x:c>
      <x:c r="AE398" s="52" t="n">
        <x:f>IFERROR(X398/E398,1)</x:f>
        <x:v>1</x:v>
      </x:c>
      <x:c r="AF398" s="52" t="n">
        <x:f>IFERROR(I398/F398,0)</x:f>
        <x:v>0.7383333333333333</x:v>
      </x:c>
      <x:c r="AG398" s="52" t="n">
        <x:f>IFERROR(U398/F398,0)</x:f>
        <x:v>0.8225</x:v>
      </x:c>
    </x:row>
    <x:row r="399">
      <x:c r="A399" s="50" t="n">
        <x:v>46241</x:v>
      </x:c>
      <x:c r="B399" s="48" t="str">
        <x:v>Curd</x:v>
      </x:c>
      <x:c r="C399" s="48" t="n">
        <x:v>7</x:v>
      </x:c>
      <x:c r="D399" s="54" t="n">
        <x:v>534</x:v>
      </x:c>
      <x:c r="E399" s="54" t="n">
        <x:v>500</x:v>
      </x:c>
      <x:c r="F399" s="54" t="n">
        <x:v>700</x:v>
      </x:c>
      <x:c r="G399" s="54" t="n">
        <x:f>ROUND(D399*0.97,0)</x:f>
        <x:v>518</x:v>
      </x:c>
      <x:c r="H399" s="52" t="n">
        <x:v>0.991768478203376</x:v>
      </x:c>
      <x:c r="I399" s="54" t="n">
        <x:f>MIN(F399,ROUND(G399*H399,0))</x:f>
        <x:v>514</x:v>
      </x:c>
      <x:c r="J399" s="54" t="n">
        <x:f>Q394</x:f>
        <x:v>0</x:v>
      </x:c>
      <x:c r="K399" s="54" t="n">
        <x:f>I399+J399</x:f>
        <x:v>514</x:v>
      </x:c>
      <x:c r="L399" s="54" t="n">
        <x:f>MIN(E399,K399)</x:f>
        <x:v>500</x:v>
      </x:c>
      <x:c r="M399" s="54" t="n">
        <x:f>MAX(E399-K399,0)</x:f>
        <x:v>0</x:v>
      </x:c>
      <x:c r="N399" s="54" t="n">
        <x:f>MAX(K399-L399,0)</x:f>
        <x:v>14</x:v>
      </x:c>
      <x:c r="O399" s="52" t="n">
        <x:v>0.018</x:v>
      </x:c>
      <x:c r="P399" s="54" t="n">
        <x:f>MIN(N399,ROUND(N399*O399,0))</x:f>
        <x:v>0</x:v>
      </x:c>
      <x:c r="Q399" s="54" t="n">
        <x:f>N399-P399</x:f>
        <x:v>14</x:v>
      </x:c>
      <x:c r="R399" s="54" t="n">
        <x:v>96</x:v>
      </x:c>
      <x:c r="S399" s="54" t="n">
        <x:f>MIN(F399,MAX(0,ROUND(D399+R399-V399,0)))</x:f>
        <x:v>605</x:v>
      </x:c>
      <x:c r="T399" s="52" t="n">
        <x:v>1.017680780284747</x:v>
      </x:c>
      <x:c r="U399" s="54" t="n">
        <x:f>MIN(F399,MAX(0,ROUND(S399*T399,0)))</x:f>
        <x:v>616</x:v>
      </x:c>
      <x:c r="V399" s="54" t="n">
        <x:f>AB394</x:f>
        <x:v>25</x:v>
      </x:c>
      <x:c r="W399" s="54" t="n">
        <x:f>U399+V399</x:f>
        <x:v>641</x:v>
      </x:c>
      <x:c r="X399" s="54" t="n">
        <x:f>MIN(E399,W399)</x:f>
        <x:v>500</x:v>
      </x:c>
      <x:c r="Y399" s="54" t="n">
        <x:f>MAX(E399-W399,0)</x:f>
        <x:v>0</x:v>
      </x:c>
      <x:c r="Z399" s="54" t="n">
        <x:f>MAX(W399-X399,0)</x:f>
        <x:v>141</x:v>
      </x:c>
      <x:c r="AA399" s="54" t="n">
        <x:f>MIN(Z399,ROUND(Z399*O399,0))</x:f>
        <x:v>3</x:v>
      </x:c>
      <x:c r="AB399" s="54" t="n">
        <x:f>Z399-AA399</x:f>
        <x:v>138</x:v>
      </x:c>
      <x:c r="AC399" s="52" t="n">
        <x:f>IFERROR(ABS(E399-D399)/E399,0)</x:f>
        <x:v>0.068</x:v>
      </x:c>
      <x:c r="AD399" s="52" t="n">
        <x:f>IFERROR(L399/E399,1)</x:f>
        <x:v>1</x:v>
      </x:c>
      <x:c r="AE399" s="52" t="n">
        <x:f>IFERROR(X399/E399,1)</x:f>
        <x:v>1</x:v>
      </x:c>
      <x:c r="AF399" s="52" t="n">
        <x:f>IFERROR(I399/F399,0)</x:f>
        <x:v>0.7342857142857143</x:v>
      </x:c>
      <x:c r="AG399" s="52" t="n">
        <x:f>IFERROR(U399/F399,0)</x:f>
        <x:v>0.88</x:v>
      </x:c>
    </x:row>
    <x:row r="400">
      <x:c r="A400" s="50" t="n">
        <x:v>46241</x:v>
      </x:c>
      <x:c r="B400" s="48" t="str">
        <x:v>Lassi</x:v>
      </x:c>
      <x:c r="C400" s="48" t="n">
        <x:v>7</x:v>
      </x:c>
      <x:c r="D400" s="54" t="n">
        <x:v>428</x:v>
      </x:c>
      <x:c r="E400" s="54" t="n">
        <x:v>365</x:v>
      </x:c>
      <x:c r="F400" s="54" t="n">
        <x:v>560</x:v>
      </x:c>
      <x:c r="G400" s="54" t="n">
        <x:f>ROUND(D400*0.97,0)</x:f>
        <x:v>415</x:v>
      </x:c>
      <x:c r="H400" s="52" t="n">
        <x:v>0.9828896997336686</x:v>
      </x:c>
      <x:c r="I400" s="54" t="n">
        <x:f>MIN(F400,ROUND(G400*H400,0))</x:f>
        <x:v>408</x:v>
      </x:c>
      <x:c r="J400" s="54" t="n">
        <x:f>Q395</x:f>
        <x:v>0</x:v>
      </x:c>
      <x:c r="K400" s="54" t="n">
        <x:f>I400+J400</x:f>
        <x:v>408</x:v>
      </x:c>
      <x:c r="L400" s="54" t="n">
        <x:f>MIN(E400,K400)</x:f>
        <x:v>365</x:v>
      </x:c>
      <x:c r="M400" s="54" t="n">
        <x:f>MAX(E400-K400,0)</x:f>
        <x:v>0</x:v>
      </x:c>
      <x:c r="N400" s="54" t="n">
        <x:f>MAX(K400-L400,0)</x:f>
        <x:v>43</x:v>
      </x:c>
      <x:c r="O400" s="52" t="n">
        <x:v>0.02</x:v>
      </x:c>
      <x:c r="P400" s="54" t="n">
        <x:f>MIN(N400,ROUND(N400*O400,0))</x:f>
        <x:v>1</x:v>
      </x:c>
      <x:c r="Q400" s="54" t="n">
        <x:f>N400-P400</x:f>
        <x:v>42</x:v>
      </x:c>
      <x:c r="R400" s="54" t="n">
        <x:v>77</x:v>
      </x:c>
      <x:c r="S400" s="54" t="n">
        <x:f>MIN(F400,MAX(0,ROUND(D400+R400-V400,0)))</x:f>
        <x:v>481</x:v>
      </x:c>
      <x:c r="T400" s="52" t="n">
        <x:v>1.010198890141758</x:v>
      </x:c>
      <x:c r="U400" s="54" t="n">
        <x:f>MIN(F400,MAX(0,ROUND(S400*T400,0)))</x:f>
        <x:v>486</x:v>
      </x:c>
      <x:c r="V400" s="54" t="n">
        <x:f>AB395</x:f>
        <x:v>24</x:v>
      </x:c>
      <x:c r="W400" s="54" t="n">
        <x:f>U400+V400</x:f>
        <x:v>510</x:v>
      </x:c>
      <x:c r="X400" s="54" t="n">
        <x:f>MIN(E400,W400)</x:f>
        <x:v>365</x:v>
      </x:c>
      <x:c r="Y400" s="54" t="n">
        <x:f>MAX(E400-W400,0)</x:f>
        <x:v>0</x:v>
      </x:c>
      <x:c r="Z400" s="54" t="n">
        <x:f>MAX(W400-X400,0)</x:f>
        <x:v>145</x:v>
      </x:c>
      <x:c r="AA400" s="54" t="n">
        <x:f>MIN(Z400,ROUND(Z400*O400,0))</x:f>
        <x:v>3</x:v>
      </x:c>
      <x:c r="AB400" s="54" t="n">
        <x:f>Z400-AA400</x:f>
        <x:v>142</x:v>
      </x:c>
      <x:c r="AC400" s="52" t="n">
        <x:f>IFERROR(ABS(E400-D400)/E400,0)</x:f>
        <x:v>0.1726027397260274</x:v>
      </x:c>
      <x:c r="AD400" s="52" t="n">
        <x:f>IFERROR(L400/E400,1)</x:f>
        <x:v>1</x:v>
      </x:c>
      <x:c r="AE400" s="52" t="n">
        <x:f>IFERROR(X400/E400,1)</x:f>
        <x:v>1</x:v>
      </x:c>
      <x:c r="AF400" s="52" t="n">
        <x:f>IFERROR(I400/F400,0)</x:f>
        <x:v>0.7285714285714285</x:v>
      </x:c>
      <x:c r="AG400" s="52" t="n">
        <x:f>IFERROR(U400/F400,0)</x:f>
        <x:v>0.8678571428571429</x:v>
      </x:c>
    </x:row>
    <x:row r="401">
      <x:c r="A401" s="50" t="n">
        <x:v>46241</x:v>
      </x:c>
      <x:c r="B401" s="48" t="str">
        <x:v>Paneer</x:v>
      </x:c>
      <x:c r="C401" s="48" t="n">
        <x:v>5</x:v>
      </x:c>
      <x:c r="D401" s="54" t="n">
        <x:v>171</x:v>
      </x:c>
      <x:c r="E401" s="54" t="n">
        <x:v>158</x:v>
      </x:c>
      <x:c r="F401" s="54" t="n">
        <x:v>230</x:v>
      </x:c>
      <x:c r="G401" s="54" t="n">
        <x:f>ROUND(D401*0.97,0)</x:f>
        <x:v>166</x:v>
      </x:c>
      <x:c r="H401" s="52" t="n">
        <x:v>0.99052392195179</x:v>
      </x:c>
      <x:c r="I401" s="54" t="n">
        <x:f>MIN(F401,ROUND(G401*H401,0))</x:f>
        <x:v>164</x:v>
      </x:c>
      <x:c r="J401" s="54" t="n">
        <x:f>Q396</x:f>
        <x:v>10</x:v>
      </x:c>
      <x:c r="K401" s="54" t="n">
        <x:f>I401+J401</x:f>
        <x:v>174</x:v>
      </x:c>
      <x:c r="L401" s="54" t="n">
        <x:f>MIN(E401,K401)</x:f>
        <x:v>158</x:v>
      </x:c>
      <x:c r="M401" s="54" t="n">
        <x:f>MAX(E401-K401,0)</x:f>
        <x:v>0</x:v>
      </x:c>
      <x:c r="N401" s="54" t="n">
        <x:f>MAX(K401-L401,0)</x:f>
        <x:v>16</x:v>
      </x:c>
      <x:c r="O401" s="52" t="n">
        <x:v>0.025</x:v>
      </x:c>
      <x:c r="P401" s="54" t="n">
        <x:f>MIN(N401,ROUND(N401*O401,0))</x:f>
        <x:v>0</x:v>
      </x:c>
      <x:c r="Q401" s="54" t="n">
        <x:f>N401-P401</x:f>
        <x:v>16</x:v>
      </x:c>
      <x:c r="R401" s="54" t="n">
        <x:v>34</x:v>
      </x:c>
      <x:c r="S401" s="54" t="n">
        <x:f>MIN(F401,MAX(0,ROUND(D401+R401-V401,0)))</x:f>
        <x:v>166</x:v>
      </x:c>
      <x:c r="T401" s="52" t="n">
        <x:v>1.0058966780924996</x:v>
      </x:c>
      <x:c r="U401" s="54" t="n">
        <x:f>MIN(F401,MAX(0,ROUND(S401*T401,0)))</x:f>
        <x:v>167</x:v>
      </x:c>
      <x:c r="V401" s="54" t="n">
        <x:f>AB396</x:f>
        <x:v>39</x:v>
      </x:c>
      <x:c r="W401" s="54" t="n">
        <x:f>U401+V401</x:f>
        <x:v>206</x:v>
      </x:c>
      <x:c r="X401" s="54" t="n">
        <x:f>MIN(E401,W401)</x:f>
        <x:v>158</x:v>
      </x:c>
      <x:c r="Y401" s="54" t="n">
        <x:f>MAX(E401-W401,0)</x:f>
        <x:v>0</x:v>
      </x:c>
      <x:c r="Z401" s="54" t="n">
        <x:f>MAX(W401-X401,0)</x:f>
        <x:v>48</x:v>
      </x:c>
      <x:c r="AA401" s="54" t="n">
        <x:f>MIN(Z401,ROUND(Z401*O401,0))</x:f>
        <x:v>1</x:v>
      </x:c>
      <x:c r="AB401" s="54" t="n">
        <x:f>Z401-AA401</x:f>
        <x:v>47</x:v>
      </x:c>
      <x:c r="AC401" s="52" t="n">
        <x:f>IFERROR(ABS(E401-D401)/E401,0)</x:f>
        <x:v>0.08227848101265822</x:v>
      </x:c>
      <x:c r="AD401" s="52" t="n">
        <x:f>IFERROR(L401/E401,1)</x:f>
        <x:v>1</x:v>
      </x:c>
      <x:c r="AE401" s="52" t="n">
        <x:f>IFERROR(X401/E401,1)</x:f>
        <x:v>1</x:v>
      </x:c>
      <x:c r="AF401" s="52" t="n">
        <x:f>IFERROR(I401/F401,0)</x:f>
        <x:v>0.7130434782608696</x:v>
      </x:c>
      <x:c r="AG401" s="52" t="n">
        <x:f>IFERROR(U401/F401,0)</x:f>
        <x:v>0.7260869565217392</x:v>
      </x:c>
    </x:row>
    <x:row r="402">
      <x:c r="A402" s="50" t="n">
        <x:v>46242</x:v>
      </x:c>
      <x:c r="B402" s="48" t="str">
        <x:v>Toned Milk</x:v>
      </x:c>
      <x:c r="C402" s="48" t="n">
        <x:v>2</x:v>
      </x:c>
      <x:c r="D402" s="54" t="n">
        <x:v>1992</x:v>
      </x:c>
      <x:c r="E402" s="54" t="n">
        <x:v>1769</x:v>
      </x:c>
      <x:c r="F402" s="54" t="n">
        <x:v>2250</x:v>
      </x:c>
      <x:c r="G402" s="54" t="n">
        <x:f>ROUND(D402*0.97,0)</x:f>
        <x:v>1932</x:v>
      </x:c>
      <x:c r="H402" s="52" t="n">
        <x:v>1.0084557971030363</x:v>
      </x:c>
      <x:c r="I402" s="54" t="n">
        <x:f>MIN(F402,ROUND(G402*H402,0))</x:f>
        <x:v>1948</x:v>
      </x:c>
      <x:c r="J402" s="54" t="n">
        <x:f>Q397</x:f>
        <x:v>0</x:v>
      </x:c>
      <x:c r="K402" s="54" t="n">
        <x:f>I402+J402</x:f>
        <x:v>1948</x:v>
      </x:c>
      <x:c r="L402" s="54" t="n">
        <x:f>MIN(E402,K402)</x:f>
        <x:v>1769</x:v>
      </x:c>
      <x:c r="M402" s="54" t="n">
        <x:f>MAX(E402-K402,0)</x:f>
        <x:v>0</x:v>
      </x:c>
      <x:c r="N402" s="54" t="n">
        <x:f>MAX(K402-L402,0)</x:f>
        <x:v>179</x:v>
      </x:c>
      <x:c r="O402" s="52" t="n">
        <x:v>0.025</x:v>
      </x:c>
      <x:c r="P402" s="54" t="n">
        <x:f>MIN(N402,ROUND(N402*O402,0))</x:f>
        <x:v>4</x:v>
      </x:c>
      <x:c r="Q402" s="54" t="n">
        <x:f>N402-P402</x:f>
        <x:v>175</x:v>
      </x:c>
      <x:c r="R402" s="54" t="n">
        <x:v>239</x:v>
      </x:c>
      <x:c r="S402" s="54" t="n">
        <x:f>MIN(F402,MAX(0,ROUND(D402+R402-V402,0)))</x:f>
        <x:v>2216</x:v>
      </x:c>
      <x:c r="T402" s="52" t="n">
        <x:v>1.0080594052898886</x:v>
      </x:c>
      <x:c r="U402" s="54" t="n">
        <x:f>MIN(F402,MAX(0,ROUND(S402*T402,0)))</x:f>
        <x:v>2234</x:v>
      </x:c>
      <x:c r="V402" s="54" t="n">
        <x:f>AB397</x:f>
        <x:v>15</x:v>
      </x:c>
      <x:c r="W402" s="54" t="n">
        <x:f>U402+V402</x:f>
        <x:v>2249</x:v>
      </x:c>
      <x:c r="X402" s="54" t="n">
        <x:f>MIN(E402,W402)</x:f>
        <x:v>1769</x:v>
      </x:c>
      <x:c r="Y402" s="54" t="n">
        <x:f>MAX(E402-W402,0)</x:f>
        <x:v>0</x:v>
      </x:c>
      <x:c r="Z402" s="54" t="n">
        <x:f>MAX(W402-X402,0)</x:f>
        <x:v>480</x:v>
      </x:c>
      <x:c r="AA402" s="54" t="n">
        <x:f>MIN(Z402,ROUND(Z402*O402,0))</x:f>
        <x:v>12</x:v>
      </x:c>
      <x:c r="AB402" s="54" t="n">
        <x:f>Z402-AA402</x:f>
        <x:v>468</x:v>
      </x:c>
      <x:c r="AC402" s="52" t="n">
        <x:f>IFERROR(ABS(E402-D402)/E402,0)</x:f>
        <x:v>0.1260599208592425</x:v>
      </x:c>
      <x:c r="AD402" s="52" t="n">
        <x:f>IFERROR(L402/E402,1)</x:f>
        <x:v>1</x:v>
      </x:c>
      <x:c r="AE402" s="52" t="n">
        <x:f>IFERROR(X402/E402,1)</x:f>
        <x:v>1</x:v>
      </x:c>
      <x:c r="AF402" s="52" t="n">
        <x:f>IFERROR(I402/F402,0)</x:f>
        <x:v>0.8657777777777778</x:v>
      </x:c>
      <x:c r="AG402" s="52" t="n">
        <x:f>IFERROR(U402/F402,0)</x:f>
        <x:v>0.9928888888888889</x:v>
      </x:c>
    </x:row>
    <x:row r="403">
      <x:c r="A403" s="50" t="n">
        <x:v>46242</x:v>
      </x:c>
      <x:c r="B403" s="48" t="str">
        <x:v>Full Cream Milk</x:v>
      </x:c>
      <x:c r="C403" s="48" t="n">
        <x:v>2</x:v>
      </x:c>
      <x:c r="D403" s="54" t="n">
        <x:v>996</x:v>
      </x:c>
      <x:c r="E403" s="54" t="n">
        <x:v>1153</x:v>
      </x:c>
      <x:c r="F403" s="54" t="n">
        <x:v>1200</x:v>
      </x:c>
      <x:c r="G403" s="54" t="n">
        <x:f>ROUND(D403*0.97,0)</x:f>
        <x:v>966</x:v>
      </x:c>
      <x:c r="H403" s="52" t="n">
        <x:v>1.01211342534239</x:v>
      </x:c>
      <x:c r="I403" s="54" t="n">
        <x:f>MIN(F403,ROUND(G403*H403,0))</x:f>
        <x:v>978</x:v>
      </x:c>
      <x:c r="J403" s="54" t="n">
        <x:f>Q398</x:f>
        <x:v>18</x:v>
      </x:c>
      <x:c r="K403" s="54" t="n">
        <x:f>I403+J403</x:f>
        <x:v>996</x:v>
      </x:c>
      <x:c r="L403" s="54" t="n">
        <x:f>MIN(E403,K403)</x:f>
        <x:v>996</x:v>
      </x:c>
      <x:c r="M403" s="54" t="n">
        <x:f>MAX(E403-K403,0)</x:f>
        <x:v>157</x:v>
      </x:c>
      <x:c r="N403" s="54" t="n">
        <x:f>MAX(K403-L403,0)</x:f>
        <x:v>0</x:v>
      </x:c>
      <x:c r="O403" s="52" t="n">
        <x:v>0.03</x:v>
      </x:c>
      <x:c r="P403" s="54" t="n">
        <x:f>MIN(N403,ROUND(N403*O403,0))</x:f>
        <x:v>0</x:v>
      </x:c>
      <x:c r="Q403" s="54" t="n">
        <x:f>N403-P403</x:f>
        <x:v>0</x:v>
      </x:c>
      <x:c r="R403" s="54" t="n">
        <x:v>120</x:v>
      </x:c>
      <x:c r="S403" s="54" t="n">
        <x:f>MIN(F403,MAX(0,ROUND(D403+R403-V403,0)))</x:f>
        <x:v>970</x:v>
      </x:c>
      <x:c r="T403" s="52" t="n">
        <x:v>0.9917780364664792</x:v>
      </x:c>
      <x:c r="U403" s="54" t="n">
        <x:f>MIN(F403,MAX(0,ROUND(S403*T403,0)))</x:f>
        <x:v>962</x:v>
      </x:c>
      <x:c r="V403" s="54" t="n">
        <x:f>AB398</x:f>
        <x:v>146</x:v>
      </x:c>
      <x:c r="W403" s="54" t="n">
        <x:f>U403+V403</x:f>
        <x:v>1108</x:v>
      </x:c>
      <x:c r="X403" s="54" t="n">
        <x:f>MIN(E403,W403)</x:f>
        <x:v>1108</x:v>
      </x:c>
      <x:c r="Y403" s="54" t="n">
        <x:f>MAX(E403-W403,0)</x:f>
        <x:v>45</x:v>
      </x:c>
      <x:c r="Z403" s="54" t="n">
        <x:f>MAX(W403-X403,0)</x:f>
        <x:v>0</x:v>
      </x:c>
      <x:c r="AA403" s="54" t="n">
        <x:f>MIN(Z403,ROUND(Z403*O403,0))</x:f>
        <x:v>0</x:v>
      </x:c>
      <x:c r="AB403" s="54" t="n">
        <x:f>Z403-AA403</x:f>
        <x:v>0</x:v>
      </x:c>
      <x:c r="AC403" s="52" t="n">
        <x:f>IFERROR(ABS(E403-D403)/E403,0)</x:f>
        <x:v>0.13616652211621855</x:v>
      </x:c>
      <x:c r="AD403" s="52" t="n">
        <x:f>IFERROR(L403/E403,1)</x:f>
        <x:v>0.8638334778837814</x:v>
      </x:c>
      <x:c r="AE403" s="52" t="n">
        <x:f>IFERROR(X403/E403,1)</x:f>
        <x:v>0.9609713790112749</x:v>
      </x:c>
      <x:c r="AF403" s="52" t="n">
        <x:f>IFERROR(I403/F403,0)</x:f>
        <x:v>0.815</x:v>
      </x:c>
      <x:c r="AG403" s="52" t="n">
        <x:f>IFERROR(U403/F403,0)</x:f>
        <x:v>0.8016666666666666</x:v>
      </x:c>
    </x:row>
    <x:row r="404">
      <x:c r="A404" s="50" t="n">
        <x:v>46242</x:v>
      </x:c>
      <x:c r="B404" s="48" t="str">
        <x:v>Curd</x:v>
      </x:c>
      <x:c r="C404" s="48" t="n">
        <x:v>7</x:v>
      </x:c>
      <x:c r="D404" s="54" t="n">
        <x:v>586</x:v>
      </x:c>
      <x:c r="E404" s="54" t="n">
        <x:v>564</x:v>
      </x:c>
      <x:c r="F404" s="54" t="n">
        <x:v>700</x:v>
      </x:c>
      <x:c r="G404" s="54" t="n">
        <x:f>ROUND(D404*0.97,0)</x:f>
        <x:v>568</x:v>
      </x:c>
      <x:c r="H404" s="52" t="n">
        <x:v>0.9909746865569619</x:v>
      </x:c>
      <x:c r="I404" s="54" t="n">
        <x:f>MIN(F404,ROUND(G404*H404,0))</x:f>
        <x:v>563</x:v>
      </x:c>
      <x:c r="J404" s="54" t="n">
        <x:f>Q399</x:f>
        <x:v>14</x:v>
      </x:c>
      <x:c r="K404" s="54" t="n">
        <x:f>I404+J404</x:f>
        <x:v>577</x:v>
      </x:c>
      <x:c r="L404" s="54" t="n">
        <x:f>MIN(E404,K404)</x:f>
        <x:v>564</x:v>
      </x:c>
      <x:c r="M404" s="54" t="n">
        <x:f>MAX(E404-K404,0)</x:f>
        <x:v>0</x:v>
      </x:c>
      <x:c r="N404" s="54" t="n">
        <x:f>MAX(K404-L404,0)</x:f>
        <x:v>13</x:v>
      </x:c>
      <x:c r="O404" s="52" t="n">
        <x:v>0.018</x:v>
      </x:c>
      <x:c r="P404" s="54" t="n">
        <x:f>MIN(N404,ROUND(N404*O404,0))</x:f>
        <x:v>0</x:v>
      </x:c>
      <x:c r="Q404" s="54" t="n">
        <x:f>N404-P404</x:f>
        <x:v>13</x:v>
      </x:c>
      <x:c r="R404" s="54" t="n">
        <x:v>105</x:v>
      </x:c>
      <x:c r="S404" s="54" t="n">
        <x:f>MIN(F404,MAX(0,ROUND(D404+R404-V404,0)))</x:f>
        <x:v>553</x:v>
      </x:c>
      <x:c r="T404" s="52" t="n">
        <x:v>1.008867274574007</x:v>
      </x:c>
      <x:c r="U404" s="54" t="n">
        <x:f>MIN(F404,MAX(0,ROUND(S404*T404,0)))</x:f>
        <x:v>558</x:v>
      </x:c>
      <x:c r="V404" s="54" t="n">
        <x:f>AB399</x:f>
        <x:v>138</x:v>
      </x:c>
      <x:c r="W404" s="54" t="n">
        <x:f>U404+V404</x:f>
        <x:v>696</x:v>
      </x:c>
      <x:c r="X404" s="54" t="n">
        <x:f>MIN(E404,W404)</x:f>
        <x:v>564</x:v>
      </x:c>
      <x:c r="Y404" s="54" t="n">
        <x:f>MAX(E404-W404,0)</x:f>
        <x:v>0</x:v>
      </x:c>
      <x:c r="Z404" s="54" t="n">
        <x:f>MAX(W404-X404,0)</x:f>
        <x:v>132</x:v>
      </x:c>
      <x:c r="AA404" s="54" t="n">
        <x:f>MIN(Z404,ROUND(Z404*O404,0))</x:f>
        <x:v>2</x:v>
      </x:c>
      <x:c r="AB404" s="54" t="n">
        <x:f>Z404-AA404</x:f>
        <x:v>130</x:v>
      </x:c>
      <x:c r="AC404" s="52" t="n">
        <x:f>IFERROR(ABS(E404-D404)/E404,0)</x:f>
        <x:v>0.03900709219858156</x:v>
      </x:c>
      <x:c r="AD404" s="52" t="n">
        <x:f>IFERROR(L404/E404,1)</x:f>
        <x:v>1</x:v>
      </x:c>
      <x:c r="AE404" s="52" t="n">
        <x:f>IFERROR(X404/E404,1)</x:f>
        <x:v>1</x:v>
      </x:c>
      <x:c r="AF404" s="52" t="n">
        <x:f>IFERROR(I404/F404,0)</x:f>
        <x:v>0.8042857142857143</x:v>
      </x:c>
      <x:c r="AG404" s="52" t="n">
        <x:f>IFERROR(U404/F404,0)</x:f>
        <x:v>0.7971428571428572</x:v>
      </x:c>
    </x:row>
    <x:row r="405">
      <x:c r="A405" s="50" t="n">
        <x:v>46242</x:v>
      </x:c>
      <x:c r="B405" s="48" t="str">
        <x:v>Lassi</x:v>
      </x:c>
      <x:c r="C405" s="48" t="n">
        <x:v>7</x:v>
      </x:c>
      <x:c r="D405" s="54" t="n">
        <x:v>465</x:v>
      </x:c>
      <x:c r="E405" s="54" t="n">
        <x:v>464</x:v>
      </x:c>
      <x:c r="F405" s="54" t="n">
        <x:v>560</x:v>
      </x:c>
      <x:c r="G405" s="54" t="n">
        <x:f>ROUND(D405*0.97,0)</x:f>
        <x:v>451</x:v>
      </x:c>
      <x:c r="H405" s="52" t="n">
        <x:v>1.0000981261200508</x:v>
      </x:c>
      <x:c r="I405" s="54" t="n">
        <x:f>MIN(F405,ROUND(G405*H405,0))</x:f>
        <x:v>451</x:v>
      </x:c>
      <x:c r="J405" s="54" t="n">
        <x:f>Q400</x:f>
        <x:v>42</x:v>
      </x:c>
      <x:c r="K405" s="54" t="n">
        <x:f>I405+J405</x:f>
        <x:v>493</x:v>
      </x:c>
      <x:c r="L405" s="54" t="n">
        <x:f>MIN(E405,K405)</x:f>
        <x:v>464</x:v>
      </x:c>
      <x:c r="M405" s="54" t="n">
        <x:f>MAX(E405-K405,0)</x:f>
        <x:v>0</x:v>
      </x:c>
      <x:c r="N405" s="54" t="n">
        <x:f>MAX(K405-L405,0)</x:f>
        <x:v>29</x:v>
      </x:c>
      <x:c r="O405" s="52" t="n">
        <x:v>0.02</x:v>
      </x:c>
      <x:c r="P405" s="54" t="n">
        <x:f>MIN(N405,ROUND(N405*O405,0))</x:f>
        <x:v>1</x:v>
      </x:c>
      <x:c r="Q405" s="54" t="n">
        <x:f>N405-P405</x:f>
        <x:v>28</x:v>
      </x:c>
      <x:c r="R405" s="54" t="n">
        <x:v>84</x:v>
      </x:c>
      <x:c r="S405" s="54" t="n">
        <x:f>MIN(F405,MAX(0,ROUND(D405+R405-V405,0)))</x:f>
        <x:v>407</x:v>
      </x:c>
      <x:c r="T405" s="52" t="n">
        <x:v>0.981362085207333</x:v>
      </x:c>
      <x:c r="U405" s="54" t="n">
        <x:f>MIN(F405,MAX(0,ROUND(S405*T405,0)))</x:f>
        <x:v>399</x:v>
      </x:c>
      <x:c r="V405" s="54" t="n">
        <x:f>AB400</x:f>
        <x:v>142</x:v>
      </x:c>
      <x:c r="W405" s="54" t="n">
        <x:f>U405+V405</x:f>
        <x:v>541</x:v>
      </x:c>
      <x:c r="X405" s="54" t="n">
        <x:f>MIN(E405,W405)</x:f>
        <x:v>464</x:v>
      </x:c>
      <x:c r="Y405" s="54" t="n">
        <x:f>MAX(E405-W405,0)</x:f>
        <x:v>0</x:v>
      </x:c>
      <x:c r="Z405" s="54" t="n">
        <x:f>MAX(W405-X405,0)</x:f>
        <x:v>77</x:v>
      </x:c>
      <x:c r="AA405" s="54" t="n">
        <x:f>MIN(Z405,ROUND(Z405*O405,0))</x:f>
        <x:v>2</x:v>
      </x:c>
      <x:c r="AB405" s="54" t="n">
        <x:f>Z405-AA405</x:f>
        <x:v>75</x:v>
      </x:c>
      <x:c r="AC405" s="52" t="n">
        <x:f>IFERROR(ABS(E405-D405)/E405,0)</x:f>
        <x:v>0.0021551724137931034</x:v>
      </x:c>
      <x:c r="AD405" s="52" t="n">
        <x:f>IFERROR(L405/E405,1)</x:f>
        <x:v>1</x:v>
      </x:c>
      <x:c r="AE405" s="52" t="n">
        <x:f>IFERROR(X405/E405,1)</x:f>
        <x:v>1</x:v>
      </x:c>
      <x:c r="AF405" s="52" t="n">
        <x:f>IFERROR(I405/F405,0)</x:f>
        <x:v>0.8053571428571429</x:v>
      </x:c>
      <x:c r="AG405" s="52" t="n">
        <x:f>IFERROR(U405/F405,0)</x:f>
        <x:v>0.7125</x:v>
      </x:c>
    </x:row>
    <x:row r="406">
      <x:c r="A406" s="50" t="n">
        <x:v>46242</x:v>
      </x:c>
      <x:c r="B406" s="48" t="str">
        <x:v>Paneer</x:v>
      </x:c>
      <x:c r="C406" s="48" t="n">
        <x:v>5</x:v>
      </x:c>
      <x:c r="D406" s="54" t="n">
        <x:v>184</x:v>
      </x:c>
      <x:c r="E406" s="54" t="n">
        <x:v>171</x:v>
      </x:c>
      <x:c r="F406" s="54" t="n">
        <x:v>230</x:v>
      </x:c>
      <x:c r="G406" s="54" t="n">
        <x:f>ROUND(D406*0.97,0)</x:f>
        <x:v>178</x:v>
      </x:c>
      <x:c r="H406" s="52" t="n">
        <x:v>0.9835663908642587</x:v>
      </x:c>
      <x:c r="I406" s="54" t="n">
        <x:f>MIN(F406,ROUND(G406*H406,0))</x:f>
        <x:v>175</x:v>
      </x:c>
      <x:c r="J406" s="54" t="n">
        <x:f>Q401</x:f>
        <x:v>16</x:v>
      </x:c>
      <x:c r="K406" s="54" t="n">
        <x:f>I406+J406</x:f>
        <x:v>191</x:v>
      </x:c>
      <x:c r="L406" s="54" t="n">
        <x:f>MIN(E406,K406)</x:f>
        <x:v>171</x:v>
      </x:c>
      <x:c r="M406" s="54" t="n">
        <x:f>MAX(E406-K406,0)</x:f>
        <x:v>0</x:v>
      </x:c>
      <x:c r="N406" s="54" t="n">
        <x:f>MAX(K406-L406,0)</x:f>
        <x:v>20</x:v>
      </x:c>
      <x:c r="O406" s="52" t="n">
        <x:v>0.025</x:v>
      </x:c>
      <x:c r="P406" s="54" t="n">
        <x:f>MIN(N406,ROUND(N406*O406,0))</x:f>
        <x:v>1</x:v>
      </x:c>
      <x:c r="Q406" s="54" t="n">
        <x:f>N406-P406</x:f>
        <x:v>19</x:v>
      </x:c>
      <x:c r="R406" s="54" t="n">
        <x:v>37</x:v>
      </x:c>
      <x:c r="S406" s="54" t="n">
        <x:f>MIN(F406,MAX(0,ROUND(D406+R406-V406,0)))</x:f>
        <x:v>174</x:v>
      </x:c>
      <x:c r="T406" s="52" t="n">
        <x:v>1.0126115825665916</x:v>
      </x:c>
      <x:c r="U406" s="54" t="n">
        <x:f>MIN(F406,MAX(0,ROUND(S406*T406,0)))</x:f>
        <x:v>176</x:v>
      </x:c>
      <x:c r="V406" s="54" t="n">
        <x:f>AB401</x:f>
        <x:v>47</x:v>
      </x:c>
      <x:c r="W406" s="54" t="n">
        <x:f>U406+V406</x:f>
        <x:v>223</x:v>
      </x:c>
      <x:c r="X406" s="54" t="n">
        <x:f>MIN(E406,W406)</x:f>
        <x:v>171</x:v>
      </x:c>
      <x:c r="Y406" s="54" t="n">
        <x:f>MAX(E406-W406,0)</x:f>
        <x:v>0</x:v>
      </x:c>
      <x:c r="Z406" s="54" t="n">
        <x:f>MAX(W406-X406,0)</x:f>
        <x:v>52</x:v>
      </x:c>
      <x:c r="AA406" s="54" t="n">
        <x:f>MIN(Z406,ROUND(Z406*O406,0))</x:f>
        <x:v>1</x:v>
      </x:c>
      <x:c r="AB406" s="54" t="n">
        <x:f>Z406-AA406</x:f>
        <x:v>51</x:v>
      </x:c>
      <x:c r="AC406" s="52" t="n">
        <x:f>IFERROR(ABS(E406-D406)/E406,0)</x:f>
        <x:v>0.07602339181286549</x:v>
      </x:c>
      <x:c r="AD406" s="52" t="n">
        <x:f>IFERROR(L406/E406,1)</x:f>
        <x:v>1</x:v>
      </x:c>
      <x:c r="AE406" s="52" t="n">
        <x:f>IFERROR(X406/E406,1)</x:f>
        <x:v>1</x:v>
      </x:c>
      <x:c r="AF406" s="52" t="n">
        <x:f>IFERROR(I406/F406,0)</x:f>
        <x:v>0.7608695652173914</x:v>
      </x:c>
      <x:c r="AG406" s="52" t="n">
        <x:f>IFERROR(U406/F406,0)</x:f>
        <x:v>0.7652173913043478</x:v>
      </x:c>
    </x:row>
    <x:row r="407">
      <x:c r="A407" s="50" t="n">
        <x:v>46243</x:v>
      </x:c>
      <x:c r="B407" s="48" t="str">
        <x:v>Toned Milk</x:v>
      </x:c>
      <x:c r="C407" s="48" t="n">
        <x:v>2</x:v>
      </x:c>
      <x:c r="D407" s="54" t="n">
        <x:v>1958</x:v>
      </x:c>
      <x:c r="E407" s="54" t="n">
        <x:v>1751</x:v>
      </x:c>
      <x:c r="F407" s="54" t="n">
        <x:v>2250</x:v>
      </x:c>
      <x:c r="G407" s="54" t="n">
        <x:f>ROUND(D407*0.97,0)</x:f>
        <x:v>1899</x:v>
      </x:c>
      <x:c r="H407" s="52" t="n">
        <x:v>0.9977742255941906</x:v>
      </x:c>
      <x:c r="I407" s="54" t="n">
        <x:f>MIN(F407,ROUND(G407*H407,0))</x:f>
        <x:v>1895</x:v>
      </x:c>
      <x:c r="J407" s="54" t="n">
        <x:f>Q402</x:f>
        <x:v>175</x:v>
      </x:c>
      <x:c r="K407" s="54" t="n">
        <x:f>I407+J407</x:f>
        <x:v>2070</x:v>
      </x:c>
      <x:c r="L407" s="54" t="n">
        <x:f>MIN(E407,K407)</x:f>
        <x:v>1751</x:v>
      </x:c>
      <x:c r="M407" s="54" t="n">
        <x:f>MAX(E407-K407,0)</x:f>
        <x:v>0</x:v>
      </x:c>
      <x:c r="N407" s="54" t="n">
        <x:f>MAX(K407-L407,0)</x:f>
        <x:v>319</x:v>
      </x:c>
      <x:c r="O407" s="52" t="n">
        <x:v>0.025</x:v>
      </x:c>
      <x:c r="P407" s="54" t="n">
        <x:f>MIN(N407,ROUND(N407*O407,0))</x:f>
        <x:v>8</x:v>
      </x:c>
      <x:c r="Q407" s="54" t="n">
        <x:f>N407-P407</x:f>
        <x:v>311</x:v>
      </x:c>
      <x:c r="R407" s="54" t="n">
        <x:v>235</x:v>
      </x:c>
      <x:c r="S407" s="54" t="n">
        <x:f>MIN(F407,MAX(0,ROUND(D407+R407-V407,0)))</x:f>
        <x:v>1725</x:v>
      </x:c>
      <x:c r="T407" s="52" t="n">
        <x:v>1.0028708599663363</x:v>
      </x:c>
      <x:c r="U407" s="54" t="n">
        <x:f>MIN(F407,MAX(0,ROUND(S407*T407,0)))</x:f>
        <x:v>1730</x:v>
      </x:c>
      <x:c r="V407" s="54" t="n">
        <x:f>AB402</x:f>
        <x:v>468</x:v>
      </x:c>
      <x:c r="W407" s="54" t="n">
        <x:f>U407+V407</x:f>
        <x:v>2198</x:v>
      </x:c>
      <x:c r="X407" s="54" t="n">
        <x:f>MIN(E407,W407)</x:f>
        <x:v>1751</x:v>
      </x:c>
      <x:c r="Y407" s="54" t="n">
        <x:f>MAX(E407-W407,0)</x:f>
        <x:v>0</x:v>
      </x:c>
      <x:c r="Z407" s="54" t="n">
        <x:f>MAX(W407-X407,0)</x:f>
        <x:v>447</x:v>
      </x:c>
      <x:c r="AA407" s="54" t="n">
        <x:f>MIN(Z407,ROUND(Z407*O407,0))</x:f>
        <x:v>11</x:v>
      </x:c>
      <x:c r="AB407" s="54" t="n">
        <x:f>Z407-AA407</x:f>
        <x:v>436</x:v>
      </x:c>
      <x:c r="AC407" s="52" t="n">
        <x:f>IFERROR(ABS(E407-D407)/E407,0)</x:f>
        <x:v>0.1182181610508281</x:v>
      </x:c>
      <x:c r="AD407" s="52" t="n">
        <x:f>IFERROR(L407/E407,1)</x:f>
        <x:v>1</x:v>
      </x:c>
      <x:c r="AE407" s="52" t="n">
        <x:f>IFERROR(X407/E407,1)</x:f>
        <x:v>1</x:v>
      </x:c>
      <x:c r="AF407" s="52" t="n">
        <x:f>IFERROR(I407/F407,0)</x:f>
        <x:v>0.8422222222222222</x:v>
      </x:c>
      <x:c r="AG407" s="52" t="n">
        <x:f>IFERROR(U407/F407,0)</x:f>
        <x:v>0.7688888888888888</x:v>
      </x:c>
    </x:row>
    <x:row r="408">
      <x:c r="A408" s="50" t="n">
        <x:v>46243</x:v>
      </x:c>
      <x:c r="B408" s="48" t="str">
        <x:v>Full Cream Milk</x:v>
      </x:c>
      <x:c r="C408" s="48" t="n">
        <x:v>2</x:v>
      </x:c>
      <x:c r="D408" s="54" t="n">
        <x:v>979</x:v>
      </x:c>
      <x:c r="E408" s="54" t="n">
        <x:v>913</x:v>
      </x:c>
      <x:c r="F408" s="54" t="n">
        <x:v>1200</x:v>
      </x:c>
      <x:c r="G408" s="54" t="n">
        <x:f>ROUND(D408*0.97,0)</x:f>
        <x:v>950</x:v>
      </x:c>
      <x:c r="H408" s="52" t="n">
        <x:v>0.9813150031295514</x:v>
      </x:c>
      <x:c r="I408" s="54" t="n">
        <x:f>MIN(F408,ROUND(G408*H408,0))</x:f>
        <x:v>932</x:v>
      </x:c>
      <x:c r="J408" s="54" t="n">
        <x:f>Q403</x:f>
        <x:v>0</x:v>
      </x:c>
      <x:c r="K408" s="54" t="n">
        <x:f>I408+J408</x:f>
        <x:v>932</x:v>
      </x:c>
      <x:c r="L408" s="54" t="n">
        <x:f>MIN(E408,K408)</x:f>
        <x:v>913</x:v>
      </x:c>
      <x:c r="M408" s="54" t="n">
        <x:f>MAX(E408-K408,0)</x:f>
        <x:v>0</x:v>
      </x:c>
      <x:c r="N408" s="54" t="n">
        <x:f>MAX(K408-L408,0)</x:f>
        <x:v>19</x:v>
      </x:c>
      <x:c r="O408" s="52" t="n">
        <x:v>0.03</x:v>
      </x:c>
      <x:c r="P408" s="54" t="n">
        <x:f>MIN(N408,ROUND(N408*O408,0))</x:f>
        <x:v>1</x:v>
      </x:c>
      <x:c r="Q408" s="54" t="n">
        <x:f>N408-P408</x:f>
        <x:v>18</x:v>
      </x:c>
      <x:c r="R408" s="54" t="n">
        <x:v>117</x:v>
      </x:c>
      <x:c r="S408" s="54" t="n">
        <x:f>MIN(F408,MAX(0,ROUND(D408+R408-V408,0)))</x:f>
        <x:v>1096</x:v>
      </x:c>
      <x:c r="T408" s="52" t="n">
        <x:v>0.9894902749381804</x:v>
      </x:c>
      <x:c r="U408" s="54" t="n">
        <x:f>MIN(F408,MAX(0,ROUND(S408*T408,0)))</x:f>
        <x:v>1084</x:v>
      </x:c>
      <x:c r="V408" s="54" t="n">
        <x:f>AB403</x:f>
        <x:v>0</x:v>
      </x:c>
      <x:c r="W408" s="54" t="n">
        <x:f>U408+V408</x:f>
        <x:v>1084</x:v>
      </x:c>
      <x:c r="X408" s="54" t="n">
        <x:f>MIN(E408,W408)</x:f>
        <x:v>913</x:v>
      </x:c>
      <x:c r="Y408" s="54" t="n">
        <x:f>MAX(E408-W408,0)</x:f>
        <x:v>0</x:v>
      </x:c>
      <x:c r="Z408" s="54" t="n">
        <x:f>MAX(W408-X408,0)</x:f>
        <x:v>171</x:v>
      </x:c>
      <x:c r="AA408" s="54" t="n">
        <x:f>MIN(Z408,ROUND(Z408*O408,0))</x:f>
        <x:v>5</x:v>
      </x:c>
      <x:c r="AB408" s="54" t="n">
        <x:f>Z408-AA408</x:f>
        <x:v>166</x:v>
      </x:c>
      <x:c r="AC408" s="52" t="n">
        <x:f>IFERROR(ABS(E408-D408)/E408,0)</x:f>
        <x:v>0.07228915662650602</x:v>
      </x:c>
      <x:c r="AD408" s="52" t="n">
        <x:f>IFERROR(L408/E408,1)</x:f>
        <x:v>1</x:v>
      </x:c>
      <x:c r="AE408" s="52" t="n">
        <x:f>IFERROR(X408/E408,1)</x:f>
        <x:v>1</x:v>
      </x:c>
      <x:c r="AF408" s="52" t="n">
        <x:f>IFERROR(I408/F408,0)</x:f>
        <x:v>0.7766666666666666</x:v>
      </x:c>
      <x:c r="AG408" s="52" t="n">
        <x:f>IFERROR(U408/F408,0)</x:f>
        <x:v>0.9033333333333333</x:v>
      </x:c>
    </x:row>
    <x:row r="409">
      <x:c r="A409" s="50" t="n">
        <x:v>46243</x:v>
      </x:c>
      <x:c r="B409" s="48" t="str">
        <x:v>Curd</x:v>
      </x:c>
      <x:c r="C409" s="48" t="n">
        <x:v>7</x:v>
      </x:c>
      <x:c r="D409" s="54" t="n">
        <x:v>596</x:v>
      </x:c>
      <x:c r="E409" s="54" t="n">
        <x:v>649</x:v>
      </x:c>
      <x:c r="F409" s="54" t="n">
        <x:v>700</x:v>
      </x:c>
      <x:c r="G409" s="54" t="n">
        <x:f>ROUND(D409*0.97,0)</x:f>
        <x:v>578</x:v>
      </x:c>
      <x:c r="H409" s="52" t="n">
        <x:v>1.0179642448262234</x:v>
      </x:c>
      <x:c r="I409" s="54" t="n">
        <x:f>MIN(F409,ROUND(G409*H409,0))</x:f>
        <x:v>588</x:v>
      </x:c>
      <x:c r="J409" s="54" t="n">
        <x:f>Q404</x:f>
        <x:v>13</x:v>
      </x:c>
      <x:c r="K409" s="54" t="n">
        <x:f>I409+J409</x:f>
        <x:v>601</x:v>
      </x:c>
      <x:c r="L409" s="54" t="n">
        <x:f>MIN(E409,K409)</x:f>
        <x:v>601</x:v>
      </x:c>
      <x:c r="M409" s="54" t="n">
        <x:f>MAX(E409-K409,0)</x:f>
        <x:v>48</x:v>
      </x:c>
      <x:c r="N409" s="54" t="n">
        <x:f>MAX(K409-L409,0)</x:f>
        <x:v>0</x:v>
      </x:c>
      <x:c r="O409" s="52" t="n">
        <x:v>0.018</x:v>
      </x:c>
      <x:c r="P409" s="54" t="n">
        <x:f>MIN(N409,ROUND(N409*O409,0))</x:f>
        <x:v>0</x:v>
      </x:c>
      <x:c r="Q409" s="54" t="n">
        <x:f>N409-P409</x:f>
        <x:v>0</x:v>
      </x:c>
      <x:c r="R409" s="54" t="n">
        <x:v>107</x:v>
      </x:c>
      <x:c r="S409" s="54" t="n">
        <x:f>MIN(F409,MAX(0,ROUND(D409+R409-V409,0)))</x:f>
        <x:v>573</x:v>
      </x:c>
      <x:c r="T409" s="52" t="n">
        <x:v>1.0102898874153874</x:v>
      </x:c>
      <x:c r="U409" s="54" t="n">
        <x:f>MIN(F409,MAX(0,ROUND(S409*T409,0)))</x:f>
        <x:v>579</x:v>
      </x:c>
      <x:c r="V409" s="54" t="n">
        <x:f>AB404</x:f>
        <x:v>130</x:v>
      </x:c>
      <x:c r="W409" s="54" t="n">
        <x:f>U409+V409</x:f>
        <x:v>709</x:v>
      </x:c>
      <x:c r="X409" s="54" t="n">
        <x:f>MIN(E409,W409)</x:f>
        <x:v>649</x:v>
      </x:c>
      <x:c r="Y409" s="54" t="n">
        <x:f>MAX(E409-W409,0)</x:f>
        <x:v>0</x:v>
      </x:c>
      <x:c r="Z409" s="54" t="n">
        <x:f>MAX(W409-X409,0)</x:f>
        <x:v>60</x:v>
      </x:c>
      <x:c r="AA409" s="54" t="n">
        <x:f>MIN(Z409,ROUND(Z409*O409,0))</x:f>
        <x:v>1</x:v>
      </x:c>
      <x:c r="AB409" s="54" t="n">
        <x:f>Z409-AA409</x:f>
        <x:v>59</x:v>
      </x:c>
      <x:c r="AC409" s="52" t="n">
        <x:f>IFERROR(ABS(E409-D409)/E409,0)</x:f>
        <x:v>0.08166409861325115</x:v>
      </x:c>
      <x:c r="AD409" s="52" t="n">
        <x:f>IFERROR(L409/E409,1)</x:f>
        <x:v>0.926040061633282</x:v>
      </x:c>
      <x:c r="AE409" s="52" t="n">
        <x:f>IFERROR(X409/E409,1)</x:f>
        <x:v>1</x:v>
      </x:c>
      <x:c r="AF409" s="52" t="n">
        <x:f>IFERROR(I409/F409,0)</x:f>
        <x:v>0.84</x:v>
      </x:c>
      <x:c r="AG409" s="52" t="n">
        <x:f>IFERROR(U409/F409,0)</x:f>
        <x:v>0.8271428571428572</x:v>
      </x:c>
    </x:row>
    <x:row r="410">
      <x:c r="A410" s="50" t="n">
        <x:v>46243</x:v>
      </x:c>
      <x:c r="B410" s="48" t="str">
        <x:v>Lassi</x:v>
      </x:c>
      <x:c r="C410" s="48" t="n">
        <x:v>7</x:v>
      </x:c>
      <x:c r="D410" s="54" t="n">
        <x:v>477</x:v>
      </x:c>
      <x:c r="E410" s="54" t="n">
        <x:v>533</x:v>
      </x:c>
      <x:c r="F410" s="54" t="n">
        <x:v>560</x:v>
      </x:c>
      <x:c r="G410" s="54" t="n">
        <x:f>ROUND(D410*0.97,0)</x:f>
        <x:v>463</x:v>
      </x:c>
      <x:c r="H410" s="52" t="n">
        <x:v>1.0161375916960877</x:v>
      </x:c>
      <x:c r="I410" s="54" t="n">
        <x:f>MIN(F410,ROUND(G410*H410,0))</x:f>
        <x:v>470</x:v>
      </x:c>
      <x:c r="J410" s="54" t="n">
        <x:f>Q405</x:f>
        <x:v>28</x:v>
      </x:c>
      <x:c r="K410" s="54" t="n">
        <x:f>I410+J410</x:f>
        <x:v>498</x:v>
      </x:c>
      <x:c r="L410" s="54" t="n">
        <x:f>MIN(E410,K410)</x:f>
        <x:v>498</x:v>
      </x:c>
      <x:c r="M410" s="54" t="n">
        <x:f>MAX(E410-K410,0)</x:f>
        <x:v>35</x:v>
      </x:c>
      <x:c r="N410" s="54" t="n">
        <x:f>MAX(K410-L410,0)</x:f>
        <x:v>0</x:v>
      </x:c>
      <x:c r="O410" s="52" t="n">
        <x:v>0.02</x:v>
      </x:c>
      <x:c r="P410" s="54" t="n">
        <x:f>MIN(N410,ROUND(N410*O410,0))</x:f>
        <x:v>0</x:v>
      </x:c>
      <x:c r="Q410" s="54" t="n">
        <x:f>N410-P410</x:f>
        <x:v>0</x:v>
      </x:c>
      <x:c r="R410" s="54" t="n">
        <x:v>86</x:v>
      </x:c>
      <x:c r="S410" s="54" t="n">
        <x:f>MIN(F410,MAX(0,ROUND(D410+R410-V410,0)))</x:f>
        <x:v>488</x:v>
      </x:c>
      <x:c r="T410" s="52" t="n">
        <x:v>1.0032197487182863</x:v>
      </x:c>
      <x:c r="U410" s="54" t="n">
        <x:f>MIN(F410,MAX(0,ROUND(S410*T410,0)))</x:f>
        <x:v>490</x:v>
      </x:c>
      <x:c r="V410" s="54" t="n">
        <x:f>AB405</x:f>
        <x:v>75</x:v>
      </x:c>
      <x:c r="W410" s="54" t="n">
        <x:f>U410+V410</x:f>
        <x:v>565</x:v>
      </x:c>
      <x:c r="X410" s="54" t="n">
        <x:f>MIN(E410,W410)</x:f>
        <x:v>533</x:v>
      </x:c>
      <x:c r="Y410" s="54" t="n">
        <x:f>MAX(E410-W410,0)</x:f>
        <x:v>0</x:v>
      </x:c>
      <x:c r="Z410" s="54" t="n">
        <x:f>MAX(W410-X410,0)</x:f>
        <x:v>32</x:v>
      </x:c>
      <x:c r="AA410" s="54" t="n">
        <x:f>MIN(Z410,ROUND(Z410*O410,0))</x:f>
        <x:v>1</x:v>
      </x:c>
      <x:c r="AB410" s="54" t="n">
        <x:f>Z410-AA410</x:f>
        <x:v>31</x:v>
      </x:c>
      <x:c r="AC410" s="52" t="n">
        <x:f>IFERROR(ABS(E410-D410)/E410,0)</x:f>
        <x:v>0.1050656660412758</x:v>
      </x:c>
      <x:c r="AD410" s="52" t="n">
        <x:f>IFERROR(L410/E410,1)</x:f>
        <x:v>0.9343339587242027</x:v>
      </x:c>
      <x:c r="AE410" s="52" t="n">
        <x:f>IFERROR(X410/E410,1)</x:f>
        <x:v>1</x:v>
      </x:c>
      <x:c r="AF410" s="52" t="n">
        <x:f>IFERROR(I410/F410,0)</x:f>
        <x:v>0.8392857142857143</x:v>
      </x:c>
      <x:c r="AG410" s="52" t="n">
        <x:f>IFERROR(U410/F410,0)</x:f>
        <x:v>0.875</x:v>
      </x:c>
    </x:row>
    <x:row r="411">
      <x:c r="A411" s="50" t="n">
        <x:v>46243</x:v>
      </x:c>
      <x:c r="B411" s="48" t="str">
        <x:v>Paneer</x:v>
      </x:c>
      <x:c r="C411" s="48" t="n">
        <x:v>5</x:v>
      </x:c>
      <x:c r="D411" s="54" t="n">
        <x:v>189</x:v>
      </x:c>
      <x:c r="E411" s="54" t="n">
        <x:v>167</x:v>
      </x:c>
      <x:c r="F411" s="54" t="n">
        <x:v>230</x:v>
      </x:c>
      <x:c r="G411" s="54" t="n">
        <x:f>ROUND(D411*0.97,0)</x:f>
        <x:v>183</x:v>
      </x:c>
      <x:c r="H411" s="52" t="n">
        <x:v>1.005664652630123</x:v>
      </x:c>
      <x:c r="I411" s="54" t="n">
        <x:f>MIN(F411,ROUND(G411*H411,0))</x:f>
        <x:v>184</x:v>
      </x:c>
      <x:c r="J411" s="54" t="n">
        <x:f>Q406</x:f>
        <x:v>19</x:v>
      </x:c>
      <x:c r="K411" s="54" t="n">
        <x:f>I411+J411</x:f>
        <x:v>203</x:v>
      </x:c>
      <x:c r="L411" s="54" t="n">
        <x:f>MIN(E411,K411)</x:f>
        <x:v>167</x:v>
      </x:c>
      <x:c r="M411" s="54" t="n">
        <x:f>MAX(E411-K411,0)</x:f>
        <x:v>0</x:v>
      </x:c>
      <x:c r="N411" s="54" t="n">
        <x:f>MAX(K411-L411,0)</x:f>
        <x:v>36</x:v>
      </x:c>
      <x:c r="O411" s="52" t="n">
        <x:v>0.025</x:v>
      </x:c>
      <x:c r="P411" s="54" t="n">
        <x:f>MIN(N411,ROUND(N411*O411,0))</x:f>
        <x:v>1</x:v>
      </x:c>
      <x:c r="Q411" s="54" t="n">
        <x:f>N411-P411</x:f>
        <x:v>35</x:v>
      </x:c>
      <x:c r="R411" s="54" t="n">
        <x:v>38</x:v>
      </x:c>
      <x:c r="S411" s="54" t="n">
        <x:f>MIN(F411,MAX(0,ROUND(D411+R411-V411,0)))</x:f>
        <x:v>176</x:v>
      </x:c>
      <x:c r="T411" s="52" t="n">
        <x:v>1.0194159085931516</x:v>
      </x:c>
      <x:c r="U411" s="54" t="n">
        <x:f>MIN(F411,MAX(0,ROUND(S411*T411,0)))</x:f>
        <x:v>179</x:v>
      </x:c>
      <x:c r="V411" s="54" t="n">
        <x:f>AB406</x:f>
        <x:v>51</x:v>
      </x:c>
      <x:c r="W411" s="54" t="n">
        <x:f>U411+V411</x:f>
        <x:v>230</x:v>
      </x:c>
      <x:c r="X411" s="54" t="n">
        <x:f>MIN(E411,W411)</x:f>
        <x:v>167</x:v>
      </x:c>
      <x:c r="Y411" s="54" t="n">
        <x:f>MAX(E411-W411,0)</x:f>
        <x:v>0</x:v>
      </x:c>
      <x:c r="Z411" s="54" t="n">
        <x:f>MAX(W411-X411,0)</x:f>
        <x:v>63</x:v>
      </x:c>
      <x:c r="AA411" s="54" t="n">
        <x:f>MIN(Z411,ROUND(Z411*O411,0))</x:f>
        <x:v>2</x:v>
      </x:c>
      <x:c r="AB411" s="54" t="n">
        <x:f>Z411-AA411</x:f>
        <x:v>61</x:v>
      </x:c>
      <x:c r="AC411" s="52" t="n">
        <x:f>IFERROR(ABS(E411-D411)/E411,0)</x:f>
        <x:v>0.1317365269461078</x:v>
      </x:c>
      <x:c r="AD411" s="52" t="n">
        <x:f>IFERROR(L411/E411,1)</x:f>
        <x:v>1</x:v>
      </x:c>
      <x:c r="AE411" s="52" t="n">
        <x:f>IFERROR(X411/E411,1)</x:f>
        <x:v>1</x:v>
      </x:c>
      <x:c r="AF411" s="52" t="n">
        <x:f>IFERROR(I411/F411,0)</x:f>
        <x:v>0.8</x:v>
      </x:c>
      <x:c r="AG411" s="52" t="n">
        <x:f>IFERROR(U411/F411,0)</x:f>
        <x:v>0.7782608695652173</x:v>
      </x:c>
    </x:row>
    <x:row r="412">
      <x:c r="A412" s="50" t="n">
        <x:v>46244</x:v>
      </x:c>
      <x:c r="B412" s="48" t="str">
        <x:v>Toned Milk</x:v>
      </x:c>
      <x:c r="C412" s="48" t="n">
        <x:v>2</x:v>
      </x:c>
      <x:c r="D412" s="54" t="n">
        <x:v>1679</x:v>
      </x:c>
      <x:c r="E412" s="54" t="n">
        <x:v>1842</x:v>
      </x:c>
      <x:c r="F412" s="54" t="n">
        <x:v>2250</x:v>
      </x:c>
      <x:c r="G412" s="54" t="n">
        <x:f>ROUND(D412*0.97,0)</x:f>
        <x:v>1629</x:v>
      </x:c>
      <x:c r="H412" s="52" t="n">
        <x:v>1.0130368766067084</x:v>
      </x:c>
      <x:c r="I412" s="54" t="n">
        <x:f>MIN(F412,ROUND(G412*H412,0))</x:f>
        <x:v>1650</x:v>
      </x:c>
      <x:c r="J412" s="54" t="n">
        <x:f>Q407</x:f>
        <x:v>311</x:v>
      </x:c>
      <x:c r="K412" s="54" t="n">
        <x:f>I412+J412</x:f>
        <x:v>1961</x:v>
      </x:c>
      <x:c r="L412" s="54" t="n">
        <x:f>MIN(E412,K412)</x:f>
        <x:v>1842</x:v>
      </x:c>
      <x:c r="M412" s="54" t="n">
        <x:f>MAX(E412-K412,0)</x:f>
        <x:v>0</x:v>
      </x:c>
      <x:c r="N412" s="54" t="n">
        <x:f>MAX(K412-L412,0)</x:f>
        <x:v>119</x:v>
      </x:c>
      <x:c r="O412" s="52" t="n">
        <x:v>0.025</x:v>
      </x:c>
      <x:c r="P412" s="54" t="n">
        <x:f>MIN(N412,ROUND(N412*O412,0))</x:f>
        <x:v>3</x:v>
      </x:c>
      <x:c r="Q412" s="54" t="n">
        <x:f>N412-P412</x:f>
        <x:v>116</x:v>
      </x:c>
      <x:c r="R412" s="54" t="n">
        <x:v>201</x:v>
      </x:c>
      <x:c r="S412" s="54" t="n">
        <x:f>MIN(F412,MAX(0,ROUND(D412+R412-V412,0)))</x:f>
        <x:v>1444</x:v>
      </x:c>
      <x:c r="T412" s="52" t="n">
        <x:v>0.9855472415657366</x:v>
      </x:c>
      <x:c r="U412" s="54" t="n">
        <x:f>MIN(F412,MAX(0,ROUND(S412*T412,0)))</x:f>
        <x:v>1423</x:v>
      </x:c>
      <x:c r="V412" s="54" t="n">
        <x:f>AB407</x:f>
        <x:v>436</x:v>
      </x:c>
      <x:c r="W412" s="54" t="n">
        <x:f>U412+V412</x:f>
        <x:v>1859</x:v>
      </x:c>
      <x:c r="X412" s="54" t="n">
        <x:f>MIN(E412,W412)</x:f>
        <x:v>1842</x:v>
      </x:c>
      <x:c r="Y412" s="54" t="n">
        <x:f>MAX(E412-W412,0)</x:f>
        <x:v>0</x:v>
      </x:c>
      <x:c r="Z412" s="54" t="n">
        <x:f>MAX(W412-X412,0)</x:f>
        <x:v>17</x:v>
      </x:c>
      <x:c r="AA412" s="54" t="n">
        <x:f>MIN(Z412,ROUND(Z412*O412,0))</x:f>
        <x:v>0</x:v>
      </x:c>
      <x:c r="AB412" s="54" t="n">
        <x:f>Z412-AA412</x:f>
        <x:v>17</x:v>
      </x:c>
      <x:c r="AC412" s="52" t="n">
        <x:f>IFERROR(ABS(E412-D412)/E412,0)</x:f>
        <x:v>0.08849077090119435</x:v>
      </x:c>
      <x:c r="AD412" s="52" t="n">
        <x:f>IFERROR(L412/E412,1)</x:f>
        <x:v>1</x:v>
      </x:c>
      <x:c r="AE412" s="52" t="n">
        <x:f>IFERROR(X412/E412,1)</x:f>
        <x:v>1</x:v>
      </x:c>
      <x:c r="AF412" s="52" t="n">
        <x:f>IFERROR(I412/F412,0)</x:f>
        <x:v>0.7333333333333333</x:v>
      </x:c>
      <x:c r="AG412" s="52" t="n">
        <x:f>IFERROR(U412/F412,0)</x:f>
        <x:v>0.6324444444444445</x:v>
      </x:c>
    </x:row>
    <x:row r="413">
      <x:c r="A413" s="50" t="n">
        <x:v>46244</x:v>
      </x:c>
      <x:c r="B413" s="48" t="str">
        <x:v>Full Cream Milk</x:v>
      </x:c>
      <x:c r="C413" s="48" t="n">
        <x:v>2</x:v>
      </x:c>
      <x:c r="D413" s="54" t="n">
        <x:v>831</x:v>
      </x:c>
      <x:c r="E413" s="54" t="n">
        <x:v>766</x:v>
      </x:c>
      <x:c r="F413" s="54" t="n">
        <x:v>1200</x:v>
      </x:c>
      <x:c r="G413" s="54" t="n">
        <x:f>ROUND(D413*0.97,0)</x:f>
        <x:v>806</x:v>
      </x:c>
      <x:c r="H413" s="52" t="n">
        <x:v>0.9829905940453049</x:v>
      </x:c>
      <x:c r="I413" s="54" t="n">
        <x:f>MIN(F413,ROUND(G413*H413,0))</x:f>
        <x:v>792</x:v>
      </x:c>
      <x:c r="J413" s="54" t="n">
        <x:f>Q408</x:f>
        <x:v>18</x:v>
      </x:c>
      <x:c r="K413" s="54" t="n">
        <x:f>I413+J413</x:f>
        <x:v>810</x:v>
      </x:c>
      <x:c r="L413" s="54" t="n">
        <x:f>MIN(E413,K413)</x:f>
        <x:v>766</x:v>
      </x:c>
      <x:c r="M413" s="54" t="n">
        <x:f>MAX(E413-K413,0)</x:f>
        <x:v>0</x:v>
      </x:c>
      <x:c r="N413" s="54" t="n">
        <x:f>MAX(K413-L413,0)</x:f>
        <x:v>44</x:v>
      </x:c>
      <x:c r="O413" s="52" t="n">
        <x:v>0.03</x:v>
      </x:c>
      <x:c r="P413" s="54" t="n">
        <x:f>MIN(N413,ROUND(N413*O413,0))</x:f>
        <x:v>1</x:v>
      </x:c>
      <x:c r="Q413" s="54" t="n">
        <x:f>N413-P413</x:f>
        <x:v>43</x:v>
      </x:c>
      <x:c r="R413" s="54" t="n">
        <x:v>100</x:v>
      </x:c>
      <x:c r="S413" s="54" t="n">
        <x:f>MIN(F413,MAX(0,ROUND(D413+R413-V413,0)))</x:f>
        <x:v>765</x:v>
      </x:c>
      <x:c r="T413" s="52" t="n">
        <x:v>1.0116301279021656</x:v>
      </x:c>
      <x:c r="U413" s="54" t="n">
        <x:f>MIN(F413,MAX(0,ROUND(S413*T413,0)))</x:f>
        <x:v>774</x:v>
      </x:c>
      <x:c r="V413" s="54" t="n">
        <x:f>AB408</x:f>
        <x:v>166</x:v>
      </x:c>
      <x:c r="W413" s="54" t="n">
        <x:f>U413+V413</x:f>
        <x:v>940</x:v>
      </x:c>
      <x:c r="X413" s="54" t="n">
        <x:f>MIN(E413,W413)</x:f>
        <x:v>766</x:v>
      </x:c>
      <x:c r="Y413" s="54" t="n">
        <x:f>MAX(E413-W413,0)</x:f>
        <x:v>0</x:v>
      </x:c>
      <x:c r="Z413" s="54" t="n">
        <x:f>MAX(W413-X413,0)</x:f>
        <x:v>174</x:v>
      </x:c>
      <x:c r="AA413" s="54" t="n">
        <x:f>MIN(Z413,ROUND(Z413*O413,0))</x:f>
        <x:v>5</x:v>
      </x:c>
      <x:c r="AB413" s="54" t="n">
        <x:f>Z413-AA413</x:f>
        <x:v>169</x:v>
      </x:c>
      <x:c r="AC413" s="52" t="n">
        <x:f>IFERROR(ABS(E413-D413)/E413,0)</x:f>
        <x:v>0.08485639686684072</x:v>
      </x:c>
      <x:c r="AD413" s="52" t="n">
        <x:f>IFERROR(L413/E413,1)</x:f>
        <x:v>1</x:v>
      </x:c>
      <x:c r="AE413" s="52" t="n">
        <x:f>IFERROR(X413/E413,1)</x:f>
        <x:v>1</x:v>
      </x:c>
      <x:c r="AF413" s="52" t="n">
        <x:f>IFERROR(I413/F413,0)</x:f>
        <x:v>0.66</x:v>
      </x:c>
      <x:c r="AG413" s="52" t="n">
        <x:f>IFERROR(U413/F413,0)</x:f>
        <x:v>0.645</x:v>
      </x:c>
    </x:row>
    <x:row r="414">
      <x:c r="A414" s="50" t="n">
        <x:v>46244</x:v>
      </x:c>
      <x:c r="B414" s="48" t="str">
        <x:v>Curd</x:v>
      </x:c>
      <x:c r="C414" s="48" t="n">
        <x:v>7</x:v>
      </x:c>
      <x:c r="D414" s="54" t="n">
        <x:v>478</x:v>
      </x:c>
      <x:c r="E414" s="54" t="n">
        <x:v>463</x:v>
      </x:c>
      <x:c r="F414" s="54" t="n">
        <x:v>700</x:v>
      </x:c>
      <x:c r="G414" s="54" t="n">
        <x:f>ROUND(D414*0.97,0)</x:f>
        <x:v>464</x:v>
      </x:c>
      <x:c r="H414" s="52" t="n">
        <x:v>1.0184423406058973</x:v>
      </x:c>
      <x:c r="I414" s="54" t="n">
        <x:f>MIN(F414,ROUND(G414*H414,0))</x:f>
        <x:v>473</x:v>
      </x:c>
      <x:c r="J414" s="54" t="n">
        <x:f>Q409</x:f>
        <x:v>0</x:v>
      </x:c>
      <x:c r="K414" s="54" t="n">
        <x:f>I414+J414</x:f>
        <x:v>473</x:v>
      </x:c>
      <x:c r="L414" s="54" t="n">
        <x:f>MIN(E414,K414)</x:f>
        <x:v>463</x:v>
      </x:c>
      <x:c r="M414" s="54" t="n">
        <x:f>MAX(E414-K414,0)</x:f>
        <x:v>0</x:v>
      </x:c>
      <x:c r="N414" s="54" t="n">
        <x:f>MAX(K414-L414,0)</x:f>
        <x:v>10</x:v>
      </x:c>
      <x:c r="O414" s="52" t="n">
        <x:v>0.018</x:v>
      </x:c>
      <x:c r="P414" s="54" t="n">
        <x:f>MIN(N414,ROUND(N414*O414,0))</x:f>
        <x:v>0</x:v>
      </x:c>
      <x:c r="Q414" s="54" t="n">
        <x:f>N414-P414</x:f>
        <x:v>10</x:v>
      </x:c>
      <x:c r="R414" s="54" t="n">
        <x:v>86</x:v>
      </x:c>
      <x:c r="S414" s="54" t="n">
        <x:f>MIN(F414,MAX(0,ROUND(D414+R414-V414,0)))</x:f>
        <x:v>505</x:v>
      </x:c>
      <x:c r="T414" s="52" t="n">
        <x:v>0.9912257290499168</x:v>
      </x:c>
      <x:c r="U414" s="54" t="n">
        <x:f>MIN(F414,MAX(0,ROUND(S414*T414,0)))</x:f>
        <x:v>501</x:v>
      </x:c>
      <x:c r="V414" s="54" t="n">
        <x:f>AB409</x:f>
        <x:v>59</x:v>
      </x:c>
      <x:c r="W414" s="54" t="n">
        <x:f>U414+V414</x:f>
        <x:v>560</x:v>
      </x:c>
      <x:c r="X414" s="54" t="n">
        <x:f>MIN(E414,W414)</x:f>
        <x:v>463</x:v>
      </x:c>
      <x:c r="Y414" s="54" t="n">
        <x:f>MAX(E414-W414,0)</x:f>
        <x:v>0</x:v>
      </x:c>
      <x:c r="Z414" s="54" t="n">
        <x:f>MAX(W414-X414,0)</x:f>
        <x:v>97</x:v>
      </x:c>
      <x:c r="AA414" s="54" t="n">
        <x:f>MIN(Z414,ROUND(Z414*O414,0))</x:f>
        <x:v>2</x:v>
      </x:c>
      <x:c r="AB414" s="54" t="n">
        <x:f>Z414-AA414</x:f>
        <x:v>95</x:v>
      </x:c>
      <x:c r="AC414" s="52" t="n">
        <x:f>IFERROR(ABS(E414-D414)/E414,0)</x:f>
        <x:v>0.032397408207343416</x:v>
      </x:c>
      <x:c r="AD414" s="52" t="n">
        <x:f>IFERROR(L414/E414,1)</x:f>
        <x:v>1</x:v>
      </x:c>
      <x:c r="AE414" s="52" t="n">
        <x:f>IFERROR(X414/E414,1)</x:f>
        <x:v>1</x:v>
      </x:c>
      <x:c r="AF414" s="52" t="n">
        <x:f>IFERROR(I414/F414,0)</x:f>
        <x:v>0.6757142857142857</x:v>
      </x:c>
      <x:c r="AG414" s="52" t="n">
        <x:f>IFERROR(U414/F414,0)</x:f>
        <x:v>0.7157142857142857</x:v>
      </x:c>
    </x:row>
    <x:row r="415">
      <x:c r="A415" s="50" t="n">
        <x:v>46244</x:v>
      </x:c>
      <x:c r="B415" s="48" t="str">
        <x:v>Lassi</x:v>
      </x:c>
      <x:c r="C415" s="48" t="n">
        <x:v>7</x:v>
      </x:c>
      <x:c r="D415" s="54" t="n">
        <x:v>370</x:v>
      </x:c>
      <x:c r="E415" s="54" t="n">
        <x:v>433</x:v>
      </x:c>
      <x:c r="F415" s="54" t="n">
        <x:v>560</x:v>
      </x:c>
      <x:c r="G415" s="54" t="n">
        <x:f>ROUND(D415*0.97,0)</x:f>
        <x:v>359</x:v>
      </x:c>
      <x:c r="H415" s="52" t="n">
        <x:v>0.9882284389291458</x:v>
      </x:c>
      <x:c r="I415" s="54" t="n">
        <x:f>MIN(F415,ROUND(G415*H415,0))</x:f>
        <x:v>355</x:v>
      </x:c>
      <x:c r="J415" s="54" t="n">
        <x:f>Q410</x:f>
        <x:v>0</x:v>
      </x:c>
      <x:c r="K415" s="54" t="n">
        <x:f>I415+J415</x:f>
        <x:v>355</x:v>
      </x:c>
      <x:c r="L415" s="54" t="n">
        <x:f>MIN(E415,K415)</x:f>
        <x:v>355</x:v>
      </x:c>
      <x:c r="M415" s="54" t="n">
        <x:f>MAX(E415-K415,0)</x:f>
        <x:v>78</x:v>
      </x:c>
      <x:c r="N415" s="54" t="n">
        <x:f>MAX(K415-L415,0)</x:f>
        <x:v>0</x:v>
      </x:c>
      <x:c r="O415" s="52" t="n">
        <x:v>0.02</x:v>
      </x:c>
      <x:c r="P415" s="54" t="n">
        <x:f>MIN(N415,ROUND(N415*O415,0))</x:f>
        <x:v>0</x:v>
      </x:c>
      <x:c r="Q415" s="54" t="n">
        <x:f>N415-P415</x:f>
        <x:v>0</x:v>
      </x:c>
      <x:c r="R415" s="54" t="n">
        <x:v>67</x:v>
      </x:c>
      <x:c r="S415" s="54" t="n">
        <x:f>MIN(F415,MAX(0,ROUND(D415+R415-V415,0)))</x:f>
        <x:v>406</x:v>
      </x:c>
      <x:c r="T415" s="52" t="n">
        <x:v>1.002240129678668</x:v>
      </x:c>
      <x:c r="U415" s="54" t="n">
        <x:f>MIN(F415,MAX(0,ROUND(S415*T415,0)))</x:f>
        <x:v>407</x:v>
      </x:c>
      <x:c r="V415" s="54" t="n">
        <x:f>AB410</x:f>
        <x:v>31</x:v>
      </x:c>
      <x:c r="W415" s="54" t="n">
        <x:f>U415+V415</x:f>
        <x:v>438</x:v>
      </x:c>
      <x:c r="X415" s="54" t="n">
        <x:f>MIN(E415,W415)</x:f>
        <x:v>433</x:v>
      </x:c>
      <x:c r="Y415" s="54" t="n">
        <x:f>MAX(E415-W415,0)</x:f>
        <x:v>0</x:v>
      </x:c>
      <x:c r="Z415" s="54" t="n">
        <x:f>MAX(W415-X415,0)</x:f>
        <x:v>5</x:v>
      </x:c>
      <x:c r="AA415" s="54" t="n">
        <x:f>MIN(Z415,ROUND(Z415*O415,0))</x:f>
        <x:v>0</x:v>
      </x:c>
      <x:c r="AB415" s="54" t="n">
        <x:f>Z415-AA415</x:f>
        <x:v>5</x:v>
      </x:c>
      <x:c r="AC415" s="52" t="n">
        <x:f>IFERROR(ABS(E415-D415)/E415,0)</x:f>
        <x:v>0.14549653579676675</x:v>
      </x:c>
      <x:c r="AD415" s="52" t="n">
        <x:f>IFERROR(L415/E415,1)</x:f>
        <x:v>0.8198614318706697</x:v>
      </x:c>
      <x:c r="AE415" s="52" t="n">
        <x:f>IFERROR(X415/E415,1)</x:f>
        <x:v>1</x:v>
      </x:c>
      <x:c r="AF415" s="52" t="n">
        <x:f>IFERROR(I415/F415,0)</x:f>
        <x:v>0.6339285714285714</x:v>
      </x:c>
      <x:c r="AG415" s="52" t="n">
        <x:f>IFERROR(U415/F415,0)</x:f>
        <x:v>0.7267857142857143</x:v>
      </x:c>
    </x:row>
    <x:row r="416">
      <x:c r="A416" s="50" t="n">
        <x:v>46244</x:v>
      </x:c>
      <x:c r="B416" s="48" t="str">
        <x:v>Paneer</x:v>
      </x:c>
      <x:c r="C416" s="48" t="n">
        <x:v>5</x:v>
      </x:c>
      <x:c r="D416" s="54" t="n">
        <x:v>151</x:v>
      </x:c>
      <x:c r="E416" s="54" t="n">
        <x:v>176</x:v>
      </x:c>
      <x:c r="F416" s="54" t="n">
        <x:v>230</x:v>
      </x:c>
      <x:c r="G416" s="54" t="n">
        <x:f>ROUND(D416*0.97,0)</x:f>
        <x:v>146</x:v>
      </x:c>
      <x:c r="H416" s="52" t="n">
        <x:v>1.00815873502651</x:v>
      </x:c>
      <x:c r="I416" s="54" t="n">
        <x:f>MIN(F416,ROUND(G416*H416,0))</x:f>
        <x:v>147</x:v>
      </x:c>
      <x:c r="J416" s="54" t="n">
        <x:f>Q411</x:f>
        <x:v>35</x:v>
      </x:c>
      <x:c r="K416" s="54" t="n">
        <x:f>I416+J416</x:f>
        <x:v>182</x:v>
      </x:c>
      <x:c r="L416" s="54" t="n">
        <x:f>MIN(E416,K416)</x:f>
        <x:v>176</x:v>
      </x:c>
      <x:c r="M416" s="54" t="n">
        <x:f>MAX(E416-K416,0)</x:f>
        <x:v>0</x:v>
      </x:c>
      <x:c r="N416" s="54" t="n">
        <x:f>MAX(K416-L416,0)</x:f>
        <x:v>6</x:v>
      </x:c>
      <x:c r="O416" s="52" t="n">
        <x:v>0.025</x:v>
      </x:c>
      <x:c r="P416" s="54" t="n">
        <x:f>MIN(N416,ROUND(N416*O416,0))</x:f>
        <x:v>0</x:v>
      </x:c>
      <x:c r="Q416" s="54" t="n">
        <x:f>N416-P416</x:f>
        <x:v>6</x:v>
      </x:c>
      <x:c r="R416" s="54" t="n">
        <x:v>30</x:v>
      </x:c>
      <x:c r="S416" s="54" t="n">
        <x:f>MIN(F416,MAX(0,ROUND(D416+R416-V416,0)))</x:f>
        <x:v>120</x:v>
      </x:c>
      <x:c r="T416" s="52" t="n">
        <x:v>1.0019746705399406</x:v>
      </x:c>
      <x:c r="U416" s="54" t="n">
        <x:f>MIN(F416,MAX(0,ROUND(S416*T416,0)))</x:f>
        <x:v>120</x:v>
      </x:c>
      <x:c r="V416" s="54" t="n">
        <x:f>AB411</x:f>
        <x:v>61</x:v>
      </x:c>
      <x:c r="W416" s="54" t="n">
        <x:f>U416+V416</x:f>
        <x:v>181</x:v>
      </x:c>
      <x:c r="X416" s="54" t="n">
        <x:f>MIN(E416,W416)</x:f>
        <x:v>176</x:v>
      </x:c>
      <x:c r="Y416" s="54" t="n">
        <x:f>MAX(E416-W416,0)</x:f>
        <x:v>0</x:v>
      </x:c>
      <x:c r="Z416" s="54" t="n">
        <x:f>MAX(W416-X416,0)</x:f>
        <x:v>5</x:v>
      </x:c>
      <x:c r="AA416" s="54" t="n">
        <x:f>MIN(Z416,ROUND(Z416*O416,0))</x:f>
        <x:v>0</x:v>
      </x:c>
      <x:c r="AB416" s="54" t="n">
        <x:f>Z416-AA416</x:f>
        <x:v>5</x:v>
      </x:c>
      <x:c r="AC416" s="52" t="n">
        <x:f>IFERROR(ABS(E416-D416)/E416,0)</x:f>
        <x:v>0.14204545454545456</x:v>
      </x:c>
      <x:c r="AD416" s="52" t="n">
        <x:f>IFERROR(L416/E416,1)</x:f>
        <x:v>1</x:v>
      </x:c>
      <x:c r="AE416" s="52" t="n">
        <x:f>IFERROR(X416/E416,1)</x:f>
        <x:v>1</x:v>
      </x:c>
      <x:c r="AF416" s="52" t="n">
        <x:f>IFERROR(I416/F416,0)</x:f>
        <x:v>0.6391304347826087</x:v>
      </x:c>
      <x:c r="AG416" s="52" t="n">
        <x:f>IFERROR(U416/F416,0)</x:f>
        <x:v>0.5217391304347826</x:v>
      </x:c>
    </x:row>
    <x:row r="417">
      <x:c r="A417" s="50" t="n">
        <x:v>46245</x:v>
      </x:c>
      <x:c r="B417" s="48" t="str">
        <x:v>Toned Milk</x:v>
      </x:c>
      <x:c r="C417" s="48" t="n">
        <x:v>2</x:v>
      </x:c>
      <x:c r="D417" s="54" t="n">
        <x:v>1714</x:v>
      </x:c>
      <x:c r="E417" s="54" t="n">
        <x:v>1948</x:v>
      </x:c>
      <x:c r="F417" s="54" t="n">
        <x:v>2250</x:v>
      </x:c>
      <x:c r="G417" s="54" t="n">
        <x:f>ROUND(D417*0.97,0)</x:f>
        <x:v>1663</x:v>
      </x:c>
      <x:c r="H417" s="52" t="n">
        <x:v>1.0153150920082212</x:v>
      </x:c>
      <x:c r="I417" s="54" t="n">
        <x:f>MIN(F417,ROUND(G417*H417,0))</x:f>
        <x:v>1688</x:v>
      </x:c>
      <x:c r="J417" s="54" t="n">
        <x:f>Q412</x:f>
        <x:v>116</x:v>
      </x:c>
      <x:c r="K417" s="54" t="n">
        <x:f>I417+J417</x:f>
        <x:v>1804</x:v>
      </x:c>
      <x:c r="L417" s="54" t="n">
        <x:f>MIN(E417,K417)</x:f>
        <x:v>1804</x:v>
      </x:c>
      <x:c r="M417" s="54" t="n">
        <x:f>MAX(E417-K417,0)</x:f>
        <x:v>144</x:v>
      </x:c>
      <x:c r="N417" s="54" t="n">
        <x:f>MAX(K417-L417,0)</x:f>
        <x:v>0</x:v>
      </x:c>
      <x:c r="O417" s="52" t="n">
        <x:v>0.025</x:v>
      </x:c>
      <x:c r="P417" s="54" t="n">
        <x:f>MIN(N417,ROUND(N417*O417,0))</x:f>
        <x:v>0</x:v>
      </x:c>
      <x:c r="Q417" s="54" t="n">
        <x:f>N417-P417</x:f>
        <x:v>0</x:v>
      </x:c>
      <x:c r="R417" s="54" t="n">
        <x:v>206</x:v>
      </x:c>
      <x:c r="S417" s="54" t="n">
        <x:f>MIN(F417,MAX(0,ROUND(D417+R417-V417,0)))</x:f>
        <x:v>1903</x:v>
      </x:c>
      <x:c r="T417" s="52" t="n">
        <x:v>1.0191923992942715</x:v>
      </x:c>
      <x:c r="U417" s="54" t="n">
        <x:f>MIN(F417,MAX(0,ROUND(S417*T417,0)))</x:f>
        <x:v>1940</x:v>
      </x:c>
      <x:c r="V417" s="54" t="n">
        <x:f>AB412</x:f>
        <x:v>17</x:v>
      </x:c>
      <x:c r="W417" s="54" t="n">
        <x:f>U417+V417</x:f>
        <x:v>1957</x:v>
      </x:c>
      <x:c r="X417" s="54" t="n">
        <x:f>MIN(E417,W417)</x:f>
        <x:v>1948</x:v>
      </x:c>
      <x:c r="Y417" s="54" t="n">
        <x:f>MAX(E417-W417,0)</x:f>
        <x:v>0</x:v>
      </x:c>
      <x:c r="Z417" s="54" t="n">
        <x:f>MAX(W417-X417,0)</x:f>
        <x:v>9</x:v>
      </x:c>
      <x:c r="AA417" s="54" t="n">
        <x:f>MIN(Z417,ROUND(Z417*O417,0))</x:f>
        <x:v>0</x:v>
      </x:c>
      <x:c r="AB417" s="54" t="n">
        <x:f>Z417-AA417</x:f>
        <x:v>9</x:v>
      </x:c>
      <x:c r="AC417" s="52" t="n">
        <x:f>IFERROR(ABS(E417-D417)/E417,0)</x:f>
        <x:v>0.12012320328542095</x:v>
      </x:c>
      <x:c r="AD417" s="52" t="n">
        <x:f>IFERROR(L417/E417,1)</x:f>
        <x:v>0.9260780287474333</x:v>
      </x:c>
      <x:c r="AE417" s="52" t="n">
        <x:f>IFERROR(X417/E417,1)</x:f>
        <x:v>1</x:v>
      </x:c>
      <x:c r="AF417" s="52" t="n">
        <x:f>IFERROR(I417/F417,0)</x:f>
        <x:v>0.7502222222222222</x:v>
      </x:c>
      <x:c r="AG417" s="52" t="n">
        <x:f>IFERROR(U417/F417,0)</x:f>
        <x:v>0.8622222222222222</x:v>
      </x:c>
    </x:row>
    <x:row r="418">
      <x:c r="A418" s="50" t="n">
        <x:v>46245</x:v>
      </x:c>
      <x:c r="B418" s="48" t="str">
        <x:v>Full Cream Milk</x:v>
      </x:c>
      <x:c r="C418" s="48" t="n">
        <x:v>2</x:v>
      </x:c>
      <x:c r="D418" s="54" t="n">
        <x:v>857</x:v>
      </x:c>
      <x:c r="E418" s="54" t="n">
        <x:v>957</x:v>
      </x:c>
      <x:c r="F418" s="54" t="n">
        <x:v>1200</x:v>
      </x:c>
      <x:c r="G418" s="54" t="n">
        <x:f>ROUND(D418*0.97,0)</x:f>
        <x:v>831</x:v>
      </x:c>
      <x:c r="H418" s="52" t="n">
        <x:v>1.0174707687945455</x:v>
      </x:c>
      <x:c r="I418" s="54" t="n">
        <x:f>MIN(F418,ROUND(G418*H418,0))</x:f>
        <x:v>846</x:v>
      </x:c>
      <x:c r="J418" s="54" t="n">
        <x:f>Q413</x:f>
        <x:v>43</x:v>
      </x:c>
      <x:c r="K418" s="54" t="n">
        <x:f>I418+J418</x:f>
        <x:v>889</x:v>
      </x:c>
      <x:c r="L418" s="54" t="n">
        <x:f>MIN(E418,K418)</x:f>
        <x:v>889</x:v>
      </x:c>
      <x:c r="M418" s="54" t="n">
        <x:f>MAX(E418-K418,0)</x:f>
        <x:v>68</x:v>
      </x:c>
      <x:c r="N418" s="54" t="n">
        <x:f>MAX(K418-L418,0)</x:f>
        <x:v>0</x:v>
      </x:c>
      <x:c r="O418" s="52" t="n">
        <x:v>0.03</x:v>
      </x:c>
      <x:c r="P418" s="54" t="n">
        <x:f>MIN(N418,ROUND(N418*O418,0))</x:f>
        <x:v>0</x:v>
      </x:c>
      <x:c r="Q418" s="54" t="n">
        <x:f>N418-P418</x:f>
        <x:v>0</x:v>
      </x:c>
      <x:c r="R418" s="54" t="n">
        <x:v>103</x:v>
      </x:c>
      <x:c r="S418" s="54" t="n">
        <x:f>MIN(F418,MAX(0,ROUND(D418+R418-V418,0)))</x:f>
        <x:v>791</x:v>
      </x:c>
      <x:c r="T418" s="52" t="n">
        <x:v>1.0056314326947844</x:v>
      </x:c>
      <x:c r="U418" s="54" t="n">
        <x:f>MIN(F418,MAX(0,ROUND(S418*T418,0)))</x:f>
        <x:v>795</x:v>
      </x:c>
      <x:c r="V418" s="54" t="n">
        <x:f>AB413</x:f>
        <x:v>169</x:v>
      </x:c>
      <x:c r="W418" s="54" t="n">
        <x:f>U418+V418</x:f>
        <x:v>964</x:v>
      </x:c>
      <x:c r="X418" s="54" t="n">
        <x:f>MIN(E418,W418)</x:f>
        <x:v>957</x:v>
      </x:c>
      <x:c r="Y418" s="54" t="n">
        <x:f>MAX(E418-W418,0)</x:f>
        <x:v>0</x:v>
      </x:c>
      <x:c r="Z418" s="54" t="n">
        <x:f>MAX(W418-X418,0)</x:f>
        <x:v>7</x:v>
      </x:c>
      <x:c r="AA418" s="54" t="n">
        <x:f>MIN(Z418,ROUND(Z418*O418,0))</x:f>
        <x:v>0</x:v>
      </x:c>
      <x:c r="AB418" s="54" t="n">
        <x:f>Z418-AA418</x:f>
        <x:v>7</x:v>
      </x:c>
      <x:c r="AC418" s="52" t="n">
        <x:f>IFERROR(ABS(E418-D418)/E418,0)</x:f>
        <x:v>0.1044932079414838</x:v>
      </x:c>
      <x:c r="AD418" s="52" t="n">
        <x:f>IFERROR(L418/E418,1)</x:f>
        <x:v>0.928944618599791</x:v>
      </x:c>
      <x:c r="AE418" s="52" t="n">
        <x:f>IFERROR(X418/E418,1)</x:f>
        <x:v>1</x:v>
      </x:c>
      <x:c r="AF418" s="52" t="n">
        <x:f>IFERROR(I418/F418,0)</x:f>
        <x:v>0.705</x:v>
      </x:c>
      <x:c r="AG418" s="52" t="n">
        <x:f>IFERROR(U418/F418,0)</x:f>
        <x:v>0.6625</x:v>
      </x:c>
    </x:row>
    <x:row r="419">
      <x:c r="A419" s="50" t="n">
        <x:v>46245</x:v>
      </x:c>
      <x:c r="B419" s="48" t="str">
        <x:v>Curd</x:v>
      </x:c>
      <x:c r="C419" s="48" t="n">
        <x:v>7</x:v>
      </x:c>
      <x:c r="D419" s="54" t="n">
        <x:v>494</x:v>
      </x:c>
      <x:c r="E419" s="54" t="n">
        <x:v>505</x:v>
      </x:c>
      <x:c r="F419" s="54" t="n">
        <x:v>700</x:v>
      </x:c>
      <x:c r="G419" s="54" t="n">
        <x:f>ROUND(D419*0.97,0)</x:f>
        <x:v>479</x:v>
      </x:c>
      <x:c r="H419" s="52" t="n">
        <x:v>1.014353334292875</x:v>
      </x:c>
      <x:c r="I419" s="54" t="n">
        <x:f>MIN(F419,ROUND(G419*H419,0))</x:f>
        <x:v>486</x:v>
      </x:c>
      <x:c r="J419" s="54" t="n">
        <x:f>Q414</x:f>
        <x:v>10</x:v>
      </x:c>
      <x:c r="K419" s="54" t="n">
        <x:f>I419+J419</x:f>
        <x:v>496</x:v>
      </x:c>
      <x:c r="L419" s="54" t="n">
        <x:f>MIN(E419,K419)</x:f>
        <x:v>496</x:v>
      </x:c>
      <x:c r="M419" s="54" t="n">
        <x:f>MAX(E419-K419,0)</x:f>
        <x:v>9</x:v>
      </x:c>
      <x:c r="N419" s="54" t="n">
        <x:f>MAX(K419-L419,0)</x:f>
        <x:v>0</x:v>
      </x:c>
      <x:c r="O419" s="52" t="n">
        <x:v>0.018</x:v>
      </x:c>
      <x:c r="P419" s="54" t="n">
        <x:f>MIN(N419,ROUND(N419*O419,0))</x:f>
        <x:v>0</x:v>
      </x:c>
      <x:c r="Q419" s="54" t="n">
        <x:f>N419-P419</x:f>
        <x:v>0</x:v>
      </x:c>
      <x:c r="R419" s="54" t="n">
        <x:v>89</x:v>
      </x:c>
      <x:c r="S419" s="54" t="n">
        <x:f>MIN(F419,MAX(0,ROUND(D419+R419-V419,0)))</x:f>
        <x:v>488</x:v>
      </x:c>
      <x:c r="T419" s="52" t="n">
        <x:v>0.980556207013964</x:v>
      </x:c>
      <x:c r="U419" s="54" t="n">
        <x:f>MIN(F419,MAX(0,ROUND(S419*T419,0)))</x:f>
        <x:v>479</x:v>
      </x:c>
      <x:c r="V419" s="54" t="n">
        <x:f>AB414</x:f>
        <x:v>95</x:v>
      </x:c>
      <x:c r="W419" s="54" t="n">
        <x:f>U419+V419</x:f>
        <x:v>574</x:v>
      </x:c>
      <x:c r="X419" s="54" t="n">
        <x:f>MIN(E419,W419)</x:f>
        <x:v>505</x:v>
      </x:c>
      <x:c r="Y419" s="54" t="n">
        <x:f>MAX(E419-W419,0)</x:f>
        <x:v>0</x:v>
      </x:c>
      <x:c r="Z419" s="54" t="n">
        <x:f>MAX(W419-X419,0)</x:f>
        <x:v>69</x:v>
      </x:c>
      <x:c r="AA419" s="54" t="n">
        <x:f>MIN(Z419,ROUND(Z419*O419,0))</x:f>
        <x:v>1</x:v>
      </x:c>
      <x:c r="AB419" s="54" t="n">
        <x:f>Z419-AA419</x:f>
        <x:v>68</x:v>
      </x:c>
      <x:c r="AC419" s="52" t="n">
        <x:f>IFERROR(ABS(E419-D419)/E419,0)</x:f>
        <x:v>0.02178217821782178</x:v>
      </x:c>
      <x:c r="AD419" s="52" t="n">
        <x:f>IFERROR(L419/E419,1)</x:f>
        <x:v>0.9821782178217822</x:v>
      </x:c>
      <x:c r="AE419" s="52" t="n">
        <x:f>IFERROR(X419/E419,1)</x:f>
        <x:v>1</x:v>
      </x:c>
      <x:c r="AF419" s="52" t="n">
        <x:f>IFERROR(I419/F419,0)</x:f>
        <x:v>0.6942857142857143</x:v>
      </x:c>
      <x:c r="AG419" s="52" t="n">
        <x:f>IFERROR(U419/F419,0)</x:f>
        <x:v>0.6842857142857143</x:v>
      </x:c>
    </x:row>
    <x:row r="420">
      <x:c r="A420" s="50" t="n">
        <x:v>46245</x:v>
      </x:c>
      <x:c r="B420" s="48" t="str">
        <x:v>Lassi</x:v>
      </x:c>
      <x:c r="C420" s="48" t="n">
        <x:v>7</x:v>
      </x:c>
      <x:c r="D420" s="54" t="n">
        <x:v>387</x:v>
      </x:c>
      <x:c r="E420" s="54" t="n">
        <x:v>409</x:v>
      </x:c>
      <x:c r="F420" s="54" t="n">
        <x:v>560</x:v>
      </x:c>
      <x:c r="G420" s="54" t="n">
        <x:f>ROUND(D420*0.97,0)</x:f>
        <x:v>375</x:v>
      </x:c>
      <x:c r="H420" s="52" t="n">
        <x:v>1.0188615183678307</x:v>
      </x:c>
      <x:c r="I420" s="54" t="n">
        <x:f>MIN(F420,ROUND(G420*H420,0))</x:f>
        <x:v>382</x:v>
      </x:c>
      <x:c r="J420" s="54" t="n">
        <x:f>Q415</x:f>
        <x:v>0</x:v>
      </x:c>
      <x:c r="K420" s="54" t="n">
        <x:f>I420+J420</x:f>
        <x:v>382</x:v>
      </x:c>
      <x:c r="L420" s="54" t="n">
        <x:f>MIN(E420,K420)</x:f>
        <x:v>382</x:v>
      </x:c>
      <x:c r="M420" s="54" t="n">
        <x:f>MAX(E420-K420,0)</x:f>
        <x:v>27</x:v>
      </x:c>
      <x:c r="N420" s="54" t="n">
        <x:f>MAX(K420-L420,0)</x:f>
        <x:v>0</x:v>
      </x:c>
      <x:c r="O420" s="52" t="n">
        <x:v>0.02</x:v>
      </x:c>
      <x:c r="P420" s="54" t="n">
        <x:f>MIN(N420,ROUND(N420*O420,0))</x:f>
        <x:v>0</x:v>
      </x:c>
      <x:c r="Q420" s="54" t="n">
        <x:f>N420-P420</x:f>
        <x:v>0</x:v>
      </x:c>
      <x:c r="R420" s="54" t="n">
        <x:v>70</x:v>
      </x:c>
      <x:c r="S420" s="54" t="n">
        <x:f>MIN(F420,MAX(0,ROUND(D420+R420-V420,0)))</x:f>
        <x:v>452</x:v>
      </x:c>
      <x:c r="T420" s="52" t="n">
        <x:v>1.003838388717781</x:v>
      </x:c>
      <x:c r="U420" s="54" t="n">
        <x:f>MIN(F420,MAX(0,ROUND(S420*T420,0)))</x:f>
        <x:v>454</x:v>
      </x:c>
      <x:c r="V420" s="54" t="n">
        <x:f>AB415</x:f>
        <x:v>5</x:v>
      </x:c>
      <x:c r="W420" s="54" t="n">
        <x:f>U420+V420</x:f>
        <x:v>459</x:v>
      </x:c>
      <x:c r="X420" s="54" t="n">
        <x:f>MIN(E420,W420)</x:f>
        <x:v>409</x:v>
      </x:c>
      <x:c r="Y420" s="54" t="n">
        <x:f>MAX(E420-W420,0)</x:f>
        <x:v>0</x:v>
      </x:c>
      <x:c r="Z420" s="54" t="n">
        <x:f>MAX(W420-X420,0)</x:f>
        <x:v>50</x:v>
      </x:c>
      <x:c r="AA420" s="54" t="n">
        <x:f>MIN(Z420,ROUND(Z420*O420,0))</x:f>
        <x:v>1</x:v>
      </x:c>
      <x:c r="AB420" s="54" t="n">
        <x:f>Z420-AA420</x:f>
        <x:v>49</x:v>
      </x:c>
      <x:c r="AC420" s="52" t="n">
        <x:f>IFERROR(ABS(E420-D420)/E420,0)</x:f>
        <x:v>0.05378973105134474</x:v>
      </x:c>
      <x:c r="AD420" s="52" t="n">
        <x:f>IFERROR(L420/E420,1)</x:f>
        <x:v>0.9339853300733496</x:v>
      </x:c>
      <x:c r="AE420" s="52" t="n">
        <x:f>IFERROR(X420/E420,1)</x:f>
        <x:v>1</x:v>
      </x:c>
      <x:c r="AF420" s="52" t="n">
        <x:f>IFERROR(I420/F420,0)</x:f>
        <x:v>0.6821428571428572</x:v>
      </x:c>
      <x:c r="AG420" s="52" t="n">
        <x:f>IFERROR(U420/F420,0)</x:f>
        <x:v>0.8107142857142857</x:v>
      </x:c>
    </x:row>
    <x:row r="421">
      <x:c r="A421" s="50" t="n">
        <x:v>46245</x:v>
      </x:c>
      <x:c r="B421" s="48" t="str">
        <x:v>Paneer</x:v>
      </x:c>
      <x:c r="C421" s="48" t="n">
        <x:v>5</x:v>
      </x:c>
      <x:c r="D421" s="54" t="n">
        <x:v>156</x:v>
      </x:c>
      <x:c r="E421" s="54" t="n">
        <x:v>136</x:v>
      </x:c>
      <x:c r="F421" s="54" t="n">
        <x:v>230</x:v>
      </x:c>
      <x:c r="G421" s="54" t="n">
        <x:f>ROUND(D421*0.97,0)</x:f>
        <x:v>151</x:v>
      </x:c>
      <x:c r="H421" s="52" t="n">
        <x:v>0.9993152518829891</x:v>
      </x:c>
      <x:c r="I421" s="54" t="n">
        <x:f>MIN(F421,ROUND(G421*H421,0))</x:f>
        <x:v>151</x:v>
      </x:c>
      <x:c r="J421" s="54" t="n">
        <x:f>Q416</x:f>
        <x:v>6</x:v>
      </x:c>
      <x:c r="K421" s="54" t="n">
        <x:f>I421+J421</x:f>
        <x:v>157</x:v>
      </x:c>
      <x:c r="L421" s="54" t="n">
        <x:f>MIN(E421,K421)</x:f>
        <x:v>136</x:v>
      </x:c>
      <x:c r="M421" s="54" t="n">
        <x:f>MAX(E421-K421,0)</x:f>
        <x:v>0</x:v>
      </x:c>
      <x:c r="N421" s="54" t="n">
        <x:f>MAX(K421-L421,0)</x:f>
        <x:v>21</x:v>
      </x:c>
      <x:c r="O421" s="52" t="n">
        <x:v>0.025</x:v>
      </x:c>
      <x:c r="P421" s="54" t="n">
        <x:f>MIN(N421,ROUND(N421*O421,0))</x:f>
        <x:v>1</x:v>
      </x:c>
      <x:c r="Q421" s="54" t="n">
        <x:f>N421-P421</x:f>
        <x:v>20</x:v>
      </x:c>
      <x:c r="R421" s="54" t="n">
        <x:v>31</x:v>
      </x:c>
      <x:c r="S421" s="54" t="n">
        <x:f>MIN(F421,MAX(0,ROUND(D421+R421-V421,0)))</x:f>
        <x:v>182</x:v>
      </x:c>
      <x:c r="T421" s="52" t="n">
        <x:v>0.9867352153130046</x:v>
      </x:c>
      <x:c r="U421" s="54" t="n">
        <x:f>MIN(F421,MAX(0,ROUND(S421*T421,0)))</x:f>
        <x:v>180</x:v>
      </x:c>
      <x:c r="V421" s="54" t="n">
        <x:f>AB416</x:f>
        <x:v>5</x:v>
      </x:c>
      <x:c r="W421" s="54" t="n">
        <x:f>U421+V421</x:f>
        <x:v>185</x:v>
      </x:c>
      <x:c r="X421" s="54" t="n">
        <x:f>MIN(E421,W421)</x:f>
        <x:v>136</x:v>
      </x:c>
      <x:c r="Y421" s="54" t="n">
        <x:f>MAX(E421-W421,0)</x:f>
        <x:v>0</x:v>
      </x:c>
      <x:c r="Z421" s="54" t="n">
        <x:f>MAX(W421-X421,0)</x:f>
        <x:v>49</x:v>
      </x:c>
      <x:c r="AA421" s="54" t="n">
        <x:f>MIN(Z421,ROUND(Z421*O421,0))</x:f>
        <x:v>1</x:v>
      </x:c>
      <x:c r="AB421" s="54" t="n">
        <x:f>Z421-AA421</x:f>
        <x:v>48</x:v>
      </x:c>
      <x:c r="AC421" s="52" t="n">
        <x:f>IFERROR(ABS(E421-D421)/E421,0)</x:f>
        <x:v>0.14705882352941177</x:v>
      </x:c>
      <x:c r="AD421" s="52" t="n">
        <x:f>IFERROR(L421/E421,1)</x:f>
        <x:v>1</x:v>
      </x:c>
      <x:c r="AE421" s="52" t="n">
        <x:f>IFERROR(X421/E421,1)</x:f>
        <x:v>1</x:v>
      </x:c>
      <x:c r="AF421" s="52" t="n">
        <x:f>IFERROR(I421/F421,0)</x:f>
        <x:v>0.6565217391304348</x:v>
      </x:c>
      <x:c r="AG421" s="52" t="n">
        <x:f>IFERROR(U421/F421,0)</x:f>
        <x:v>0.782608695652174</x:v>
      </x:c>
    </x:row>
  </x:sheetData>
  <x:conditionalFormatting sqref="M2:M421">
    <x:cfRule type="dataBar" priority="1">
      <x:dataBar>
        <x:cfvo type="min"/>
        <x:cfvo type="max"/>
        <x:color rgb="FFF4B183"/>
      </x:dataBar>
      <x:extLst>
        <x:ext xmlns:x14="http://schemas.microsoft.com/office/spreadsheetml/2009/9/main" uri="{B025F937-C7B1-47D3-B67F-A62EFF666E3E}">
          <x14:id>{EAC1FD35-0693-8732-AC2C-4CB61F26F276}</x14:id>
        </x:ext>
      </x:extLst>
    </x:cfRule>
  </x:conditionalFormatting>
  <x:conditionalFormatting sqref="Y2:Y421">
    <x:cfRule type="dataBar" priority="2">
      <x:dataBar>
        <x:cfvo type="min"/>
        <x:cfvo type="max"/>
        <x:color rgb="FFC00000"/>
      </x:dataBar>
      <x:extLst>
        <x:ext xmlns:x14="http://schemas.microsoft.com/office/spreadsheetml/2009/9/main" uri="{B025F937-C7B1-47D3-B67F-A62EFF666E3E}">
          <x14:id>{DFC1B2B4-748C-48FD-6474-19A17777CDE5}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3192df93933424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AC1FD35-0693-8732-AC2C-4CB61F26F276}">
            <x14:dataBar gradient="1">
              <x14:cfvo type="min"/>
              <x14:cfvo type="max"/>
              <x14:fillColor rgb="FFF4B183"/>
            </x14:dataBar>
          </x14:cfRule>
          <xm:sqref>M2:M421</xm:sqref>
        </x14:conditionalFormatting>
        <x14:conditionalFormatting>
          <x14:cfRule type="dataBar" priority="2" id="{DFC1B2B4-748C-48FD-6474-19A17777CDE5}">
            <x14:dataBar gradient="1">
              <x14:cfvo type="min"/>
              <x14:cfvo type="max"/>
              <x14:fillColor rgb="FFC00000"/>
            </x14:dataBar>
          </x14:cfRule>
          <xm:sqref>Y2:Y421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7" hidden="0" customWidth="1"/>
    <x:col min="4" max="4" width="18" hidden="0" customWidth="1"/>
    <x:col min="5" max="5" width="20" hidden="0" customWidth="1"/>
    <x:col min="6" max="6" width="26" hidden="0" customWidth="1"/>
    <x:col min="7" max="7" width="16" hidden="0" customWidth="1"/>
    <x:col min="8" max="8" width="18" hidden="0" customWidth="1"/>
  </x:cols>
  <x:sheetData>
    <x:row r="1" ht="30" customHeight="1">
      <x:c r="A1" s="57" t="str">
        <x:v>DAIRY OPERATIONS: BASELINE VS INVENTORY-AWARE PLANNING</x:v>
      </x:c>
      <x:c r="B1" s="57"/>
      <x:c r="C1" s="57"/>
      <x:c r="D1" s="57"/>
      <x:c r="E1" s="57"/>
      <x:c r="F1" s="57"/>
      <x:c r="G1" s="57"/>
      <x:c r="H1" s="57"/>
    </x:row>
    <x:row r="2">
      <x:c r="A2" s="61" t="str">
        <x:v>Synthetic case study only | Not actual Sudha Dairy results</x:v>
      </x:c>
      <x:c r="B2" s="61"/>
      <x:c r="C2" s="61"/>
      <x:c r="D2" s="61"/>
      <x:c r="E2" s="61"/>
      <x:c r="F2" s="61"/>
      <x:c r="G2" s="61"/>
      <x:c r="H2" s="61"/>
    </x:row>
    <x:row r="4">
      <x:c r="A4" s="66" t="str">
        <x:v>Metric</x:v>
      </x:c>
      <x:c r="B4" s="66" t="str">
        <x:v>Baseline</x:v>
      </x:c>
      <x:c r="C4" s="66" t="str">
        <x:v>Metric</x:v>
      </x:c>
      <x:c r="D4" s="66" t="str">
        <x:v>Recommended</x:v>
      </x:c>
      <x:c r="E4" s="66" t="str">
        <x:v>Comparison</x:v>
      </x:c>
      <x:c r="F4" s="66" t="str">
        <x:v>Result</x:v>
      </x:c>
    </x:row>
    <x:row r="5" ht="27" customHeight="1">
      <x:c r="A5" s="20" t="str">
        <x:v>Demand units</x:v>
      </x:c>
      <x:c r="B5" s="20" t="n">
        <x:f>SUM('SKU-Day Data'!$E$2:$E$421)</x:f>
        <x:v>319167</x:v>
      </x:c>
      <x:c r="C5" s="20" t="str">
        <x:v>Demand units</x:v>
      </x:c>
      <x:c r="D5" s="20" t="n">
        <x:f>SUM('SKU-Day Data'!$E$2:$E$421)</x:f>
        <x:v>319167</x:v>
      </x:c>
      <x:c r="E5" s="20" t="str">
        <x:v>Fill rate change (pp)</x:v>
      </x:c>
      <x:c r="F5" s="72" t="n">
        <x:f>(D7-B7)*100</x:f>
        <x:v>3.2233908894089947</x:v>
      </x:c>
      <x:c r="G5" s="20"/>
      <x:c r="H5" s="20"/>
    </x:row>
    <x:row r="6" ht="27" customHeight="1">
      <x:c r="A6" s="20" t="str">
        <x:v>Dispatched units</x:v>
      </x:c>
      <x:c r="B6" s="20" t="n">
        <x:f>SUM('SKU-Day Data'!$L$2:$L$421)</x:f>
        <x:v>307393</x:v>
      </x:c>
      <x:c r="C6" s="20" t="str">
        <x:v>Dispatched units</x:v>
      </x:c>
      <x:c r="D6" s="20" t="n">
        <x:f>SUM('SKU-Day Data'!$X$2:$X$421)</x:f>
        <x:v>317681</x:v>
      </x:c>
      <x:c r="E6" s="20" t="str">
        <x:v>Stockout reduction</x:v>
      </x:c>
      <x:c r="F6" s="70" t="n">
        <x:f>IFERROR((B8-D8)/B8,0)</x:f>
        <x:v>0.8737897061321556</x:v>
      </x:c>
      <x:c r="G6" s="20"/>
      <x:c r="H6" s="20"/>
    </x:row>
    <x:row r="7" ht="27" customHeight="1">
      <x:c r="A7" s="20" t="str">
        <x:v>Fill rate</x:v>
      </x:c>
      <x:c r="B7" s="70" t="n">
        <x:f>IFERROR(B6/B5,1)</x:f>
        <x:v>0.963110221294808</x:v>
      </x:c>
      <x:c r="C7" s="20" t="str">
        <x:v>Fill rate</x:v>
      </x:c>
      <x:c r="D7" s="70" t="n">
        <x:f>IFERROR(D6/D5,1)</x:f>
        <x:v>0.995344130188898</x:v>
      </x:c>
      <x:c r="E7" s="20" t="str">
        <x:v>Write-off change</x:v>
      </x:c>
      <x:c r="F7" s="70" t="n">
        <x:f>IFERROR((D9-B9)/B9,0)</x:f>
        <x:v>-0.17721518987341772</x:v>
      </x:c>
      <x:c r="G7" s="20"/>
      <x:c r="H7" s="20"/>
    </x:row>
    <x:row r="8" ht="27" customHeight="1">
      <x:c r="A8" s="20" t="str">
        <x:v>Stockouts</x:v>
      </x:c>
      <x:c r="B8" s="20" t="n">
        <x:f>SUM('SKU-Day Data'!$M$2:$M$421)</x:f>
        <x:v>11774</x:v>
      </x:c>
      <x:c r="C8" s="20" t="str">
        <x:v>Stockouts</x:v>
      </x:c>
      <x:c r="D8" s="20" t="n">
        <x:f>SUM('SKU-Day Data'!$Y$2:$Y$421)</x:f>
        <x:v>1486</x:v>
      </x:c>
      <x:c r="E8" s="20" t="str">
        <x:v>Planning rule</x:v>
      </x:c>
      <x:c r="F8" s="20" t="str">
        <x:v>Forecast + target-stock buffer</x:v>
      </x:c>
      <x:c r="G8" s="20"/>
      <x:c r="H8" s="20"/>
    </x:row>
    <x:row r="9" ht="27" customHeight="1">
      <x:c r="A9" s="20" t="str">
        <x:v>Est. write-offs</x:v>
      </x:c>
      <x:c r="B9" s="20" t="n">
        <x:f>SUM('SKU-Day Data'!$P$2:$P$421)</x:f>
        <x:v>1264</x:v>
      </x:c>
      <x:c r="C9" s="20" t="str">
        <x:v>Est. write-offs</x:v>
      </x:c>
      <x:c r="D9" s="20" t="n">
        <x:f>SUM('SKU-Day Data'!$AA$2:$AA$421)</x:f>
        <x:v>1040</x:v>
      </x:c>
      <x:c r="E9" s="20" t="str">
        <x:v>Dataset</x:v>
      </x:c>
      <x:c r="F9" s="20" t="str">
        <x:v>420 synthetic SKU-day records</x:v>
      </x:c>
      <x:c r="G9" s="20"/>
      <x:c r="H9" s="20"/>
    </x:row>
    <x:row r="10" ht="27" customHeight="1">
      <x:c r="A10" s="20" t="str">
        <x:v>Avg. capacity util.</x:v>
      </x:c>
      <x:c r="B10" s="70" t="n">
        <x:f>AVERAGE('SKU-Day Data'!$AF$2:$AF$421)</x:f>
        <x:v>0.7258479764369519</x:v>
      </x:c>
      <x:c r="C10" s="20" t="str">
        <x:v>Avg. capacity util.</x:v>
      </x:c>
      <x:c r="D10" s="70" t="n">
        <x:f>AVERAGE('SKU-Day Data'!$AG$2:$AG$421)</x:f>
        <x:v>0.7541754880212953</x:v>
      </x:c>
      <x:c r="E10" s="20"/>
      <x:c r="F10" s="20"/>
      <x:c r="G10" s="20"/>
      <x:c r="H10" s="20"/>
    </x:row>
    <x:row r="11" ht="27" customHeight="1">
      <x:c r="A11" s="20" t="str">
        <x:v>Forecast MAPE</x:v>
      </x:c>
      <x:c r="B11" s="70" t="n">
        <x:f>AVERAGE('SKU-Day Data'!$AC$2:$AC$421)</x:f>
        <x:v>0.09789495978914434</x:v>
      </x:c>
      <x:c r="C11" s="20" t="str">
        <x:v>Forecast MAPE</x:v>
      </x:c>
      <x:c r="D11" s="70" t="n">
        <x:f>AVERAGE('SKU-Day Data'!$AC$2:$AC$421)</x:f>
        <x:v>0.09789495978914434</x:v>
      </x:c>
      <x:c r="E11" s="20"/>
      <x:c r="F11" s="20"/>
      <x:c r="G11" s="20"/>
      <x:c r="H11" s="20"/>
    </x:row>
    <x:row r="12" ht="27" customHeight="1">
      <x:c r="A12" s="20" t="str">
        <x:v>SKU-day records</x:v>
      </x:c>
      <x:c r="B12" s="20" t="n">
        <x:f>COUNTA('SKU-Day Data'!$B$2:$B$421)</x:f>
        <x:v>420</x:v>
      </x:c>
      <x:c r="C12" s="20" t="str">
        <x:v>SKU-day records</x:v>
      </x:c>
      <x:c r="D12" s="20" t="n">
        <x:f>COUNTA('SKU-Day Data'!$B$2:$B$421)</x:f>
        <x:v>420</x:v>
      </x:c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 ht="34" customHeight="1">
      <x:c r="A14" s="42" t="str">
        <x:v>Product</x:v>
      </x:c>
      <x:c r="B14" s="42" t="str">
        <x:v>Total Demand</x:v>
      </x:c>
      <x:c r="C14" s="42" t="str">
        <x:v>Baseline Fill Rate</x:v>
      </x:c>
      <x:c r="D14" s="42" t="str">
        <x:v>Recommended Fill Rate</x:v>
      </x:c>
      <x:c r="E14" s="42" t="str">
        <x:v>Baseline Stockout</x:v>
      </x:c>
      <x:c r="F14" s="42" t="str">
        <x:v>Recommended Stockout</x:v>
      </x:c>
      <x:c r="G14" s="42" t="str">
        <x:v>Baseline Write-off</x:v>
      </x:c>
      <x:c r="H14" s="42" t="str">
        <x:v>Recommended Write-off</x:v>
      </x:c>
    </x:row>
    <x:row r="15" ht="23" customHeight="1">
      <x:c r="A15" s="20" t="str">
        <x:v>Toned Milk</x:v>
      </x:c>
      <x:c r="B15" s="74" t="n">
        <x:f>SUMIF('SKU-Day Data'!$B$2:$B$421,A15,'SKU-Day Data'!$E$2:$E$421)</x:f>
        <x:v>150013</x:v>
      </x:c>
      <x:c r="C15" s="70" t="n">
        <x:f>IFERROR(SUMIF('SKU-Day Data'!$B$2:$B$421,A15,'SKU-Day Data'!$L$2:$L$421)/B15,1)</x:f>
        <x:v>0.9664429082812823</x:v>
      </x:c>
      <x:c r="D15" s="70" t="n">
        <x:f>IFERROR(SUMIF('SKU-Day Data'!$B$2:$B$421,A15,'SKU-Day Data'!$X$2:$X$421)/B15,1)</x:f>
        <x:v>0.992913947457887</x:v>
      </x:c>
      <x:c r="E15" s="74" t="n">
        <x:f>SUMIF('SKU-Day Data'!$B$2:$B$421,A15,'SKU-Day Data'!$M$2:$M$421)</x:f>
        <x:v>5034</x:v>
      </x:c>
      <x:c r="F15" s="74" t="n">
        <x:f>SUMIF('SKU-Day Data'!$B$2:$B$421,A15,'SKU-Day Data'!$Y$2:$Y$421)</x:f>
        <x:v>1063</x:v>
      </x:c>
      <x:c r="G15" s="74" t="n">
        <x:f>SUMIF('SKU-Day Data'!$B$2:$B$421,A15,'SKU-Day Data'!$P$2:$P$421)</x:f>
        <x:v>892</x:v>
      </x:c>
      <x:c r="H15" s="74" t="n">
        <x:f>SUMIF('SKU-Day Data'!$B$2:$B$421,A15,'SKU-Day Data'!$AA$2:$AA$421)</x:f>
        <x:v>470</x:v>
      </x:c>
    </x:row>
    <x:row r="16" ht="23" customHeight="1">
      <x:c r="A16" s="20" t="str">
        <x:v>Full Cream Milk</x:v>
      </x:c>
      <x:c r="B16" s="74" t="n">
        <x:f>SUMIF('SKU-Day Data'!$B$2:$B$421,A16,'SKU-Day Data'!$E$2:$E$421)</x:f>
        <x:v>75116</x:v>
      </x:c>
      <x:c r="C16" s="70" t="n">
        <x:f>IFERROR(SUMIF('SKU-Day Data'!$B$2:$B$421,A16,'SKU-Day Data'!$L$2:$L$421)/B16,1)</x:f>
        <x:v>0.9650540497364077</x:v>
      </x:c>
      <x:c r="D16" s="70" t="n">
        <x:f>IFERROR(SUMIF('SKU-Day Data'!$B$2:$B$421,A16,'SKU-Day Data'!$X$2:$X$421)/B16,1)</x:f>
        <x:v>0.9945151499014857</x:v>
      </x:c>
      <x:c r="E16" s="74" t="n">
        <x:f>SUMIF('SKU-Day Data'!$B$2:$B$421,A16,'SKU-Day Data'!$M$2:$M$421)</x:f>
        <x:v>2625</x:v>
      </x:c>
      <x:c r="F16" s="74" t="n">
        <x:f>SUMIF('SKU-Day Data'!$B$2:$B$421,A16,'SKU-Day Data'!$Y$2:$Y$421)</x:f>
        <x:v>412</x:v>
      </x:c>
      <x:c r="G16" s="74" t="n">
        <x:f>SUMIF('SKU-Day Data'!$B$2:$B$421,A16,'SKU-Day Data'!$P$2:$P$421)</x:f>
        <x:v>257</x:v>
      </x:c>
      <x:c r="H16" s="74" t="n">
        <x:f>SUMIF('SKU-Day Data'!$B$2:$B$421,A16,'SKU-Day Data'!$AA$2:$AA$421)</x:f>
        <x:v>270</x:v>
      </x:c>
    </x:row>
    <x:row r="17" ht="23" customHeight="1">
      <x:c r="A17" s="20" t="str">
        <x:v>Curd</x:v>
      </x:c>
      <x:c r="B17" s="74" t="n">
        <x:f>SUMIF('SKU-Day Data'!$B$2:$B$421,A17,'SKU-Day Data'!$E$2:$E$421)</x:f>
        <x:v>44541</x:v>
      </x:c>
      <x:c r="C17" s="70" t="n">
        <x:f>IFERROR(SUMIF('SKU-Day Data'!$B$2:$B$421,A17,'SKU-Day Data'!$L$2:$L$421)/B17,1)</x:f>
        <x:v>0.9573651242675288</x:v>
      </x:c>
      <x:c r="D17" s="70" t="n">
        <x:f>IFERROR(SUMIF('SKU-Day Data'!$B$2:$B$421,A17,'SKU-Day Data'!$X$2:$X$421)/B17,1)</x:f>
        <x:v>0.9998652926517142</x:v>
      </x:c>
      <x:c r="E17" s="74" t="n">
        <x:f>SUMIF('SKU-Day Data'!$B$2:$B$421,A17,'SKU-Day Data'!$M$2:$M$421)</x:f>
        <x:v>1899</x:v>
      </x:c>
      <x:c r="F17" s="74" t="n">
        <x:f>SUMIF('SKU-Day Data'!$B$2:$B$421,A17,'SKU-Day Data'!$Y$2:$Y$421)</x:f>
        <x:v>6</x:v>
      </x:c>
      <x:c r="G17" s="74" t="n">
        <x:f>SUMIF('SKU-Day Data'!$B$2:$B$421,A17,'SKU-Day Data'!$P$2:$P$421)</x:f>
        <x:v>42</x:v>
      </x:c>
      <x:c r="H17" s="74" t="n">
        <x:f>SUMIF('SKU-Day Data'!$B$2:$B$421,A17,'SKU-Day Data'!$AA$2:$AA$421)</x:f>
        <x:v>127</x:v>
      </x:c>
    </x:row>
    <x:row r="18" ht="23" customHeight="1">
      <x:c r="A18" s="20" t="str">
        <x:v>Lassi</x:v>
      </x:c>
      <x:c r="B18" s="74" t="n">
        <x:f>SUMIF('SKU-Day Data'!$B$2:$B$421,A18,'SKU-Day Data'!$E$2:$E$421)</x:f>
        <x:v>35563</x:v>
      </x:c>
      <x:c r="C18" s="70" t="n">
        <x:f>IFERROR(SUMIF('SKU-Day Data'!$B$2:$B$421,A18,'SKU-Day Data'!$L$2:$L$421)/B18,1)</x:f>
        <x:v>0.9496386694035936</x:v>
      </x:c>
      <x:c r="D18" s="70" t="n">
        <x:f>IFERROR(SUMIF('SKU-Day Data'!$B$2:$B$421,A18,'SKU-Day Data'!$X$2:$X$421)/B18,1)</x:f>
        <x:v>0.999859404437196</x:v>
      </x:c>
      <x:c r="E18" s="74" t="n">
        <x:f>SUMIF('SKU-Day Data'!$B$2:$B$421,A18,'SKU-Day Data'!$M$2:$M$421)</x:f>
        <x:v>1791</x:v>
      </x:c>
      <x:c r="F18" s="74" t="n">
        <x:f>SUMIF('SKU-Day Data'!$B$2:$B$421,A18,'SKU-Day Data'!$Y$2:$Y$421)</x:f>
        <x:v>5</x:v>
      </x:c>
      <x:c r="G18" s="74" t="n">
        <x:f>SUMIF('SKU-Day Data'!$B$2:$B$421,A18,'SKU-Day Data'!$P$2:$P$421)</x:f>
        <x:v>49</x:v>
      </x:c>
      <x:c r="H18" s="74" t="n">
        <x:f>SUMIF('SKU-Day Data'!$B$2:$B$421,A18,'SKU-Day Data'!$AA$2:$AA$421)</x:f>
        <x:v>107</x:v>
      </x:c>
    </x:row>
    <x:row r="19" ht="23" customHeight="1">
      <x:c r="A19" s="20" t="str">
        <x:v>Paneer</x:v>
      </x:c>
      <x:c r="B19" s="74" t="n">
        <x:f>SUMIF('SKU-Day Data'!$B$2:$B$421,A19,'SKU-Day Data'!$E$2:$E$421)</x:f>
        <x:v>13934</x:v>
      </x:c>
      <x:c r="C19" s="70" t="n">
        <x:f>IFERROR(SUMIF('SKU-Day Data'!$B$2:$B$421,A19,'SKU-Day Data'!$L$2:$L$421)/B19,1)</x:f>
        <x:v>0.9694990670302857</x:v>
      </x:c>
      <x:c r="D19" s="70" t="n">
        <x:f>IFERROR(SUMIF('SKU-Day Data'!$B$2:$B$421,A19,'SKU-Day Data'!$X$2:$X$421)/B19,1)</x:f>
        <x:v>1</x:v>
      </x:c>
      <x:c r="E19" s="74" t="n">
        <x:f>SUMIF('SKU-Day Data'!$B$2:$B$421,A19,'SKU-Day Data'!$M$2:$M$421)</x:f>
        <x:v>425</x:v>
      </x:c>
      <x:c r="F19" s="74" t="n">
        <x:f>SUMIF('SKU-Day Data'!$B$2:$B$421,A19,'SKU-Day Data'!$Y$2:$Y$421)</x:f>
        <x:v>0</x:v>
      </x:c>
      <x:c r="G19" s="74" t="n">
        <x:f>SUMIF('SKU-Day Data'!$B$2:$B$421,A19,'SKU-Day Data'!$P$2:$P$421)</x:f>
        <x:v>24</x:v>
      </x:c>
      <x:c r="H19" s="74" t="n">
        <x:f>SUMIF('SKU-Day Data'!$B$2:$B$421,A19,'SKU-Day Data'!$AA$2:$AA$421)</x:f>
        <x:v>66</x:v>
      </x:c>
    </x:row>
    <x:row r="20">
      <x:c r="A20" s="20"/>
      <x:c r="B20" s="20"/>
      <x:c r="C20" s="20"/>
      <x:c r="D20" s="20"/>
      <x:c r="E20" s="20"/>
      <x:c r="F20" s="20"/>
      <x:c r="G20" s="20"/>
      <x:c r="H20" s="20"/>
    </x:row>
    <x:row r="21">
      <x:c r="A21" s="20"/>
      <x:c r="B21" s="20"/>
      <x:c r="C21" s="20"/>
      <x:c r="D21" s="20"/>
      <x:c r="E21" s="20"/>
      <x:c r="F21" s="20"/>
      <x:c r="G21" s="20"/>
      <x:c r="H21" s="20"/>
    </x:row>
    <x:row r="22" ht="25" customHeight="1">
      <x:c r="A22" s="78" t="str">
        <x:v>Planning logic: baseline = 97% of forecast demand. Recommended = forecast + target closing-stock buffer - opening stock, capped by capacity. Write-offs are assumed, not measured. Validate with actual batch, shelf-life, production and dispatch data before implementation.</x:v>
      </x:c>
      <x:c r="B22" s="78"/>
      <x:c r="C22" s="78"/>
      <x:c r="D22" s="78"/>
      <x:c r="E22" s="78"/>
      <x:c r="F22" s="78"/>
      <x:c r="G22" s="78"/>
      <x:c r="H22" s="78"/>
    </x:row>
    <x:row r="23" ht="25" customHeight="1">
      <x:c r="A23" s="78"/>
      <x:c r="B23" s="78"/>
      <x:c r="C23" s="78"/>
      <x:c r="D23" s="78"/>
      <x:c r="E23" s="78"/>
      <x:c r="F23" s="78"/>
      <x:c r="G23" s="78"/>
      <x:c r="H23" s="78"/>
    </x:row>
  </x:sheetData>
  <x:mergeCells>
    <x:mergeCell ref="A1:H1"/>
    <x:mergeCell ref="A2:H2"/>
    <x:mergeCell ref="A22:H23"/>
  </x:mergeCells>
  <x:conditionalFormatting sqref="C15:D1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drawing xmlns:r="http://schemas.openxmlformats.org/officeDocument/2006/relationships" r:id="R3076147ba3734ede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2" hidden="0" customWidth="1"/>
    <x:col min="3" max="3" width="36" hidden="0" customWidth="1"/>
    <x:col min="4" max="4" width="40" hidden="0" customWidth="1"/>
    <x:col min="5" max="5" width="40" hidden="0" customWidth="1"/>
    <x:col min="6" max="6" width="26" hidden="0" customWidth="1"/>
  </x:cols>
  <x:sheetData>
    <x:row r="1" ht="30" customHeight="1">
      <x:c r="A1" s="57" t="str">
        <x:v>ROOT-CAUSE REVIEW &amp; ACTION PLAN</x:v>
      </x:c>
      <x:c r="B1" s="57"/>
      <x:c r="C1" s="57"/>
      <x:c r="D1" s="57"/>
      <x:c r="E1" s="57"/>
      <x:c r="F1" s="57"/>
    </x:row>
    <x:row r="2">
      <x:c r="A2" s="61" t="str">
        <x:v>Use these as hypotheses to investigate in this synthetic case. Confirm root causes with evidence; do not infer real Sudha Dairy performance.</x:v>
      </x:c>
      <x:c r="B2" s="61"/>
      <x:c r="C2" s="61"/>
      <x:c r="D2" s="61"/>
      <x:c r="E2" s="61"/>
      <x:c r="F2" s="61"/>
    </x:row>
    <x:row r="4" ht="36" customHeight="1">
      <x:c r="A4" s="84" t="str">
        <x:v>Issue / signal</x:v>
      </x:c>
      <x:c r="B4" s="84" t="str">
        <x:v>Evidence in scenario</x:v>
      </x:c>
      <x:c r="C4" s="84" t="str">
        <x:v>Possible explanation (hypothesis)</x:v>
      </x:c>
      <x:c r="D4" s="84" t="str">
        <x:v>Additional data to validate</x:v>
      </x:c>
      <x:c r="E4" s="84" t="str">
        <x:v>Potential action to test</x:v>
      </x:c>
      <x:c r="F4" s="84" t="str">
        <x:v>KPI to monitor</x:v>
      </x:c>
    </x:row>
    <x:row r="5" ht="94" customHeight="1">
      <x:c r="A5" s="88" t="str">
        <x:v>High-volume milk contributes most baseline stockouts</x:v>
      </x:c>
      <x:c r="B5" s="88" t="str">
        <x:v>Toned milk is the largest demand and baseline-stockout category in the simulated dataset.</x:v>
      </x:c>
      <x:c r="C5" s="88" t="str">
        <x:v>A near-forecast plan may not leave enough buffer for demand variability or execution misses.</x:v>
      </x:c>
      <x:c r="D5" s="88" t="str">
        <x:v>Daily forecast, order cut-off, actual dispatch, capacity, downtime and shift-level plan adherence.</x:v>
      </x:c>
      <x:c r="E5" s="88" t="str">
        <x:v>Test a small demand- and service-level-based buffer for selected high-volume days; check cold-storage and shelf-life constraints.</x:v>
      </x:c>
      <x:c r="F5" s="88" t="str">
        <x:v>Fill rate, stockout units, forecast error, inventory cover</x:v>
      </x:c>
    </x:row>
    <x:row r="6" ht="94" customHeight="1">
      <x:c r="A6" s="88" t="str">
        <x:v>Longer shelf-life products can carry extra stock in the scenario</x:v>
      </x:c>
      <x:c r="B6" s="88" t="str">
        <x:v>The planning rule can change write-off estimates differently by product; some categories increase.</x:v>
      </x:c>
      <x:c r="C6" s="88" t="str">
        <x:v>One buffer rule may not be suitable for all shelf-life groups; scenario assumptions may overstate benefit.</x:v>
      </x:c>
      <x:c r="D6" s="88" t="str">
        <x:v>Batch-level manufacture/expiry dates, FEFO dispatch, returns, write-offs and actual demand history.</x:v>
      </x:c>
      <x:c r="E6" s="88" t="str">
        <x:v>Use differentiated buffers by shelf life and validate through batch-age tracking before adoption.</x:v>
      </x:c>
      <x:c r="F6" s="88" t="str">
        <x:v>Expiry/waste units, days of inventory, service level</x:v>
      </x:c>
    </x:row>
    <x:row r="7" ht="94" customHeight="1">
      <x:c r="A7" s="88" t="str">
        <x:v>Forecast misses vary by product and date</x:v>
      </x:c>
      <x:c r="B7" s="88" t="str">
        <x:v>The dataset deliberately includes demand variability; use the forecast-error column and sort by largest absolute error.</x:v>
      </x:c>
      <x:c r="C7" s="88" t="str">
        <x:v>Weekday patterns, promotions or unusual orders may explain repeated deviations; this synthetic dataset cannot confirm them.</x:v>
      </x:c>
      <x:c r="D7" s="88" t="str">
        <x:v>Order history, calendar/promotions, distributor demand, weather or local event information when available.</x:v>
      </x:c>
      <x:c r="E7" s="88" t="str">
        <x:v>Review repeated high-error periods and update assumptions or forecast segmentation.</x:v>
      </x:c>
      <x:c r="F7" s="88" t="str">
        <x:v>MAPE, bias, forecast variance</x:v>
      </x:c>
    </x:row>
    <x:row r="8" ht="94" customHeight="1">
      <x:c r="A8" s="88" t="str">
        <x:v>Capacity can constrain an inventory-aware plan</x:v>
      </x:c>
      <x:c r="B8" s="88" t="str">
        <x:v>Recommended production is capped by the assumed daily capacity.</x:v>
      </x:c>
      <x:c r="C8" s="88" t="str">
        <x:v>The stock target may be infeasible on peak days even when the planning rule is sensible.</x:v>
      </x:c>
      <x:c r="D8" s="88" t="str">
        <x:v>Line capacity by shift, planned maintenance, changeover time, labour, packaging material and quality holds.</x:v>
      </x:c>
      <x:c r="E8" s="88" t="str">
        <x:v>Flag capacity-constrained days in the plan and align production sequencing with demand priority.</x:v>
      </x:c>
      <x:c r="F8" s="88" t="str">
        <x:v>Capacity utilisation, plan adherence, missed demand</x:v>
      </x:c>
    </x:row>
  </x:sheetData>
  <x:mergeCells>
    <x:mergeCell ref="A1:F1"/>
    <x:mergeCell ref="A2:F2"/>
  </x:mergeCells>
  <x:pageMargins left="0.7" right="0.7" top="0.75" bottom="0.75" header="0.3" footer="0.3"/>
</x:worksheet>
</file>